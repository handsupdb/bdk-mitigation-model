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Inputs" sheetId="2" r:id="rId6"/>
    <sheet state="visible" name="Outputs" sheetId="3" r:id="rId7"/>
    <sheet state="visible" name="Baseline" sheetId="4" r:id="rId8"/>
    <sheet state="visible" name="Comparison" sheetId="5" r:id="rId9"/>
    <sheet state="visible" name="+Armor" sheetId="6" r:id="rId10"/>
    <sheet state="visible" name="+Strength" sheetId="7" r:id="rId11"/>
    <sheet state="visible" name="+Stamina" sheetId="8" r:id="rId12"/>
    <sheet state="visible" name="+Critical Strike" sheetId="9" r:id="rId13"/>
    <sheet state="visible" name="+Haste" sheetId="10" r:id="rId14"/>
    <sheet state="visible" name="+Versatility" sheetId="11" r:id="rId15"/>
    <sheet state="visible" name="+Mastery" sheetId="12" r:id="rId16"/>
    <sheet state="visible" name="+Leech" sheetId="13" r:id="rId17"/>
    <sheet state="visible" name="+Avoidance" sheetId="14" r:id="rId18"/>
    <sheet state="visible" name="+Weapon DPS"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04">
      <text>
        <t xml:space="preserve">Abom Limb Utilization; used on cooldown at 100%.</t>
      </text>
    </comment>
    <comment authorId="0" ref="I102">
      <text>
        <t xml:space="preserve">Set to "1", Death and Decay is only used when Crimson Scourge is active (accounting for Visceral Strength). Set to "2'", Death and Decay will be used on cooldown (this mode is not currently updated to work correctly). Otherwise, it will be used only to maintain buffs.</t>
      </text>
    </comment>
    <comment authorId="0" ref="I133">
      <text>
        <t xml:space="preserve">Effective Blood Queen Full Stack Uptime</t>
      </text>
    </comment>
    <comment authorId="0" ref="D63">
      <text>
        <t xml:space="preserve">Set to "1" Anti-magic Zone is used; set to "0" it is not used.</t>
      </text>
    </comment>
    <comment authorId="0" ref="E30">
      <text>
        <t xml:space="preserve">Specify "1" for Embrace of Bwonsamdi, "2" for Kimbul, "3" for Krag'wa, and "4" for Pa'ku.</t>
      </text>
    </comment>
    <comment authorId="0" ref="D61">
      <text>
        <t xml:space="preserve">Effective 5 stack Icy Talons uptime.</t>
      </text>
    </comment>
    <comment authorId="0" ref="C90">
      <text>
        <t xml:space="preserve">Always assumed to be selected.</t>
      </text>
    </comment>
    <comment authorId="0" ref="D123">
      <text>
        <t xml:space="preserve">Set to "1" Consumption is used at Stage 1, 2 for stage 2, and 3 for stage 3.</t>
      </text>
    </comment>
    <comment authorId="0" ref="I63">
      <text>
        <t xml:space="preserve">Set to "1" Anti-magic Zone is used; set to "0" it is not used.</t>
      </text>
    </comment>
    <comment authorId="0" ref="C88">
      <text>
        <t xml:space="preserve">Always assumed to be selected.</t>
      </text>
    </comment>
    <comment authorId="0" ref="I61">
      <text>
        <t xml:space="preserve">Effective 5 stack Icy Talons uptime.</t>
      </text>
    </comment>
    <comment authorId="0" ref="D119">
      <text>
        <t xml:space="preserve">Effective 5 stack Coagulopathy uptime.</t>
      </text>
    </comment>
    <comment authorId="0" ref="H90">
      <text>
        <t xml:space="preserve">Always assumed to be selected.</t>
      </text>
    </comment>
    <comment authorId="0" ref="I123">
      <text>
        <t xml:space="preserve">Set to "1" Consumption is used at Stage 1, 2 for stage 2, and 3 for stage 3.</t>
      </text>
    </comment>
    <comment authorId="0" ref="H88">
      <text>
        <t xml:space="preserve">Always assumed to be selected.</t>
      </text>
    </comment>
    <comment authorId="0" ref="I119">
      <text>
        <t xml:space="preserve">Effective 5 stack Coagulopathy uptime.</t>
      </text>
    </comment>
    <comment authorId="0" ref="D107">
      <text>
        <t xml:space="preserve">Average Bone Shield Generation on Dancing Rune Weapon Cast.</t>
      </text>
    </comment>
    <comment authorId="0" ref="D105">
      <text>
        <t xml:space="preserve">Gorefiend's Grasp Utiliation; used on cooldown at 100%.</t>
      </text>
    </comment>
    <comment authorId="0" ref="D103">
      <text>
        <t xml:space="preserve">Average Bloodworms Lifespan.</t>
      </text>
    </comment>
    <comment authorId="0" ref="I107">
      <text>
        <t xml:space="preserve">Average Bone Shield Generation on Dancing Rune Weapon Cast.</t>
      </text>
    </comment>
    <comment authorId="0" ref="I105">
      <text>
        <t xml:space="preserve">Gorefiend's Grasp Utiliation; used on cooldown at 100%.</t>
      </text>
    </comment>
    <comment authorId="0" ref="D132">
      <text>
        <t xml:space="preserve">Effective Rune Carved Plates Full Stack Uptime</t>
      </text>
    </comment>
    <comment authorId="0" ref="D99">
      <text>
        <t xml:space="preserve">Average Bone Shield Stacks before accounting for Reinforced Bone.</t>
      </text>
    </comment>
    <comment authorId="0" ref="I103">
      <text>
        <t xml:space="preserve">Average Bloodworms Lifespan.</t>
      </text>
    </comment>
    <comment authorId="0" ref="I132">
      <text>
        <t xml:space="preserve">Effective Rune Carved Plates Full Stack Uptime</t>
      </text>
    </comment>
    <comment authorId="0" ref="E31">
      <text>
        <t xml:space="preserve">Specify "1" to use Bag of Tricks for damage, or "2" to use Bag of Tricks for healing.</t>
      </text>
    </comment>
    <comment authorId="0" ref="I99">
      <text>
        <t xml:space="preserve">Average Bone Shield Stacks before accounting for Reinforced Bone.</t>
      </text>
    </comment>
    <comment authorId="0" ref="C89">
      <text>
        <t xml:space="preserve">Always assumed to be selected.</t>
      </text>
    </comment>
    <comment authorId="0" ref="D122">
      <text>
        <t xml:space="preserve">Assumed Blood Shield uptime for the sake of non-Death Strike sources of physical damage.</t>
      </text>
    </comment>
    <comment authorId="0" ref="D89">
      <text>
        <t xml:space="preserve">Set to "1", Death's Caress is used as the primary means to generate Bone Shield Charges.</t>
      </text>
    </comment>
    <comment authorId="0" ref="H89">
      <text>
        <t xml:space="preserve">Always assumed to be selected.</t>
      </text>
    </comment>
    <comment authorId="0" ref="I122">
      <text>
        <t xml:space="preserve">Assumed Blood Shield uptime for the sake of non-Death Strike sources of physical damage.</t>
      </text>
    </comment>
    <comment authorId="0" ref="I89">
      <text>
        <t xml:space="preserve">Set to "1", Death's Caress is used as the primary means to generate Bone Shield Charges.</t>
      </text>
    </comment>
    <comment authorId="0" ref="D46">
      <text>
        <t xml:space="preserve">Mind Freeze utilization; set to100% Mind Freeze is used on cooldown.</t>
      </text>
    </comment>
    <comment authorId="0" ref="I46">
      <text>
        <t xml:space="preserve">Mind Freeze utilization; set to100% Mind Freeze is used on cooldown.</t>
      </text>
    </comment>
    <comment authorId="0" ref="D104">
      <text>
        <t xml:space="preserve">Abom Limb Utilization; used on cooldown at 100%.</t>
      </text>
    </comment>
    <comment authorId="0" ref="D102">
      <text>
        <t xml:space="preserve">Set to "1", Death and Decay is only used when Crimson Scourge is active on 1-3 targets (accounting for Visceral Strength). Set to "2'", Death and Decay will be used on cooldown (this mode is not currently updated to work correctly). Otherwise, it will be used only to maintain buffs.</t>
      </text>
    </comment>
    <comment authorId="0" ref="D133">
      <text>
        <t xml:space="preserve">Effective Blood Queen Full Stack Uptime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7">
      <text>
        <t xml:space="preserve">Parentheses indicate an alternate mitigation measure is being used because one or both profiles are self-sufficient (or close to it) with given inputs.</t>
      </text>
    </comment>
    <comment authorId="0" ref="F7">
      <text>
        <t xml:space="preserve">Mitigation Factor - Damage Taken Per External Healing Required. If the player can mitigate more damage than they are taking, this output is listed as "Self-Sufficient" along with the percentage of excess mitigation that is provided.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Removes the multiplier for Stoneskin Gargoyle (if used) corrected for Unholy Bond.</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Removes the multiplier for Stoneskin Gargoyle (if used) corrected for Unholy Bond, and Dreanei Racial.</t>
      </text>
    </comment>
    <comment authorId="0" ref="Y55">
      <text>
        <t xml:space="preserve">Accounting for overhealing.</t>
      </text>
    </comment>
    <comment authorId="0" ref="J6">
      <text>
        <t xml:space="preserve">Adjusts for Fallen Crusader, Dark Iron Racial, Rune Mastery (crudely), Visceral Regeneration, Swift and Painful, and Mechagnome racial (100% uptime).</t>
      </text>
    </comment>
    <comment authorId="0" ref="M72">
      <text>
        <t xml:space="preserve">Accounting for Improved Vampiric Blood, Consumption, Versatility, and Gloom Ward.</t>
      </text>
    </comment>
    <comment authorId="0" ref="O6">
      <text>
        <t xml:space="preserve">Reverse calculated by accounting for Parry/Dodge, Armor, Enfeeble, Dark Iron Racial, Insidious Chill, Rune Carved Plates, Blood-Soaked Ground, Blooded Blade Adjustment, Dance of Midnight Damage Reduction, Highmountain DR, and Versatility</t>
      </text>
    </comment>
    <comment authorId="0" ref="P6">
      <text>
        <t xml:space="preserve">Reverse calculated by accounting for active mitigation</t>
      </text>
    </comment>
    <comment authorId="0" ref="T72">
      <text>
        <t xml:space="preserve">Cast frequency equal to Vampiric Blood when talented.</t>
      </text>
    </comment>
    <comment authorId="0" ref="S6">
      <text>
        <t xml:space="preserve">Stoneform and Blood Draw and Consumption.</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Removes the multiplier for Stoneskin Gargoyle (if used) corrected for Unholy Bond, Armor Skills, Blood Fortification, Veteran of the Third War, and Tauren racial.
</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O7">
      <text>
        <t xml:space="preserve">Reverse calculated by accounting for Avoidance, Armor, Enfeeble, Dark Iron Racial, Blood-Soaked Ground, Rune Carved Plates, Dance of Midnight DR, and Versatility</t>
      </text>
    </comment>
    <comment authorId="0" ref="P7">
      <text>
        <t xml:space="preserve">Reverse calculated by accounting for active mitigation</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and Blood Draw and Consumption.</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base Crit Rate, Blood/Night Elf Racial, Worgen Racial,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O8">
      <text>
        <t xml:space="preserve">Reverse calculated by accounting for Versatility, Null Magic, Enfeeble, Rune Carved Plates, and Dance of Midnight DR.</t>
      </text>
    </comment>
    <comment authorId="0" ref="D157">
      <text>
        <t xml:space="preserve">Effective Strength Buff.</t>
      </text>
    </comment>
    <comment authorId="0" ref="P8">
      <text>
        <t xml:space="preserve">Reverse calculated by accounting for active mitigation</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Stoneform and Blood Draw and Consumption.</t>
      </text>
    </comment>
    <comment authorId="0" ref="T41">
      <text>
        <t xml:space="preserve">Only used if talented.</t>
      </text>
    </comment>
    <comment authorId="0" ref="U8">
      <text>
        <t xml:space="preserve">Adjusted for Assimilation.</t>
      </text>
    </comment>
    <comment authorId="0" ref="V8">
      <text>
        <t xml:space="preserve">Checks to make sure magic damage exists to absorb. Accounts for Gloom Ward and Anti-Magic Barrier.</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Essence of the Blood Queen,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O9">
      <text>
        <t xml:space="preserve">Reverse calculated by accounting for Avoidance, Enfeeble, Null Magic, Rune Carved Plates, Dnace of Midnight DR, and Versatility</t>
      </text>
    </comment>
    <comment authorId="0" ref="P9">
      <text>
        <t xml:space="preserve">Reverse calculated by accounting for active mitigation</t>
      </text>
    </comment>
    <comment authorId="0" ref="T75">
      <text>
        <t xml:space="preserve">Cast Rate is equal to Reaper's Mark casts.</t>
      </text>
    </comment>
    <comment authorId="0" ref="S9">
      <text>
        <t xml:space="preserve">Stoneform and Blood Draw and Consumption.</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U9">
      <text>
        <t xml:space="preserve">Adjusted for Assimilation.</t>
      </text>
    </comment>
    <comment authorId="0" ref="V9">
      <text>
        <t xml:space="preserve">Checks to make sure magic damage exists to absorb after accounting for non-AoE incoming magic damage. Accounts for Gloom Ward and Anti-Magic Barrier.</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base mastery and Thrill of Blood</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Blood Scent.</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L13">
      <text>
        <t xml:space="preserve">Includes a Blood Mist Parry adjustment.</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Dance of Midnight,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Adjusted for Icy Talons and Dark Talons (uses a simplified formula).</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Elf/Lightforged Racial, Osmosis, and Sanguine Ground.</t>
      </text>
    </comment>
    <comment authorId="0" ref="L15">
      <text>
        <t xml:space="preserve">Dance of Midnight requires the use of an approximation function for overall DRW uptime to avoid a circular feedback loop.</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Removes the multiplier for Stoneskin Gargoyle (if used) corrected for Unholy Bond.</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Removes the multiplier for Stoneskin Gargoyle (if used) corrected for Unholy Bond.</t>
      </text>
    </comment>
    <comment authorId="0" ref="Y55">
      <text>
        <t xml:space="preserve">Accounting for overhealing.</t>
      </text>
    </comment>
    <comment authorId="0" ref="J6">
      <text>
        <t xml:space="preserve">Adjusts for Fallen Crusader, Dark Iron Racial, Rune Mastery (crudely), Visceral Regeneration, and Mechagnome racial (100% uptime).</t>
      </text>
    </comment>
    <comment authorId="0" ref="M72">
      <text>
        <t xml:space="preserve">Accounting for Improved Vampiric Blood, Consumption, Versatility, and Gloom Ward.</t>
      </text>
    </comment>
    <comment authorId="0" ref="T72">
      <text>
        <t xml:space="preserve">Cast frequency equal to Vampiric Blood when talented.</t>
      </text>
    </comment>
    <comment authorId="0" ref="S6">
      <text>
        <t xml:space="preserve">Stoneform, Consumption, and Blood Draw.</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Removes the multiplier for Stoneskin Gargoyle (if used) corrected for Unholy Bond.</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Consumption, and Blood Draw.</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Blood/
Night Elf Racial, Worgen Racial, Merciless Strikes, Deathbringer Tier Set,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D157">
      <text>
        <t xml:space="preserve">Effective Strength Buff.</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Stoneform, Consumption, and Blood Draw.</t>
      </text>
    </comment>
    <comment authorId="0" ref="T41">
      <text>
        <t xml:space="preserve">Only used if talented.</t>
      </text>
    </comment>
    <comment authorId="0" ref="V8">
      <text>
        <t xml:space="preserve">Checks to make sure magic damage exists to absorb.</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T75">
      <text>
        <t xml:space="preserve">Cast Rate is equal to Reaper's Mark casts.</t>
      </text>
    </comment>
    <comment authorId="0" ref="S9">
      <text>
        <t xml:space="preserve">Stoneform, Consumption, and Blood Draw.</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V9">
      <text>
        <t xml:space="preserve">Checks to make sure magic damage exists to absorb after accounting for non-AoE incoming magic damage.</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San'layn Tier Set</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Scent of Blood.</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This only accounts for average attack speed when Crimson Scourge is able to proc. So Unholy Ground is not included.</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 Racial, Osmosis, and Sanguine Ground.</t>
      </text>
    </comment>
    <comment authorId="0" ref="L15">
      <text>
        <t xml:space="preserve">Including a correction for Evelasting Bond (a crude one).</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Taken from Baseline Profile.</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Taken from Baseline Profile.</t>
      </text>
    </comment>
    <comment authorId="0" ref="Y55">
      <text>
        <t xml:space="preserve">Accounting for overhealing.</t>
      </text>
    </comment>
    <comment authorId="0" ref="J6">
      <text>
        <t xml:space="preserve">Adjusts for Fallen Crusader, Dark Iron Racial, Rune Mastery (crudely), Visceral Regeneration, and Mechagnome racial (100% uptime).</t>
      </text>
    </comment>
    <comment authorId="0" ref="M72">
      <text>
        <t xml:space="preserve">Accounting for Improved Vampiric Blood, Consumption, Versatility, and Gloom Ward.</t>
      </text>
    </comment>
    <comment authorId="0" ref="T72">
      <text>
        <t xml:space="preserve">Cast frequency equal to Vampiric Blood when talented.</t>
      </text>
    </comment>
    <comment authorId="0" ref="S6">
      <text>
        <t xml:space="preserve">Stoneform, Blooddrinker, and Blood Draw.</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Taken from Baseline Profile.</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Blooddrinker, and Blood Draw.</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Blood/
Night Elf Racial, Worgen Racial, Merciless Strikes, Deathbringer Tier Set,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D157">
      <text>
        <t xml:space="preserve">Effective Strength Buff.</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Blood Draw and Blooddrinker.</t>
      </text>
    </comment>
    <comment authorId="0" ref="T41">
      <text>
        <t xml:space="preserve">Only used if talented.</t>
      </text>
    </comment>
    <comment authorId="0" ref="V8">
      <text>
        <t xml:space="preserve">Checks to make sure magic damage exists to absorb.</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T75">
      <text>
        <t xml:space="preserve">Cast Rate is equal to Reaper's Mark casts.</t>
      </text>
    </comment>
    <comment authorId="0" ref="S9">
      <text>
        <t xml:space="preserve">Blood Draw and Blooddrinker.</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V9">
      <text>
        <t xml:space="preserve">Checks to make sure magic damage exists to absorb after accounting for non-AoE incoming magic damage.</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San'layn Tier Set</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Scent of Blood.</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This only accounts for average attack speed when Crimson Scourge is able to proc. So Unholy Ground is not included.</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 Racial, Osmosis, and Sanguine Ground.</t>
      </text>
    </comment>
    <comment authorId="0" ref="L15">
      <text>
        <t xml:space="preserve">Including a correction for Evelasting Bond (a crude one).</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Taken from Baseline Profile.</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Taken from Baseline Profile.</t>
      </text>
    </comment>
    <comment authorId="0" ref="Y55">
      <text>
        <t xml:space="preserve">Accounting for overhealing.</t>
      </text>
    </comment>
    <comment authorId="0" ref="J6">
      <text>
        <t xml:space="preserve">Adjusts for Fallen Crusader, Dark Iron Racial, Rune Mastery (crudely), Visceral Regeneration, and Mechagnome racial (100% uptime).</t>
      </text>
    </comment>
    <comment authorId="0" ref="M72">
      <text>
        <t xml:space="preserve">Accounting for Improved Vampiric Blood, Consumption, Versatility, and Gloom Ward.</t>
      </text>
    </comment>
    <comment authorId="0" ref="T72">
      <text>
        <t xml:space="preserve">Cast frequency equal to Vampiric Blood when talented.</t>
      </text>
    </comment>
    <comment authorId="0" ref="S6">
      <text>
        <t xml:space="preserve">Stoneform, Blooddrinker, and Blood Draw.</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Taken from Baseline Profile.</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Blooddrinker, and Blood Draw.</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Blood/
Night Elf Racial, Worgen Racial, Merciless Strikes, Deathbringer Tier Set,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D157">
      <text>
        <t xml:space="preserve">Effective Strength Buff.</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Blood Draw and Blooddrinker.</t>
      </text>
    </comment>
    <comment authorId="0" ref="T41">
      <text>
        <t xml:space="preserve">Only used if talented.</t>
      </text>
    </comment>
    <comment authorId="0" ref="V8">
      <text>
        <t xml:space="preserve">Checks to make sure magic damage exists to absorb.</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T75">
      <text>
        <t xml:space="preserve">Cast Rate is equal to Reaper's Mark casts.</t>
      </text>
    </comment>
    <comment authorId="0" ref="S9">
      <text>
        <t xml:space="preserve">Blood Draw and Blooddrinker.</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V9">
      <text>
        <t xml:space="preserve">Checks to make sure magic damage exists to absorb after accounting for non-AoE incoming magic damage.</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San'layn Tier Set</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Scent of Blood.</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This only accounts for average attack speed when Crimson Scourge is able to proc. So Unholy Ground is not included.</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 Racial, Osmosis, and Sanguine Ground.</t>
      </text>
    </comment>
    <comment authorId="0" ref="L15">
      <text>
        <t xml:space="preserve">Including a correction for Evelasting Bond (a crude one).</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Taken from Baseline Profile.</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Taken from Baseline Profile.</t>
      </text>
    </comment>
    <comment authorId="0" ref="Y55">
      <text>
        <t xml:space="preserve">Accounting for overhealing.</t>
      </text>
    </comment>
    <comment authorId="0" ref="J6">
      <text>
        <t xml:space="preserve">Adjusts for Fallen Crusader, Dark Iron Racial, Rune Mastery (crudely), Visceral Regeneration, and Mechagnome racial (100% uptime).</t>
      </text>
    </comment>
    <comment authorId="0" ref="M72">
      <text>
        <t xml:space="preserve">Accounting for Improved Vampiric Blood, Consumption, Versatility, and Gloom Ward.</t>
      </text>
    </comment>
    <comment authorId="0" ref="T72">
      <text>
        <t xml:space="preserve">Cast frequency equal to Vampiric Blood when talented.</t>
      </text>
    </comment>
    <comment authorId="0" ref="S6">
      <text>
        <t xml:space="preserve">Stoneform, Blooddrinker, and Blood Draw.</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Taken from Baseline Profile.</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Blooddrinker, and Blood Draw.</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Blood/
Night Elf Racial, Worgen Racial, Merciless Strikes, Deathbringer Tier Set,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D157">
      <text>
        <t xml:space="preserve">Effective Strength Buff.</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Blood Draw and Blooddrinker.</t>
      </text>
    </comment>
    <comment authorId="0" ref="T41">
      <text>
        <t xml:space="preserve">Only used if talented.</t>
      </text>
    </comment>
    <comment authorId="0" ref="V8">
      <text>
        <t xml:space="preserve">Checks to make sure magic damage exists to absorb.</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T75">
      <text>
        <t xml:space="preserve">Cast Rate is equal to Reaper's Mark casts.</t>
      </text>
    </comment>
    <comment authorId="0" ref="S9">
      <text>
        <t xml:space="preserve">Blood Draw and Blooddrinker.</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V9">
      <text>
        <t xml:space="preserve">Checks to make sure magic damage exists to absorb after accounting for non-AoE incoming magic damage.</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San'layn Tier Set</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Scent of Blood.</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This only accounts for average attack speed when Crimson Scourge is able to proc. So Unholy Ground is not included.</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 Racial, Osmosis, and Sanguine Ground.</t>
      </text>
    </comment>
    <comment authorId="0" ref="L15">
      <text>
        <t xml:space="preserve">Including a correction for Evelasting Bond (a crude one).</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Taken from Baseline Profile.</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Taken from Baseline Profile.</t>
      </text>
    </comment>
    <comment authorId="0" ref="Y55">
      <text>
        <t xml:space="preserve">Accounting for overhealing.</t>
      </text>
    </comment>
    <comment authorId="0" ref="J6">
      <text>
        <t xml:space="preserve">Adjusts for Fallen Crusader, Dark Iron Racial, Rune Mastery (crudely), Visceral Regeneration, and Mechagnome racial (100% uptime).</t>
      </text>
    </comment>
    <comment authorId="0" ref="M72">
      <text>
        <t xml:space="preserve">Accounting for Improved Vampiric Blood, Consumption, Versatility, and Gloom Ward.</t>
      </text>
    </comment>
    <comment authorId="0" ref="T72">
      <text>
        <t xml:space="preserve">Cast frequency equal to Vampiric Blood when talented.</t>
      </text>
    </comment>
    <comment authorId="0" ref="S6">
      <text>
        <t xml:space="preserve">Stoneform, Blooddrinker, and Blood Draw.</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Taken from Baseline Profile.</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Blooddrinker, and Blood Draw.</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Blood/
Night Elf Racial, Worgen Racial, Merciless Strikes, Deathbringer Tier Set,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D157">
      <text>
        <t xml:space="preserve">Effective Strength Buff.</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Blood Draw and Blooddrinker.</t>
      </text>
    </comment>
    <comment authorId="0" ref="T41">
      <text>
        <t xml:space="preserve">Only used if talented.</t>
      </text>
    </comment>
    <comment authorId="0" ref="V8">
      <text>
        <t xml:space="preserve">Checks to make sure magic damage exists to absorb.</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T75">
      <text>
        <t xml:space="preserve">Cast Rate is equal to Reaper's Mark casts.</t>
      </text>
    </comment>
    <comment authorId="0" ref="S9">
      <text>
        <t xml:space="preserve">Blood Draw and Blooddrinker.</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V9">
      <text>
        <t xml:space="preserve">Checks to make sure magic damage exists to absorb after accounting for non-AoE incoming magic damage.</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San'layn Tier Set</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Scent of Blood.</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This only accounts for average attack speed when Crimson Scourge is able to proc. So Unholy Ground is not included.</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 Racial, Osmosis, and Sanguine Ground.</t>
      </text>
    </comment>
    <comment authorId="0" ref="L15">
      <text>
        <t xml:space="preserve">Including a correction for Evelasting Bond (a crude one).</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Taken from Baseline Profile.</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Taken from Baseline Profile.</t>
      </text>
    </comment>
    <comment authorId="0" ref="Y55">
      <text>
        <t xml:space="preserve">Accounting for overhealing.</t>
      </text>
    </comment>
    <comment authorId="0" ref="J6">
      <text>
        <t xml:space="preserve">Adjusts for Fallen Crusader, Dark Iron Racial, Rune Mastery (crudely), Visceral Regeneration, and Mechagnome racial (100% uptime).</t>
      </text>
    </comment>
    <comment authorId="0" ref="M72">
      <text>
        <t xml:space="preserve">Accounting for Improved Vampiric Blood, Consumption, Versatility, and Gloom Ward.</t>
      </text>
    </comment>
    <comment authorId="0" ref="T72">
      <text>
        <t xml:space="preserve">Cast frequency equal to Vampiric Blood when talented.</t>
      </text>
    </comment>
    <comment authorId="0" ref="S6">
      <text>
        <t xml:space="preserve">Stoneform, Blooddrinker, and Blood Draw.</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Taken from Baseline Profile.</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Blooddrinker, and Blood Draw.</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Blood/
Night Elf Racial, Worgen Racial, Merciless Strikes, Deathbringer Tier Set,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D157">
      <text>
        <t xml:space="preserve">Effective Strength Buff.</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Blood Draw and Blooddrinker.</t>
      </text>
    </comment>
    <comment authorId="0" ref="T41">
      <text>
        <t xml:space="preserve">Only used if talented.</t>
      </text>
    </comment>
    <comment authorId="0" ref="V8">
      <text>
        <t xml:space="preserve">Checks to make sure magic damage exists to absorb.</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T75">
      <text>
        <t xml:space="preserve">Cast Rate is equal to Reaper's Mark casts.</t>
      </text>
    </comment>
    <comment authorId="0" ref="S9">
      <text>
        <t xml:space="preserve">Blood Draw and Blooddrinker.</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V9">
      <text>
        <t xml:space="preserve">Checks to make sure magic damage exists to absorb after accounting for non-AoE incoming magic damage.</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San'layn Tier Set</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Scent of Blood.</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This only accounts for average attack speed when Crimson Scourge is able to proc. So Unholy Ground is not included.</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 Racial, Osmosis, and Sanguine Ground.</t>
      </text>
    </comment>
    <comment authorId="0" ref="L15">
      <text>
        <t xml:space="preserve">Including a correction for Evelasting Bond (a crude one).</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Taken from Baseline Profile.</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Taken from Baseline Profile.</t>
      </text>
    </comment>
    <comment authorId="0" ref="Y55">
      <text>
        <t xml:space="preserve">Accounting for overhealing.</t>
      </text>
    </comment>
    <comment authorId="0" ref="J6">
      <text>
        <t xml:space="preserve">Adjusts for Fallen Crusader, Dark Iron Racial, Rune Mastery (crudely), Visceral Regeneration, and Mechagnome racial (100% uptime).</t>
      </text>
    </comment>
    <comment authorId="0" ref="M72">
      <text>
        <t xml:space="preserve">Accounting for Improved Vampiric Blood, Consumption, Versatility, and Gloom Ward.</t>
      </text>
    </comment>
    <comment authorId="0" ref="T72">
      <text>
        <t xml:space="preserve">Cast frequency equal to Vampiric Blood when talented.</t>
      </text>
    </comment>
    <comment authorId="0" ref="S6">
      <text>
        <t xml:space="preserve">Stoneform, Blooddrinker, and Blood Draw.</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Taken from Baseline Profile.</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Blooddrinker, and Blood Draw.</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Blood/
Night Elf Racial, Worgen Racial, Merciless Strikes, Deathbringer Tier Set,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D157">
      <text>
        <t xml:space="preserve">Effective Strength Buff.</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Blood Draw and Blooddrinker.</t>
      </text>
    </comment>
    <comment authorId="0" ref="T41">
      <text>
        <t xml:space="preserve">Only used if talented.</t>
      </text>
    </comment>
    <comment authorId="0" ref="V8">
      <text>
        <t xml:space="preserve">Checks to make sure magic damage exists to absorb.</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T75">
      <text>
        <t xml:space="preserve">Cast Rate is equal to Reaper's Mark casts.</t>
      </text>
    </comment>
    <comment authorId="0" ref="S9">
      <text>
        <t xml:space="preserve">Blood Draw and Blooddrinker.</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V9">
      <text>
        <t xml:space="preserve">Checks to make sure magic damage exists to absorb after accounting for non-AoE incoming magic damage.</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San'layn Tier Set</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Scent of Blood.</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This only accounts for average attack speed when Crimson Scourge is able to proc. So Unholy Ground is not included.</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 Racial, Osmosis, and Sanguine Ground.</t>
      </text>
    </comment>
    <comment authorId="0" ref="L15">
      <text>
        <t xml:space="preserve">Including a correction for Evelasting Bond (a crude one).</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Taken from Baseline Profile.</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Taken from Baseline Profile.</t>
      </text>
    </comment>
    <comment authorId="0" ref="Y55">
      <text>
        <t xml:space="preserve">Accounting for overhealing.</t>
      </text>
    </comment>
    <comment authorId="0" ref="J6">
      <text>
        <t xml:space="preserve">Adjusts for Fallen Crusader, Dark Iron Racial, Rune Mastery (crudely), Visceral Regeneration, and Mechagnome racial (100% uptime).</t>
      </text>
    </comment>
    <comment authorId="0" ref="M72">
      <text>
        <t xml:space="preserve">Accounting for Improved Vampiric Blood, Consumption, Versatility, and Gloom Ward.</t>
      </text>
    </comment>
    <comment authorId="0" ref="T72">
      <text>
        <t xml:space="preserve">Cast frequency equal to Vampiric Blood when talented.</t>
      </text>
    </comment>
    <comment authorId="0" ref="S6">
      <text>
        <t xml:space="preserve">Stoneform, Blooddrinker, and Blood Draw.</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Taken from Baseline Profile.</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Blooddrinker, and Blood Draw.</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Blood/
Night Elf Racial, Worgen Racial, Merciless Strikes, Deathbringer Tier Set,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D157">
      <text>
        <t xml:space="preserve">Effective Strength Buff.</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Blood Draw and Blooddrinker.</t>
      </text>
    </comment>
    <comment authorId="0" ref="T41">
      <text>
        <t xml:space="preserve">Only used if talented.</t>
      </text>
    </comment>
    <comment authorId="0" ref="V8">
      <text>
        <t xml:space="preserve">Checks to make sure magic damage exists to absorb.</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T75">
      <text>
        <t xml:space="preserve">Cast Rate is equal to Reaper's Mark casts.</t>
      </text>
    </comment>
    <comment authorId="0" ref="S9">
      <text>
        <t xml:space="preserve">Blood Draw and Blooddrinker.</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V9">
      <text>
        <t xml:space="preserve">Checks to make sure magic damage exists to absorb after accounting for non-AoE incoming magic damage.</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San'layn Tier Set</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Scent of Blood.</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This only accounts for average attack speed when Crimson Scourge is able to proc. So Unholy Ground is not included.</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 Racial, Osmosis, and Sanguine Ground.</t>
      </text>
    </comment>
    <comment authorId="0" ref="L15">
      <text>
        <t xml:space="preserve">Including a correction for Evelasting Bond (a crude one).</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Taken from Baseline Profile.</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Taken from Baseline Profile.</t>
      </text>
    </comment>
    <comment authorId="0" ref="Y55">
      <text>
        <t xml:space="preserve">Accounting for overhealing.</t>
      </text>
    </comment>
    <comment authorId="0" ref="J6">
      <text>
        <t xml:space="preserve">Adjusts for Fallen Crusader, Dark Iron Racial, Rune Mastery (crudely), Visceral Regeneration, and Mechagnome racial (100% uptime).</t>
      </text>
    </comment>
    <comment authorId="0" ref="M72">
      <text>
        <t xml:space="preserve">Accounting for Improved Vampiric Blood, Consumption, Versatility, and Gloom Ward.</t>
      </text>
    </comment>
    <comment authorId="0" ref="T72">
      <text>
        <t xml:space="preserve">Cast frequency equal to Vampiric Blood when talented.</t>
      </text>
    </comment>
    <comment authorId="0" ref="S6">
      <text>
        <t xml:space="preserve">Stoneform, Blooddrinker, and Blood Draw.</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Taken from Baseline Profile.</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Blooddrinker, and Blood Draw.</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Blood/
Night Elf Racial, Worgen Racial, Merciless Strikes, Deathbringer Tier Set,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D157">
      <text>
        <t xml:space="preserve">Effective Strength Buff.</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Blood Draw and Blooddrinker.</t>
      </text>
    </comment>
    <comment authorId="0" ref="T41">
      <text>
        <t xml:space="preserve">Only used if talented.</t>
      </text>
    </comment>
    <comment authorId="0" ref="V8">
      <text>
        <t xml:space="preserve">Checks to make sure magic damage exists to absorb.</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T75">
      <text>
        <t xml:space="preserve">Cast Rate is equal to Reaper's Mark casts.</t>
      </text>
    </comment>
    <comment authorId="0" ref="S9">
      <text>
        <t xml:space="preserve">Blood Draw and Blooddrinker.</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V9">
      <text>
        <t xml:space="preserve">Checks to make sure magic damage exists to absorb after accounting for non-AoE incoming magic damage.</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San'layn Tier Set</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Scent of Blood.</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This only accounts for average attack speed when Crimson Scourge is able to proc. So Unholy Ground is not included.</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 Racial, Osmosis, and Sanguine Ground.</t>
      </text>
    </comment>
    <comment authorId="0" ref="L15">
      <text>
        <t xml:space="preserve">Including a correction for Evelasting Bond (a crude one).</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Taken from Baseline Profile.</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Taken from Baseline Profile.</t>
      </text>
    </comment>
    <comment authorId="0" ref="Y55">
      <text>
        <t xml:space="preserve">Accounting for overhealing.</t>
      </text>
    </comment>
    <comment authorId="0" ref="J6">
      <text>
        <t xml:space="preserve">Adjusts for Fallen Crusader, Dark Iron Racial, Rune Mastery (crudely), Visceral Regeneration, and Mechagnome racial (100% uptime).</t>
      </text>
    </comment>
    <comment authorId="0" ref="M72">
      <text>
        <t xml:space="preserve">Accounting for Improved Vampiric Blood, Consumption, Versatility, and Gloom Ward.</t>
      </text>
    </comment>
    <comment authorId="0" ref="T72">
      <text>
        <t xml:space="preserve">Cast frequency equal to Vampiric Blood when talented.</t>
      </text>
    </comment>
    <comment authorId="0" ref="S6">
      <text>
        <t xml:space="preserve">Stoneform, Blooddrinker, and Blood Draw.</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Taken from Baseline Profile.</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Blooddrinker, and Blood Draw.</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Blood/
Night Elf Racial, Worgen Racial, Merciless Strikes, Deathbringer Tier Set,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D157">
      <text>
        <t xml:space="preserve">Effective Strength Buff.</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Blood Draw and Blooddrinker.</t>
      </text>
    </comment>
    <comment authorId="0" ref="T41">
      <text>
        <t xml:space="preserve">Only used if talented.</t>
      </text>
    </comment>
    <comment authorId="0" ref="V8">
      <text>
        <t xml:space="preserve">Checks to make sure magic damage exists to absorb.</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T75">
      <text>
        <t xml:space="preserve">Cast Rate is equal to Reaper's Mark casts.</t>
      </text>
    </comment>
    <comment authorId="0" ref="S9">
      <text>
        <t xml:space="preserve">Blood Draw and Blooddrinker.</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V9">
      <text>
        <t xml:space="preserve">Checks to make sure magic damage exists to absorb after accounting for non-AoE incoming magic damage.</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San'layn Tier Set</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Scent of Blood.</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This only accounts for average attack speed when Crimson Scourge is able to proc. So Unholy Ground is not included.</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 Racial, Osmosis, and Sanguine Ground.</t>
      </text>
    </comment>
    <comment authorId="0" ref="L15">
      <text>
        <t xml:space="preserve">Including a correction for Evelasting Bond (a crude one).</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in seconds</t>
      </text>
    </comment>
    <comment authorId="0" ref="S50">
      <text>
        <t xml:space="preserve">Accounting for Player Delay.</t>
      </text>
    </comment>
    <comment authorId="0" ref="T50">
      <text>
        <t xml:space="preserve">Only used if Vulpera based on selected behavior.</t>
      </text>
    </comment>
    <comment authorId="0" ref="Y50">
      <text>
        <t xml:space="preserve">Accounting for overhealing.</t>
      </text>
    </comment>
    <comment authorId="0" ref="S67">
      <text>
        <t xml:space="preserve">Accounting for Haste and BLP.</t>
      </text>
    </comment>
    <comment authorId="0" ref="T67">
      <text>
        <t xml:space="preserve">Only active if talented.</t>
      </text>
    </comment>
    <comment authorId="0" ref="H51">
      <text>
        <t xml:space="preserve">Source: Wowhead</t>
      </text>
    </comment>
    <comment authorId="0" ref="X34">
      <text>
        <t xml:space="preserve">Healing only occurs if Kul Tiran.</t>
      </text>
    </comment>
    <comment authorId="0" ref="Y34">
      <text>
        <t xml:space="preserve">Accounting for overhealing.</t>
      </text>
    </comment>
    <comment authorId="0" ref="J51">
      <text>
        <t xml:space="preserve">Accounting for Averaged Buffed Strength, Orc Racial, Versatility, Weapon Damage, Mastery Attack Power, Ability-specific multipliers, Improved Heart Strike, and Number of Damage Instances as applicable.</t>
      </text>
    </comment>
    <comment authorId="0" ref="K51">
      <text>
        <t xml:space="preserve">Accounting for Critical Strike, Armor Reduction, Bloodshot, Misc. Damage Multiplier, and Multiple Targets</t>
      </text>
    </comment>
    <comment authorId="0" ref="M51">
      <text>
        <t xml:space="preserve">Accounting for Leech and Leeching Strike.</t>
      </text>
    </comment>
    <comment authorId="0" ref="O51">
      <text>
        <t xml:space="preserve">Accounting for Heartbreaker, Improved Death and Decay, Dancing Rune Weapon, Everlasting Bond, and Death and Decay uptime.</t>
      </text>
    </comment>
    <comment authorId="0" ref="S18">
      <text>
        <t xml:space="preserve">Accounting for Player Delay.</t>
      </text>
    </comment>
    <comment authorId="0" ref="T51">
      <text>
        <t xml:space="preserve">Calculated by taking rune regeneration and subtracting other sources of rune usage. Unless damage is prioritized and three or more targets are present, Heart Strikes are throttled after Blood Boils to control for available cast time.</t>
      </text>
    </comment>
    <comment authorId="0" ref="T18">
      <text>
        <t xml:space="preserve">Only casts if talented.</t>
      </text>
    </comment>
    <comment authorId="0" ref="H68">
      <text>
        <t xml:space="preserve">Source: Wowhead</t>
      </text>
    </comment>
    <comment authorId="0" ref="H35">
      <text>
        <t xml:space="preserve">Source: Wowhead</t>
      </text>
    </comment>
    <comment authorId="0" ref="Y51">
      <text>
        <t xml:space="preserve">Accounting for overhealing.</t>
      </text>
    </comment>
    <comment authorId="0" ref="J68">
      <text>
        <t xml:space="preserve">Accounting for Averaged Buffed Strength, Orc Racial, Versatility, Nightborne Racial, Weapon Damage, Mastery Attack Power, Ability-specific multipliers, and Number of Damage Instances as applicable.</t>
      </text>
    </comment>
    <comment authorId="0" ref="J35">
      <text>
        <t xml:space="preserve">Accounting for Averaged Buffed Strength, Orc Racial, Versatility, Weapon Damage, Mastery Attack Power, Ability-specific multipliers, and Number of Damage Instances as applicable.</t>
      </text>
    </comment>
    <comment authorId="0" ref="K68">
      <text>
        <t xml:space="preserve">Accounting for Critical Strike, Multiple Targets, Misc. Damage Multipliers, Incite Terror, Innate Damage Increase Effect, and Bloodshot.</t>
      </text>
    </comment>
    <comment authorId="0" ref="K35">
      <text>
        <t xml:space="preserve">Accounting for Critical Strike, Multiple Targets, Misc. Damage Multipliers, Bloodshot and Number of Damage Instances. As well as Blood Plague damage.</t>
      </text>
    </comment>
    <comment authorId="0" ref="M68">
      <text>
        <t xml:space="preserve">Accounting for Leech.</t>
      </text>
    </comment>
    <comment authorId="0" ref="M35">
      <text>
        <t xml:space="preserve">Accounting for Leech and Blood Plague ticks.</t>
      </text>
    </comment>
    <comment authorId="0" ref="S35">
      <text>
        <t xml:space="preserve">Accounting for Player Delay and Carnage.</t>
      </text>
    </comment>
    <comment authorId="0" ref="T68">
      <text>
        <t xml:space="preserve">The same frequency as Swarming Mist if talented.</t>
      </text>
    </comment>
    <comment authorId="0" ref="T35">
      <text>
        <t xml:space="preserve">Only used if talented and if manually specified.</t>
      </text>
    </comment>
    <comment authorId="0" ref="Y68">
      <text>
        <t xml:space="preserve">Accounting for overhealing.</t>
      </text>
    </comment>
    <comment authorId="0" ref="Y35">
      <text>
        <t xml:space="preserve">Accounting for overhealing.</t>
      </text>
    </comment>
    <comment authorId="0" ref="M19">
      <text>
        <t xml:space="preserve">"Healing" from this ability is accounted for in another section.</t>
      </text>
    </comment>
    <comment authorId="0" ref="O19">
      <text>
        <t xml:space="preserve">Adjusts AMS RP per Second with casts per second of AMS</t>
      </text>
    </comment>
    <comment authorId="0" ref="S19">
      <text>
        <t xml:space="preserve">Includes Anti-Magic Barrier and Unyielding Will adjustment.</t>
      </text>
    </comment>
    <comment authorId="0" ref="T52">
      <text>
        <t xml:space="preserve">Only used when talented and adjusted for Defensive Utilization.</t>
      </text>
    </comment>
    <comment authorId="0" ref="T19">
      <text>
        <t xml:space="preserve">Only used if talented and based on the general defensive utilization assumption as well as an additional utilization adjustment for situational use.</t>
      </text>
    </comment>
    <comment authorId="0" ref="H36">
      <text>
        <t xml:space="preserve">Source: Wowhead</t>
      </text>
    </comment>
    <comment authorId="0" ref="X19">
      <text>
        <t xml:space="preserve">"Healing" from this ability is accounted for in another section.</t>
      </text>
    </comment>
    <comment authorId="0" ref="Y19">
      <text>
        <t xml:space="preserve">"Healing" from this ability is accounted for in another section.</t>
      </text>
    </comment>
    <comment authorId="0" ref="J36">
      <text>
        <t xml:space="preserve">Accounting for Averaged Buffed Strength, Versatility, Weapon Damage, Mastery Attack Power, Ability-specific multipliers, and Number of Damage Instances as applicable.</t>
      </text>
    </comment>
    <comment authorId="0" ref="K69">
      <text>
        <t xml:space="preserve">Accounting for Multiple Targets, Spec Aura, Echoing Fury, and Sanguine Ground.</t>
      </text>
    </comment>
    <comment authorId="0" ref="K36">
      <text>
        <t xml:space="preserve">Accounting for Critical Strike and Misc. Damage Multipliers.</t>
      </text>
    </comment>
    <comment authorId="0" ref="M69">
      <text>
        <t xml:space="preserve">Accounting for Leech.</t>
      </text>
    </comment>
    <comment authorId="0" ref="S36">
      <text>
        <t xml:space="preserve">Accounting for Player Delay.</t>
      </text>
    </comment>
    <comment authorId="0" ref="T69">
      <text>
        <t xml:space="preserve">Cast Rate is equal to Reaper's Mark explosions.</t>
      </text>
    </comment>
    <comment authorId="0" ref="T36">
      <text>
        <t xml:space="preserve">Only used if Vulpera based on selected behavior.</t>
      </text>
    </comment>
    <comment authorId="0" ref="Y69">
      <text>
        <t xml:space="preserve">Accounting for overhealing.</t>
      </text>
    </comment>
    <comment authorId="0" ref="Y36">
      <text>
        <t xml:space="preserve">Accounting for overhealing.</t>
      </text>
    </comment>
    <comment authorId="0" ref="J53">
      <text>
        <t xml:space="preserve">This is assuming a 10% extension proc as opposed to a 100% consumption proc as well as full nominal Blood Plague duration.</t>
      </text>
    </comment>
    <comment authorId="0" ref="K53">
      <text>
        <t xml:space="preserve">Accounting for Critical Strike, Incite Terror, Consumption, and Multiple Targets</t>
      </text>
    </comment>
    <comment authorId="0" ref="M53">
      <text>
        <t xml:space="preserve">Accounting for Leech</t>
      </text>
    </comment>
    <comment authorId="0" ref="S20">
      <text>
        <t xml:space="preserve">Accounting for Assimilation</t>
      </text>
    </comment>
    <comment authorId="0" ref="T53">
      <text>
        <t xml:space="preserve">If San'layn, casts equal to Vampiric Strike casts.</t>
      </text>
    </comment>
    <comment authorId="0" ref="T20">
      <text>
        <t xml:space="preserve">Only used if talented and will only be used based on the manually specified utilization rate.</t>
      </text>
    </comment>
    <comment authorId="0" ref="G4">
      <text>
        <t xml:space="preserve">Many of these values include average proc and buff modifiers, so they may not match character sheet values.</t>
      </text>
    </comment>
    <comment authorId="0" ref="Y53">
      <text>
        <t xml:space="preserve">Accounting for overhealing.</t>
      </text>
    </comment>
    <comment authorId="0" ref="T70">
      <text>
        <t xml:space="preserve">Only used if dwarf and based on defensive utilization.</t>
      </text>
    </comment>
    <comment authorId="0" ref="H21">
      <text>
        <t xml:space="preserve">Source: Wowhead</t>
      </text>
    </comment>
    <comment authorId="0" ref="J21">
      <text>
        <t xml:space="preserve">Accounting for Averaged Buffed Strength, Versatility, Weapon Damage, Nightborne Racial, Mastery Attack Power, Ability-specific multipliers, and Number of Damage Instances as applicable.</t>
      </text>
    </comment>
    <comment authorId="0" ref="K21">
      <text>
        <t xml:space="preserve">Accounting for Critical Strike, Bloodshot, Multiple Targets, and Misc. Damage Multipliers.</t>
      </text>
    </comment>
    <comment authorId="0" ref="M54">
      <text>
        <t xml:space="preserve">Healing from this ability is directly accounted for with Leech.</t>
      </text>
    </comment>
    <comment authorId="0" ref="M21">
      <text>
        <t xml:space="preserve">Accounting for Leech</t>
      </text>
    </comment>
    <comment authorId="0" ref="S54">
      <text>
        <t xml:space="preserve">Correcting for Death's Messenger</t>
      </text>
    </comment>
    <comment authorId="0" ref="S21">
      <text>
        <t xml:space="preserve">Accounting for Player Delay.</t>
      </text>
    </comment>
    <comment authorId="0" ref="T54">
      <text>
        <t xml:space="preserve">Only used when talented and adjusted for Defensive Utilization.</t>
      </text>
    </comment>
    <comment authorId="0" ref="T21">
      <text>
        <t xml:space="preserve">Only used if appropriate race.</t>
      </text>
    </comment>
    <comment authorId="0" ref="H71">
      <text>
        <t xml:space="preserve">Source: In-game testing</t>
      </text>
    </comment>
    <comment authorId="0" ref="X54">
      <text>
        <t xml:space="preserve">Healing from this ability is directly accounted for with Leech.</t>
      </text>
    </comment>
    <comment authorId="0" ref="H5">
      <text>
        <t xml:space="preserve">Taken from Baseline Profile.</t>
      </text>
    </comment>
    <comment authorId="0" ref="Y54">
      <text>
        <t xml:space="preserve">Healing from this ability is directly accounted for with Leech.</t>
      </text>
    </comment>
    <comment authorId="0" ref="Y21">
      <text>
        <t xml:space="preserve">Accounting for overhealing.</t>
      </text>
    </comment>
    <comment authorId="0" ref="K71">
      <text>
        <t xml:space="preserve">Accounting for Critical Strike, Misc. Damage Multipliers, Bloodshot, and Incite Terror.</t>
      </text>
    </comment>
    <comment authorId="0" ref="J5">
      <text>
        <t xml:space="preserve">Adds Bone Shield bonus accounting for Reinforced Bones and Zandalar.</t>
      </text>
    </comment>
    <comment authorId="0" ref="K38">
      <text>
        <t xml:space="preserve">Accounting for Auto-Attacks, Blood Plague, Blood Boil, Marrowrend, Death's Caress, Death Strike, Heart Strike, Everlasting Bond, Bloodshot removal, and Vampiric Strike.</t>
      </text>
    </comment>
    <comment authorId="0" ref="P38">
      <text>
        <t xml:space="preserve">Bone Shield charges generated per cast based on manual input if Crimson Rune Weapon is active. It is currently assumed no Marrowrend are used during Dancing Rune Weapon.</t>
      </text>
    </comment>
    <comment authorId="0" ref="R71">
      <text>
        <t xml:space="preserve">Internal Cooldown of 15 sec</t>
      </text>
    </comment>
    <comment authorId="0" ref="S71">
      <text>
        <t xml:space="preserve">Oversimplified</t>
      </text>
    </comment>
    <comment authorId="0" ref="S38">
      <text>
        <t xml:space="preserve">Accounts for Insatiable Blade and Player Cast Delay.</t>
      </text>
    </comment>
    <comment authorId="0" ref="T71">
      <text>
        <t xml:space="preserve">Used only when Undead.</t>
      </text>
    </comment>
    <comment authorId="0" ref="T38">
      <text>
        <t xml:space="preserve">Only if talented and used based on defensive utilization.</t>
      </text>
    </comment>
    <comment authorId="0" ref="Y71">
      <text>
        <t xml:space="preserve">Accounting for overhealing.</t>
      </text>
    </comment>
    <comment authorId="0" ref="M55">
      <text>
        <t xml:space="preserve">20% of Death Strike Healing</t>
      </text>
    </comment>
    <comment authorId="0" ref="S22">
      <text>
        <t xml:space="preserve">Accounting for Player Delay.</t>
      </text>
    </comment>
    <comment authorId="0" ref="T55">
      <text>
        <t xml:space="preserve">Equal in casts to Death Strike if talented.</t>
      </text>
    </comment>
    <comment authorId="0" ref="T22">
      <text>
        <t xml:space="preserve">Only used if appropriate race.</t>
      </text>
    </comment>
    <comment authorId="0" ref="H6">
      <text>
        <t xml:space="preserve">Taken from Baseline Profile.</t>
      </text>
    </comment>
    <comment authorId="0" ref="Y55">
      <text>
        <t xml:space="preserve">Accounting for overhealing.</t>
      </text>
    </comment>
    <comment authorId="0" ref="J6">
      <text>
        <t xml:space="preserve">Adjusts for Fallen Crusader, Dark Iron Racial, Rune Mastery (crudely), Visceral Regeneration, and Mechagnome racial (100% uptime).</t>
      </text>
    </comment>
    <comment authorId="0" ref="M72">
      <text>
        <t xml:space="preserve">Accounting for Improved Vampiric Blood, Consumption, Versatility, and Gloom Ward.</t>
      </text>
    </comment>
    <comment authorId="0" ref="T72">
      <text>
        <t xml:space="preserve">Cast frequency equal to Vampiric Blood when talented.</t>
      </text>
    </comment>
    <comment authorId="0" ref="S6">
      <text>
        <t xml:space="preserve">Stoneform, Blooddrinker, and Blood Draw.</t>
      </text>
    </comment>
    <comment authorId="0" ref="H56">
      <text>
        <t xml:space="preserve">Source: Wowhead</t>
      </text>
    </comment>
    <comment authorId="0" ref="J56">
      <text>
        <t xml:space="preserve">Accounting for Averaged Buffed Strength, Versatility, Weapon Damage, Mastery Attack Power, Ability-specific multipliers, and Number of Damage Instances as applicable.</t>
      </text>
    </comment>
    <comment authorId="0" ref="J23">
      <text>
        <t xml:space="preserve">Accounting for Averaged Buffed Strength, Orc Racial, Versatility, Weapon Damage, Mastery Attack Power, Ability-specific multipliers, and Number of Damage Instances as applicable.</t>
      </text>
    </comment>
    <comment authorId="0" ref="K56">
      <text>
        <t xml:space="preserve">Accounting for Critical Strike, Multiple Targets, Bloodshot, and Misc. Damage Multipliers.</t>
      </text>
    </comment>
    <comment authorId="0" ref="K23">
      <text>
        <t xml:space="preserve">Accounting for Critical Strike, Enemy Armor, Bloodshot, and Misc. Damage Multipliers.</t>
      </text>
    </comment>
    <comment authorId="0" ref="M56">
      <text>
        <t xml:space="preserve">Accounting for Leech.</t>
      </text>
    </comment>
    <comment authorId="0" ref="M23">
      <text>
        <t xml:space="preserve">Accounting for Leech</t>
      </text>
    </comment>
    <comment authorId="0" ref="S56">
      <text>
        <t xml:space="preserve">Accounting for Player Delay.</t>
      </text>
    </comment>
    <comment authorId="0" ref="S23">
      <text>
        <t xml:space="preserve">After accounting for Haste and Dark Talons precision.</t>
      </text>
    </comment>
    <comment authorId="0" ref="T56">
      <text>
        <t xml:space="preserve">Only used when Lightforged Draenei.</t>
      </text>
    </comment>
    <comment authorId="0" ref="H40">
      <text>
        <t xml:space="preserve">Source: Wowhead</t>
      </text>
    </comment>
    <comment authorId="0" ref="H7">
      <text>
        <t xml:space="preserve">Taken from Baseline Profile.</t>
      </text>
    </comment>
    <comment authorId="0" ref="Y56">
      <text>
        <t xml:space="preserve">Accounting for overhealing.</t>
      </text>
    </comment>
    <comment authorId="0" ref="Y23">
      <text>
        <t xml:space="preserve">Accounting for overhealing.</t>
      </text>
    </comment>
    <comment authorId="0" ref="J40">
      <text>
        <t xml:space="preserve">Accounting for Averaged Buffed Strength, Orc Racial, Nightborne Racial, Versatility, Weapon Damage, Mastery Attack Power, Ability-specific multipliers, and Number of Damage Instances as applicable.</t>
      </text>
    </comment>
    <comment authorId="0" ref="K40">
      <text>
        <t xml:space="preserve">Accounting for Critical Strike, Multiple Targets, Incite Terror, Bloodshot, and Misc. Damage Multipliers.</t>
      </text>
    </comment>
    <comment authorId="0" ref="M73">
      <text>
        <t xml:space="preserve">Accounting for Unholy Bond</t>
      </text>
    </comment>
    <comment authorId="0" ref="L7">
      <text>
        <t xml:space="preserve">Accounting for Foul Bulwark and Zandalar.</t>
      </text>
    </comment>
    <comment authorId="0" ref="M40">
      <text>
        <t xml:space="preserve">Accounting for Leech and Relish in Blood (based on DnD cast behavior)</t>
      </text>
    </comment>
    <comment authorId="0" ref="N40">
      <text>
        <t xml:space="preserve">Adjusted for Death's Echo and DnD Cast Behavior.</t>
      </text>
    </comment>
    <comment authorId="0" ref="O40">
      <text>
        <t xml:space="preserve">Adjusted for Relish in Blood, Death's Echo, and DnD Cast Behavior.</t>
      </text>
    </comment>
    <comment authorId="0" ref="S73">
      <text>
        <t xml:space="preserve">Effective cooldown after accounting for bad luck protection and haste.</t>
      </text>
    </comment>
    <comment authorId="0" ref="S40">
      <text>
        <t xml:space="preserve">Correcting for DnD Cast Behavior, Death's Echo, and Player Delay.</t>
      </text>
    </comment>
    <comment authorId="0" ref="T73">
      <text>
        <t xml:space="preserve">Only used if equipped.</t>
      </text>
    </comment>
    <comment authorId="0" ref="S7">
      <text>
        <t xml:space="preserve">Stoneform, Blooddrinker, and Blood Draw.</t>
      </text>
    </comment>
    <comment authorId="0" ref="H57">
      <text>
        <t xml:space="preserve">Source: Wowhead</t>
      </text>
    </comment>
    <comment authorId="0" ref="Y73">
      <text>
        <t xml:space="preserve">Accounting for overhealing.</t>
      </text>
    </comment>
    <comment authorId="0" ref="Y40">
      <text>
        <t xml:space="preserve">Accounting for overhealing.</t>
      </text>
    </comment>
    <comment authorId="0" ref="J57">
      <text>
        <t xml:space="preserve">Accounting for Averaged Buffed Strength, Orc Racial, Versatility, Weapon Damage, Mastery Attack Power, Ability-specific multipliers, and Number of Damage Instances as applicable.</t>
      </text>
    </comment>
    <comment authorId="0" ref="J24">
      <text>
        <t xml:space="preserve">Accounting for Averaged Buffed Strength, Orc Racial, Versatility, Weapon Damage, Mastery Attack Power, Ability-specific multipliers, and Number of Damage Instances as applicable.</t>
      </text>
    </comment>
    <comment authorId="0" ref="K57">
      <text>
        <t xml:space="preserve">Accounting for Critical Strike, Enemy Armor, Bloodshot, and Misc. Damage Multipliers.</t>
      </text>
    </comment>
    <comment authorId="0" ref="K24">
      <text>
        <t xml:space="preserve">Accounting for Critical Strike, Enemy Armor, Duration, Incite Terror, Tier Set, and Misc. Damage Multipliers. Corrupted Blood is also factored in.</t>
      </text>
    </comment>
    <comment authorId="0" ref="M57">
      <text>
        <t xml:space="preserve">Accounting for Leech.</t>
      </text>
    </comment>
    <comment authorId="0" ref="M24">
      <text>
        <t xml:space="preserve">Blood Beasts heal for 50% of combined Melee and Corrupted Blood damage. Double Dipping has also been removed since damage-only-amps do not double dip with the heal.</t>
      </text>
    </comment>
    <comment authorId="0" ref="S24">
      <text>
        <t xml:space="preserve">Equal to DRW cooldown</t>
      </text>
    </comment>
    <comment authorId="0" ref="T57">
      <text>
        <t xml:space="preserve">Cast frequency based on net Bone Shield consumption.</t>
      </text>
    </comment>
    <comment authorId="0" ref="D8">
      <text>
        <t xml:space="preserve">Mag'har racial adjustment.</t>
      </text>
    </comment>
    <comment authorId="0" ref="T24">
      <text>
        <t xml:space="preserve">Only active when San'layn</t>
      </text>
    </comment>
    <comment authorId="0" ref="H8">
      <text>
        <t xml:space="preserve">Includes adjustment for Blood/
Night Elf Racial, Worgen Racial, Merciless Strikes, Deathbringer Tier Set, and Zandalari Racial.</t>
      </text>
    </comment>
    <comment authorId="0" ref="Y57">
      <text>
        <t xml:space="preserve">Accounting for overhealing.</t>
      </text>
    </comment>
    <comment authorId="0" ref="J74">
      <text>
        <t xml:space="preserve">Accounting for Averaged Buffed Strength, Orc Racial, Versatility, Weapon Damage, Mastery Attack Power, Nightborn Racial, Ability-specific multipliers, Improved Heart Strike, and Number of Damage Instances as applicable.</t>
      </text>
    </comment>
    <comment authorId="0" ref="Y24">
      <text>
        <t xml:space="preserve">Accounting for overhealing.</t>
      </text>
    </comment>
    <comment authorId="0" ref="K74">
      <text>
        <t xml:space="preserve">Accounting for Critical Strike, Incite Terror, Misc. Damage Multipliers, Bloodshot, and Multiple Targets</t>
      </text>
    </comment>
    <comment authorId="0" ref="J8">
      <text>
        <t xml:space="preserve">Includes Tauren/Dwarf Racial
</t>
      </text>
    </comment>
    <comment authorId="0" ref="M74">
      <text>
        <t xml:space="preserve">Accounting for Leech and Leeching Strike.</t>
      </text>
    </comment>
    <comment authorId="0" ref="L8">
      <text>
        <t xml:space="preserve">Adjusts for Human Racial.</t>
      </text>
    </comment>
    <comment authorId="0" ref="M41">
      <text>
        <t xml:space="preserve">Healing after subtracting the healing absorb.</t>
      </text>
    </comment>
    <comment authorId="0" ref="D157">
      <text>
        <t xml:space="preserve">Effective Strength Buff.</t>
      </text>
    </comment>
    <comment authorId="0" ref="E157">
      <text>
        <t xml:space="preserve">Effective Parry DR</t>
      </text>
    </comment>
    <comment authorId="0" ref="S41">
      <text>
        <t xml:space="preserve">Accounting for Player Delay.</t>
      </text>
    </comment>
    <comment authorId="0" ref="T74">
      <text>
        <t xml:space="preserve">These casts are taken out of Heart Strike casts for DPS/HPS calculations.</t>
      </text>
    </comment>
    <comment authorId="0" ref="S8">
      <text>
        <t xml:space="preserve">Blood Draw and Blooddrinker.</t>
      </text>
    </comment>
    <comment authorId="0" ref="T41">
      <text>
        <t xml:space="preserve">Only used if talented.</t>
      </text>
    </comment>
    <comment authorId="0" ref="V8">
      <text>
        <t xml:space="preserve">Checks to make sure magic damage exists to absorb.</t>
      </text>
    </comment>
    <comment authorId="0" ref="H25">
      <text>
        <t xml:space="preserve">Source: Wowhead</t>
      </text>
    </comment>
    <comment authorId="0" ref="Y74">
      <text>
        <t xml:space="preserve">Accounting for overhealing.</t>
      </text>
    </comment>
    <comment authorId="0" ref="Y41">
      <text>
        <t xml:space="preserve">Assumed not to overheal.</t>
      </text>
    </comment>
    <comment authorId="0" ref="J25">
      <text>
        <t xml:space="preserve">Accounting for Averaged Buffed Strength, Orc Racial, Versatility, Nightborne Racial, Weapon Damage, Mastery Attack Power, Ability-specific multipliers, and Number of Damage Instances as applicable.</t>
      </text>
    </comment>
    <comment authorId="0" ref="K25">
      <text>
        <t xml:space="preserve">Accounting for Critical Strike, Multiple Targets, Misc. Damage Multipliers, Incite Terror, Wave of Souls, and Razorice (with Deathbringer).</t>
      </text>
    </comment>
    <comment authorId="0" ref="M25">
      <text>
        <t xml:space="preserve">Accounting for Leech</t>
      </text>
    </comment>
    <comment authorId="0" ref="O58">
      <text>
        <t xml:space="preserve">Accounting for Coldthirst.</t>
      </text>
    </comment>
    <comment authorId="0" ref="S58">
      <text>
        <t xml:space="preserve">Adjusted for Coldthirst.</t>
      </text>
    </comment>
    <comment authorId="0" ref="S25">
      <text>
        <t xml:space="preserve">Adjusted for haste, and cast delay based on number of charges.</t>
      </text>
    </comment>
    <comment authorId="0" ref="T58">
      <text>
        <t xml:space="preserve">Cast frequency is determined by manual input for mind freeze utilization.</t>
      </text>
    </comment>
    <comment authorId="0" ref="D9">
      <text>
        <t xml:space="preserve">Mag'har racial adjustment.</t>
      </text>
    </comment>
    <comment authorId="0" ref="T25">
      <text>
        <t xml:space="preserve">Assumed to always be talented. Under normal circumstances, Blood Boil casts are normally first ability to be throttled if not enough cast time is available to use all abilities unless damage is being prioritized on three or more targets.. However, at a minimum, Blood Plague is maintained.</t>
      </text>
    </comment>
    <comment authorId="0" ref="V25">
      <text>
        <t xml:space="preserve">Boiling Point casts accounted for here.</t>
      </text>
    </comment>
    <comment authorId="0" ref="H75">
      <text>
        <t xml:space="preserve">Source: Wowhead</t>
      </text>
    </comment>
    <comment authorId="0" ref="W25">
      <text>
        <t xml:space="preserve">Boiling Point casts accounted for here.</t>
      </text>
    </comment>
    <comment authorId="0" ref="H42">
      <text>
        <t xml:space="preserve">Source: Wowhead</t>
      </text>
    </comment>
    <comment authorId="0" ref="H9">
      <text>
        <t xml:space="preserve">Includes Goblin/Gnome Racial.</t>
      </text>
    </comment>
    <comment authorId="0" ref="X25">
      <text>
        <t xml:space="preserve">Boiling Point casts accounted for here.</t>
      </text>
    </comment>
    <comment authorId="0" ref="J75">
      <text>
        <t xml:space="preserve">Accounting for Averaged Buffed Strength, Orc Racial, Versatility, Nightborne Racial, Weapon Damage, Mastery Attack Power, Ability-specific multipliers, and Number of Damage Instances as applicable.</t>
      </text>
    </comment>
    <comment authorId="0" ref="Y25">
      <text>
        <t xml:space="preserve">Accounting for overhealing.</t>
      </text>
    </comment>
    <comment authorId="0" ref="J42">
      <text>
        <t xml:space="preserve">Accounting for Averaged Buffed Strength, Orc Racial, Versatility, Weapon Damage, Bloodshot, Mastery Attack Power, Ability-specific multipliers, and Number of Damage Instances as applicable.</t>
      </text>
    </comment>
    <comment authorId="0" ref="K75">
      <text>
        <t xml:space="preserve">Accounting for Critical Strike (Modified), Razorice, Unholy Bond, Misc. Damage Multipliers, Wave of Souls (Modified), and both hits.</t>
      </text>
    </comment>
    <comment authorId="0" ref="J9">
      <text>
        <t xml:space="preserve">Including Berserking, Improved Bone Shield, and Unholy Momentum.</t>
      </text>
    </comment>
    <comment authorId="0" ref="K42">
      <text>
        <t xml:space="preserve">Accounting for Critical Strike, Armor Reduction, Hemostasis, Unholy Bond, Bloodshot, Heartrend, Wave of Souls, and Rune of Sanguination (assuming 50% target HP, on average)</t>
      </text>
    </comment>
    <comment authorId="0" ref="M75">
      <text>
        <t xml:space="preserve">Accounting for Leech.</t>
      </text>
    </comment>
    <comment authorId="0" ref="M42">
      <text>
        <t xml:space="preserve">Accounting for Leech, Hemostasis, Damage Taken, Voracious, Number of Targets, Improved Death Strike, Versatility, and Misc. Healing Multipliers.</t>
      </text>
    </comment>
    <comment authorId="0" ref="O42">
      <text>
        <t xml:space="preserve">Affected by Ossuary and Improved Death Strike.</t>
      </text>
    </comment>
    <comment authorId="0" ref="T75">
      <text>
        <t xml:space="preserve">Cast Rate is equal to Reaper's Mark casts.</t>
      </text>
    </comment>
    <comment authorId="0" ref="S9">
      <text>
        <t xml:space="preserve">Blood Draw and Blooddrinker.</t>
      </text>
    </comment>
    <comment authorId="0" ref="T42">
      <text>
        <t xml:space="preserve">Calculated by taking total Runic Power Per Second (excluding Death Strike) and dividing by the Runic Power Per Cast of Death Strike. If three or more targets are present and damage is prioritized, then Death Strikes are throttled when cast time is limited.</t>
      </text>
    </comment>
    <comment authorId="0" ref="V9">
      <text>
        <t xml:space="preserve">Checks to make sure magic damage exists to absorb after accounting for non-AoE incoming magic damage.</t>
      </text>
    </comment>
    <comment authorId="0" ref="H26">
      <text>
        <t xml:space="preserve">Source: Wowhead</t>
      </text>
    </comment>
    <comment authorId="0" ref="Y75">
      <text>
        <t xml:space="preserve">Accounting for overhealing.</t>
      </text>
    </comment>
    <comment authorId="0" ref="Y42">
      <text>
        <t xml:space="preserve">Accounting for overhealing.</t>
      </text>
    </comment>
    <comment authorId="0" ref="J26">
      <text>
        <t xml:space="preserve">Accounting for Averaged Buffed Strength, Orc Racial, Versatility, Nightborne Racial, Weapon Damage, Mastery Attack Power, Ability-specific multipliers, and Number of Damage Instances as applicable.</t>
      </text>
    </comment>
    <comment authorId="0" ref="K59">
      <text>
        <t xml:space="preserve">Damage is based on 10% of shadow DPS over 10 seconds. Bloodshot, versatility, and incite terror double dip.</t>
      </text>
    </comment>
    <comment authorId="0" ref="K26">
      <text>
        <t xml:space="preserve">Accounting for Critical Strike, Multiple Targets, Incite Terror,  Bloodshot, and Misc. Damage Multipliers.</t>
      </text>
    </comment>
    <comment authorId="0" ref="M59">
      <text>
        <t xml:space="preserve">Damage amp double dipping does not affect healing.</t>
      </text>
    </comment>
    <comment authorId="0" ref="M26">
      <text>
        <t xml:space="preserve">Accounting for Leech.</t>
      </text>
    </comment>
    <comment authorId="0" ref="T59">
      <text>
        <t xml:space="preserve">Equal to Blood Beast proc rate if appropriate talents are selected.</t>
      </text>
    </comment>
    <comment authorId="0" ref="D10">
      <text>
        <t xml:space="preserve">Pandaren bonus is provided in the form of versatility. Mag'har racial adjustment.</t>
      </text>
    </comment>
    <comment authorId="0" ref="T26">
      <text>
        <t xml:space="preserve">Only casts if talented.</t>
      </text>
    </comment>
    <comment authorId="0" ref="H43">
      <text>
        <t xml:space="preserve">Source: Wowhead</t>
      </text>
    </comment>
    <comment authorId="0" ref="H10">
      <text>
        <t xml:space="preserve">Includes Highmountain/Kul Tiran Racials and Perseverance of the Ebon Blade.</t>
      </text>
    </comment>
    <comment authorId="0" ref="Y59">
      <text>
        <t xml:space="preserve">Accounting for overhealing.</t>
      </text>
    </comment>
    <comment authorId="0" ref="Y26">
      <text>
        <t xml:space="preserve">Accounting for overhealing.</t>
      </text>
    </comment>
    <comment authorId="0" ref="J43">
      <text>
        <t xml:space="preserve">Accounting for Averaged Buffed Strength, Orc Racial, Nightborne Racial, Versatility, Weapon Damage, Mastery Attack Power, Ability-specific multipliers, and Number of Damage Instances as applicable.</t>
      </text>
    </comment>
    <comment authorId="0" ref="K43">
      <text>
        <t xml:space="preserve">Accounting for Critical Strike, Incite Terror, Bloodshot, and Misc. Damage Multipliers.</t>
      </text>
    </comment>
    <comment authorId="0" ref="M43">
      <text>
        <t xml:space="preserve">Accounting for Leech</t>
      </text>
    </comment>
    <comment authorId="0" ref="S76">
      <text>
        <t xml:space="preserve">Accounts for Red Thirst.</t>
      </text>
    </comment>
    <comment authorId="0" ref="S43">
      <text>
        <t xml:space="preserve">Assumed to not be affected by player delay, but player is assumed to be chaining abilities.</t>
      </text>
    </comment>
    <comment authorId="0" ref="T76">
      <text>
        <t xml:space="preserve">Only used if talented and based on defensive utilization.</t>
      </text>
    </comment>
    <comment authorId="0" ref="T43">
      <text>
        <t xml:space="preserve">This ability is only used if talented and if cast behavior is specified.</t>
      </text>
    </comment>
    <comment authorId="0" ref="W10">
      <text>
        <t xml:space="preserve">Includes Troll Regeneration</t>
      </text>
    </comment>
    <comment authorId="0" ref="X10">
      <text>
        <t xml:space="preserve">Includes the external healing bonus from Vampiric Blood and Sanguine Ground.</t>
      </text>
    </comment>
    <comment authorId="0" ref="Y43">
      <text>
        <t xml:space="preserve">Accounting for overhealing.</t>
      </text>
    </comment>
    <comment authorId="0" ref="M60">
      <text>
        <t xml:space="preserve">Absorb shield generated from auto attacks when talented. Accounts for Gloom Ward.</t>
      </text>
    </comment>
    <comment authorId="0" ref="M27">
      <text>
        <t xml:space="preserve">Healing Potential based on Anti-Magic Shell absorption.</t>
      </text>
    </comment>
    <comment authorId="0" ref="T60">
      <text>
        <t xml:space="preserve">Equal to auto-attack frequency when talented.</t>
      </text>
    </comment>
    <comment authorId="0" ref="D11">
      <text>
        <t xml:space="preserve">Mag'har racial adjustment.</t>
      </text>
    </comment>
    <comment authorId="0" ref="T27">
      <text>
        <t xml:space="preserve">Cast frequency equal to Anti-Magic shell if talented.</t>
      </text>
    </comment>
    <comment authorId="0" ref="H44">
      <text>
        <t xml:space="preserve">Source: Wowhead</t>
      </text>
    </comment>
    <comment authorId="0" ref="X60">
      <text>
        <t xml:space="preserve">The Exterminate Shielding effect from Frigid Resolve is added in here assuming Permafrost is talented.</t>
      </text>
    </comment>
    <comment authorId="0" ref="H11">
      <text>
        <t xml:space="preserve">Including San'layn Tier Set</t>
      </text>
    </comment>
    <comment authorId="0" ref="Y60">
      <text>
        <t xml:space="preserve">Assumed not to overheal.</t>
      </text>
    </comment>
    <comment authorId="0" ref="Y27">
      <text>
        <t xml:space="preserve">Accounting for overhealing.</t>
      </text>
    </comment>
    <comment authorId="0" ref="K44">
      <text>
        <t xml:space="preserve">Accounting for Critical Strike and Bloodshot.</t>
      </text>
    </comment>
    <comment authorId="0" ref="E127">
      <text>
        <t xml:space="preserve">Average Weapon Count</t>
      </text>
    </comment>
    <comment authorId="0" ref="S44">
      <text>
        <t xml:space="preserve">Effective PPM after accounting for bad luck protection and haste.</t>
      </text>
    </comment>
    <comment authorId="0" ref="F127">
      <text>
        <t xml:space="preserve">DRW Parry Proc Rate</t>
      </text>
    </comment>
    <comment authorId="0" ref="H61">
      <text>
        <t xml:space="preserve">Calculated using in-game observations</t>
      </text>
    </comment>
    <comment authorId="0" ref="H28">
      <text>
        <t xml:space="preserve">Source: Wowhead</t>
      </text>
    </comment>
    <comment authorId="0" ref="Y44">
      <text>
        <t xml:space="preserve">Accounting for overhealing.</t>
      </text>
    </comment>
    <comment authorId="0" ref="J61">
      <text>
        <t xml:space="preserve">Accounting for Averaged Buffed Strength, Orc Racial, Versatility, Weapon Damage, Mastery Attack Power, Ability-specific multipliers, and Number of Damage Instances as applicable.</t>
      </text>
    </comment>
    <comment authorId="0" ref="J28">
      <text>
        <t xml:space="preserve">Accounting for Averaged Buffed Strength, Orc Racial, Nightborne Racial, Versatility, Weapon Damage, Mastery Attack Power, Ability-specific multipliers, and Number of Damage Instances as applicable.</t>
      </text>
    </comment>
    <comment authorId="0" ref="K61">
      <text>
        <t xml:space="preserve">Adjusted for Enemy Armor, Haste, Claw Damage, Ghoul Duration, and Critical Strike.</t>
      </text>
    </comment>
    <comment authorId="0" ref="K28">
      <text>
        <t xml:space="preserve">Accounting for Critical Strike, Multiple Targets, Misc. Damage Multipliers, Incite Terror, Bloodshot, and Number of Damage Instances.</t>
      </text>
    </comment>
    <comment authorId="0" ref="M28">
      <text>
        <t xml:space="preserve">Accounting for Leech</t>
      </text>
    </comment>
    <comment authorId="0" ref="O28">
      <text>
        <t xml:space="preserve">Generation based on number of targets.</t>
      </text>
    </comment>
    <comment authorId="0" ref="S61">
      <text>
        <t xml:space="preserve">Adjusted for Death's Messenger.</t>
      </text>
    </comment>
    <comment authorId="0" ref="T61">
      <text>
        <t xml:space="preserve">Only used if talented.</t>
      </text>
    </comment>
    <comment authorId="0" ref="T28">
      <text>
        <t xml:space="preserve">The same frequency as Dancing Rune Weapon if talented.</t>
      </text>
    </comment>
    <comment authorId="0" ref="H45">
      <text>
        <t xml:space="preserve">Source: Wowhead</t>
      </text>
    </comment>
    <comment authorId="0" ref="H12">
      <text>
        <t xml:space="preserve">Adjusted for Scent of Blood.</t>
      </text>
    </comment>
    <comment authorId="0" ref="Y28">
      <text>
        <t xml:space="preserve">Accounting for overhealing.</t>
      </text>
    </comment>
    <comment authorId="0" ref="K45">
      <text>
        <t xml:space="preserve">Accounting for Critical Strike and Bloodshot.</t>
      </text>
    </comment>
    <comment authorId="0" ref="L12">
      <text>
        <t xml:space="preserve">Accounting for Voracious, Vampiric Aura, Lichborne, and Unholy Endurance.</t>
      </text>
    </comment>
    <comment authorId="0" ref="H62">
      <text>
        <t xml:space="preserve">Source: Wowhead</t>
      </text>
    </comment>
    <comment authorId="0" ref="H29">
      <text>
        <t xml:space="preserve">Source: Wowhead</t>
      </text>
    </comment>
    <comment authorId="0" ref="Y45">
      <text>
        <t xml:space="preserve">Accounting for overhealing.</t>
      </text>
    </comment>
    <comment authorId="0" ref="J62">
      <text>
        <t xml:space="preserve">Accounting for Averaged Buffed Strength, Orc Racial, Nightborne Racial, Versatility, Weapon Damage, Mastery Attack Power, Ability-specific multipliers, and Number of Damage Instances as applicable.</t>
      </text>
    </comment>
    <comment authorId="0" ref="J29">
      <text>
        <t xml:space="preserve">Accounting for Averaged Buffed Strength, Orc Racial, Nightborne Racial, Versatility, Weapon Damage, Mastery Attack Power, Ability-specific multipliers, and Number of Damage Instances as applicable.</t>
      </text>
    </comment>
    <comment authorId="0" ref="K62">
      <text>
        <t xml:space="preserve">Accounting for Critical Strike, Unholy Bond, Bloodshot, and Misc. Damage Multipliers.</t>
      </text>
    </comment>
    <comment authorId="0" ref="K29">
      <text>
        <t xml:space="preserve">Accounting for Critical Strike, Multiple Targets, Coagulopathy, Incite Terror, Bloodshot, Inevitable, and Misc. Damage Multipliers.</t>
      </text>
    </comment>
    <comment authorId="0" ref="M62">
      <text>
        <t xml:space="preserve">Accounting for Leech.</t>
      </text>
    </comment>
    <comment authorId="0" ref="M29">
      <text>
        <t xml:space="preserve">Accounting for Leech and Rapid Decomposition.</t>
      </text>
    </comment>
    <comment authorId="0" ref="T62">
      <text>
        <t xml:space="preserve">Only active if selected runeforge and adds flat damage to every melee attack.</t>
      </text>
    </comment>
    <comment authorId="0" ref="H46">
      <text>
        <t xml:space="preserve">Source: Wowhead</t>
      </text>
    </comment>
    <comment authorId="0" ref="H13">
      <text>
        <t xml:space="preserve">Adjusted for Suppression.</t>
      </text>
    </comment>
    <comment authorId="0" ref="Y62">
      <text>
        <t xml:space="preserve">Accounting for overhealing.</t>
      </text>
    </comment>
    <comment authorId="0" ref="Y29">
      <text>
        <t xml:space="preserve">Accounting for overhealing.</t>
      </text>
    </comment>
    <comment authorId="0" ref="J46">
      <text>
        <t xml:space="preserve">Accounting for Averaged Buffed Strength, Orc Racial, Versatility, Weapon Damage, Mastery Attack Power, Ability-specific multipliers, and Number of Damage Instances as applicable.</t>
      </text>
    </comment>
    <comment authorId="0" ref="K46">
      <text>
        <t xml:space="preserve">Accounting for Critical Strike, Wave of Souls, Bloodshot, Razorice, and Misc. Damage Multipliers.</t>
      </text>
    </comment>
    <comment authorId="0" ref="M46">
      <text>
        <t xml:space="preserve">Accounting for Leech.</t>
      </text>
    </comment>
    <comment authorId="0" ref="T46">
      <text>
        <t xml:space="preserve">Cast Rate is equal to Reaper's Mark explosions modified by Reaper's Onslaught and DRW casts.</t>
      </text>
    </comment>
    <comment authorId="0" ref="H63">
      <text>
        <t xml:space="preserve">Source: Wowhead</t>
      </text>
    </comment>
    <comment authorId="0" ref="Y46">
      <text>
        <t xml:space="preserve">Accounting for overhealing.</t>
      </text>
    </comment>
    <comment authorId="0" ref="J63">
      <text>
        <t xml:space="preserve">Accounting for Averaged Buffed Strength, Orc Racial, Nightborne Racial, Versatility, Weapon Damage, Mastery Attack Power, Ability-specific multipliers, Painful Death and Number of Damage Instances as applicable.</t>
      </text>
    </comment>
    <comment authorId="0" ref="K63">
      <text>
        <t xml:space="preserve">Accounting for Critical Strike, Razorice, Unholy Bond, Bloodshot, and Misc. Damage Multipliers.</t>
      </text>
    </comment>
    <comment authorId="0" ref="M63">
      <text>
        <t xml:space="preserve">Accounting for Leech.</t>
      </text>
    </comment>
    <comment authorId="0" ref="M30">
      <text>
        <t xml:space="preserve">Healing based on Death Strike Healing. Hemostasis benefits have been removed since they do not carry over. Gloom Ward and Iron Heart Included. Many forms of increased healing also do not apply to Blood Shield. Carnage also allows for generation of Blood Shield from Blooddrinker and Consumption, though the DoT acceleration effect from Consumption needs to be corrected out.</t>
      </text>
    </comment>
    <comment authorId="0" ref="T63">
      <text>
        <t xml:space="preserve">Only used with Deathbringer.</t>
      </text>
    </comment>
    <comment authorId="0" ref="T30">
      <text>
        <t xml:space="preserve">The same frequency as Death Strike.</t>
      </text>
    </comment>
    <comment authorId="0" ref="H47">
      <text>
        <t xml:space="preserve">Source: Wowhead</t>
      </text>
    </comment>
    <comment authorId="0" ref="H14">
      <text>
        <t xml:space="preserve">Includes Night Elf Racial</t>
      </text>
    </comment>
    <comment authorId="0" ref="Y63">
      <text>
        <t xml:space="preserve">Accounting for overhealing.</t>
      </text>
    </comment>
    <comment authorId="0" ref="Y30">
      <text>
        <t xml:space="preserve">Assumed to not overheal.</t>
      </text>
    </comment>
    <comment authorId="0" ref="J47">
      <text>
        <t xml:space="preserve">Accounting for Averaged Buffed Strength, Orc Racial, Versatility, Nightborne Racial, Weapon Damage, Mastery Attack Power, Ability-specific multipliers, and Number of Damage Instances as applicable.</t>
      </text>
    </comment>
    <comment authorId="0" ref="J14">
      <text>
        <t xml:space="preserve">Accounts for Brittle, Coagulopathy, Sanguine Ground, and Void Elf Racial.</t>
      </text>
    </comment>
    <comment authorId="0" ref="K47">
      <text>
        <t xml:space="preserve">Accounting for Critical Strike, Multiple Targets, Misc. Damage Multipliers, Bloodshot, Wave of Souls, and Razorice (with Deathbringer).</t>
      </text>
    </comment>
    <comment authorId="0" ref="L14">
      <text>
        <t xml:space="preserve">Includes Parry, Dodge, Miss, and Target Level Adjustment.</t>
      </text>
    </comment>
    <comment authorId="0" ref="M47">
      <text>
        <t xml:space="preserve">Accounting for Leech</t>
      </text>
    </comment>
    <comment authorId="0" ref="N14">
      <text>
        <t xml:space="preserve">Mitigation Factor - The Ratio of Raw Damage Taken to External Healing Required</t>
      </text>
    </comment>
    <comment authorId="0" ref="T47">
      <text>
        <t xml:space="preserve">Cast Rate is equal to Reaper's Mark explosions modified by Reaper's Onslaught and DRW casts.</t>
      </text>
    </comment>
    <comment authorId="0" ref="H64">
      <text>
        <t xml:space="preserve">Source: Wowhead</t>
      </text>
    </comment>
    <comment authorId="0" ref="Y47">
      <text>
        <t xml:space="preserve">Accounting for overhealing.</t>
      </text>
    </comment>
    <comment authorId="0" ref="J64">
      <text>
        <t xml:space="preserve">Accounting for Averaged Buffed Strength, Orc Racial, Nightborne Racial, Versatility, Weapon Damage, Mastery Attack Power, Ability-specific multipliers, Painful Death and Number of Damage Instances as applicable. Damage is per stack.</t>
      </text>
    </comment>
    <comment authorId="0" ref="K64">
      <text>
        <t xml:space="preserve">Accounting for Critical Strike, Razorice, Unholy Bond, Average Stack Count, Grim Reaper, Wave of Souls (Modified), Bloodshot, and Misc. Damage Multipliers.</t>
      </text>
    </comment>
    <comment authorId="0" ref="K31">
      <text>
        <t xml:space="preserve">Accounting for Critical Strike, Multiple Targets, Misc. Damage Multipliers, Incite Terror, Wave of Souls, and Razorice (with Deathbringer).</t>
      </text>
    </comment>
    <comment authorId="0" ref="M64">
      <text>
        <t xml:space="preserve">Accounting for Leech.</t>
      </text>
    </comment>
    <comment authorId="0" ref="M31">
      <text>
        <t xml:space="preserve">Accounting for Leech</t>
      </text>
    </comment>
    <comment authorId="0" ref="T64">
      <text>
        <t xml:space="preserve">Debuffs equal to Reaper's Mark casts.</t>
      </text>
    </comment>
    <comment authorId="0" ref="H15">
      <text>
        <t xml:space="preserve">This only accounts for average attack speed when Crimson Scourge is able to proc. So Unholy Ground is not included.</t>
      </text>
    </comment>
    <comment authorId="0" ref="Y64">
      <text>
        <t xml:space="preserve">Accounting for overhealing.</t>
      </text>
    </comment>
    <comment authorId="0" ref="Y31">
      <text>
        <t xml:space="preserve">This ability cannot overheal under normal circumstances.</t>
      </text>
    </comment>
    <comment authorId="0" ref="J15">
      <text>
        <t xml:space="preserve">Accounting for Void Elf Racial, Osmosis, and Sanguine Ground.</t>
      </text>
    </comment>
    <comment authorId="0" ref="L15">
      <text>
        <t xml:space="preserve">Including a correction for Evelasting Bond (a crude one).</t>
      </text>
    </comment>
    <comment authorId="0" ref="Q15">
      <text>
        <t xml:space="preserve">Health corrected for Will of the Necropolis and all forms of reliable and proactive forms of mitigation (Armor, Vers, Rune Carved Plates, Null Magic,  
and Veteran of the Third War).</t>
      </text>
    </comment>
    <comment authorId="0" ref="R15">
      <text>
        <t xml:space="preserve">Health corrected for Will of the Necropolis, defensive cooldowns, and all forms of reliable and proactive mitigation.</t>
      </text>
    </comment>
    <comment authorId="0" ref="S48">
      <text>
        <t xml:space="preserve">Accounting for Player Delay.</t>
      </text>
    </comment>
    <comment authorId="0" ref="S15">
      <text>
        <t xml:space="preserve">Health corrected for Will of the Necropolis, Vampiric Blood, and all forms of proactive mitigation.</t>
      </text>
    </comment>
    <comment authorId="0" ref="T48">
      <text>
        <t xml:space="preserve">Only used if Draenei</t>
      </text>
    </comment>
    <comment authorId="0" ref="H65">
      <text>
        <t xml:space="preserve">Source: Wowhead</t>
      </text>
    </comment>
    <comment authorId="0" ref="Y48">
      <text>
        <t xml:space="preserve">Accounting for overhealing.</t>
      </text>
    </comment>
    <comment authorId="0" ref="J65">
      <text>
        <t xml:space="preserve">Accounting for Averaged Buff Strength, Spell Power, Weapon Damage, Versatility, and Mastery.</t>
      </text>
    </comment>
    <comment authorId="0" ref="J32">
      <text>
        <t xml:space="preserve">Accounting for Averaged Buffed Strength, Orc Racial, Versatility, Weapon Damage, Mastery Attack Power, Ability-specific multipliers, and Number of Damage Instances as applicable.</t>
      </text>
    </comment>
    <comment authorId="0" ref="K65">
      <text>
        <t xml:space="preserve">Accounting for Critical Strike and Misc. Damage Multipliers.</t>
      </text>
    </comment>
    <comment authorId="0" ref="K32">
      <text>
        <t xml:space="preserve">Accounting for Critical Strike, Enemy Armor, Duration, and Misc. Damage Multipliers.</t>
      </text>
    </comment>
    <comment authorId="0" ref="M65">
      <text>
        <t xml:space="preserve">Accounting for Leech.</t>
      </text>
    </comment>
    <comment authorId="0" ref="M32">
      <text>
        <t xml:space="preserve">The worms are assumed to proc at 50% player health.</t>
      </text>
    </comment>
    <comment authorId="0" ref="S65">
      <text>
        <t xml:space="preserve">Accounting for Player Delay.</t>
      </text>
    </comment>
    <comment authorId="0" ref="S32">
      <text>
        <t xml:space="preserve">Effective PPM after accounting for bad luck protection.</t>
      </text>
    </comment>
    <comment authorId="0" ref="T65">
      <text>
        <t xml:space="preserve">Only used if Goblin.</t>
      </text>
    </comment>
    <comment authorId="0" ref="T32">
      <text>
        <t xml:space="preserve">Only active when talented.</t>
      </text>
    </comment>
    <comment authorId="0" ref="Y65">
      <text>
        <t xml:space="preserve">Accounting for overhealing.</t>
      </text>
    </comment>
    <comment authorId="0" ref="Y32">
      <text>
        <t xml:space="preserve">This ability cannot overheal under normal circumstances.</t>
      </text>
    </comment>
    <comment authorId="0" ref="P49">
      <text>
        <t xml:space="preserve">Bone Shield charges generated per cast based on Bone Collector and number of targets. 6 is the assumed maximum generation.</t>
      </text>
    </comment>
    <comment authorId="0" ref="S49">
      <text>
        <t xml:space="preserve">Accounting for Player Delay.</t>
      </text>
    </comment>
    <comment authorId="0" ref="T49">
      <text>
        <t xml:space="preserve">Only used if talented and utilization is manually specified.</t>
      </text>
    </comment>
    <comment authorId="0" ref="H33">
      <text>
        <t xml:space="preserve">Source: Wowhead</t>
      </text>
    </comment>
    <comment authorId="0" ref="J33">
      <text>
        <t xml:space="preserve">Accounting for Averaged Buffed Strength, Orc Racial, Versatility, Nightborne Racial, Weapon Damage, Mastery Attack Power, Ability-specific multipliers, and Number of Damage Instances as applicable.</t>
      </text>
    </comment>
    <comment authorId="0" ref="K33">
      <text>
        <t xml:space="preserve">Accounting for Critical Strike, Multiple Targets, Misc. Damage Multipliers, Incite Terror, Wave of Souls, and Bloodshot.</t>
      </text>
    </comment>
    <comment authorId="0" ref="M66">
      <text>
        <t xml:space="preserve">Correcting for Unholy Bond.</t>
      </text>
    </comment>
    <comment authorId="0" ref="M33">
      <text>
        <t xml:space="preserve">Accounting for Leech</t>
      </text>
    </comment>
    <comment authorId="0" ref="E116">
      <text>
        <t xml:space="preserve">Effective Strength Buff.</t>
      </text>
    </comment>
    <comment authorId="0" ref="S33">
      <text>
        <t xml:space="preserve">Blood Shield is assumed to only survive a single damage instance per Death Strike for the purposes of this calculation.</t>
      </text>
    </comment>
    <comment authorId="0" ref="T66">
      <text>
        <t xml:space="preserve">Only used if equipped.</t>
      </text>
    </comment>
    <comment authorId="0" ref="F116">
      <text>
        <t xml:space="preserve">Effective Parry DR</t>
      </text>
    </comment>
    <comment authorId="0" ref="T33">
      <text>
        <t xml:space="preserve">Only active when talented.</t>
      </text>
    </comment>
    <comment authorId="0" ref="H50">
      <text>
        <t xml:space="preserve">Source: Wowhead</t>
      </text>
    </comment>
    <comment authorId="0" ref="Y66">
      <text>
        <t xml:space="preserve">Accounting for overhealing.</t>
      </text>
    </comment>
    <comment authorId="0" ref="Y33">
      <text>
        <t xml:space="preserve">This ability cannot overheal under normal circumstances.</t>
      </text>
    </comment>
    <comment authorId="0" ref="J50">
      <text>
        <t xml:space="preserve">Accounting for Averaged Buffed Strength, Versatility, Weapon Damage, Mastery Attack Power, Ability-specific multipliers, and Number of Damage Instances as applicable.</t>
      </text>
    </comment>
    <comment authorId="0" ref="M50">
      <text>
        <t xml:space="preserve">Accounting for Critical Strike and Misc. Healing Multipliers.</t>
      </text>
    </comment>
  </commentList>
</comments>
</file>

<file path=xl/sharedStrings.xml><?xml version="1.0" encoding="utf-8"?>
<sst xmlns="http://schemas.openxmlformats.org/spreadsheetml/2006/main" count="4770" uniqueCount="375">
  <si>
    <t>Baseline Profile</t>
  </si>
  <si>
    <t>Input Attributes</t>
  </si>
  <si>
    <t>12.1 Blood Death Knight Calculation Spreadsheet</t>
  </si>
  <si>
    <t>Character Sheet</t>
  </si>
  <si>
    <t>Data Outputs</t>
  </si>
  <si>
    <t>Averate Ratings</t>
  </si>
  <si>
    <t>By Kyrasis - Area 52 (Discord: Kyrasis)</t>
  </si>
  <si>
    <t>Diminished Ratings</t>
  </si>
  <si>
    <t>Inputs</t>
  </si>
  <si>
    <t>Attribute Calculations</t>
  </si>
  <si>
    <t>Damage Taken Breakdown</t>
  </si>
  <si>
    <t>Disclaimer:</t>
  </si>
  <si>
    <t>Armor</t>
  </si>
  <si>
    <t>Baseline Stat Weights</t>
  </si>
  <si>
    <t>Performance Indicators</t>
  </si>
  <si>
    <t xml:space="preserve">While DPS is also calculated and can be used to gather useful for relative evaluations, an up-to-date simcraft module should be superior for absolute DPS evaluation in specific encounters. This is a theorycrafting tool for primarily assessing mitigation and is intended/recommended to advanced users with upfront class knowledge, since it can be difficult to use correctly and good outputs are reasonably dependent on good inputs.
If you have any specific questions regarding this spreadsheet, please DM Kyrasis as your first line of support.                                                                                </t>
  </si>
  <si>
    <t>Baseline</t>
  </si>
  <si>
    <t>Comparison</t>
  </si>
  <si>
    <t>General Information:</t>
  </si>
  <si>
    <t>Mitigation Stat Weights</t>
  </si>
  <si>
    <t>Raw</t>
  </si>
  <si>
    <t>Base Armor</t>
  </si>
  <si>
    <t>This spreadsheet was created to gather information on stat weights, items, talents, races, and runeforging; particularly with regards to mitigation, since it's an 
essential, but often ignored, aspect of blood theorycrafting. This spreadsheet calculates Mitigation, DPS, and Effective HP stat weights based on input character information and 
steady-state assumptions. Mitigation, itself, is measured by calculating how many points of damage can be taken per point of external healing required (from a healer, for instance) in 
order to survive indefinitely; all effects are generally averaged for the purposes of these calculations and several variables are held constant (such as incoming damage composition,
damage taken, and overhealing). The results from this calculation are only as relevent as the assumptions used. As a tank, you'll be placed in a number of different scenarios, so results
from a single scenario may not be representative of others.
You'll first create a profile for your character, as is, which will result in some general stat weights.  If you want to view the effects of using different items, talents, runeforges, or races, changes can be entered into a secondary profile which can be used for direct comparison.</t>
  </si>
  <si>
    <t>Normalized</t>
  </si>
  <si>
    <t>Performance Measures</t>
  </si>
  <si>
    <t>Character Attributes</t>
  </si>
  <si>
    <t>Differential</t>
  </si>
  <si>
    <t>Instructions:</t>
  </si>
  <si>
    <t>Differentials</t>
  </si>
  <si>
    <t>1. Make a copy of this spreadsheet.</t>
  </si>
  <si>
    <t>2. Open the "Data Input" Sheet.</t>
  </si>
  <si>
    <t>Modified Armor</t>
  </si>
  <si>
    <t>3. Under "Baseline Character Inputs" complete the "Character Attributes" section with information straight from your character sheet with no buffs active, unless you want to manually account for consumables.</t>
  </si>
  <si>
    <t>4. Complete the "Runeforging" section using "1" for the selected Runeforge and "0" for the Runeforge not selected.</t>
  </si>
  <si>
    <t>5. Complete the "Race" section using "1" for the selected Race and "0" for the Race not selected. Additional options are noted where applicable.</t>
  </si>
  <si>
    <t>6. Complete the "Talent" sections by specifying your tank in each talent. Additional variables can also be specified in this section as noted.</t>
  </si>
  <si>
    <t>Strength</t>
  </si>
  <si>
    <t>7. Complete the "Hero Class" and associated sections by specifying your hero class and associated choice nodes. Additional variables can also be specified in this section as noted.</t>
  </si>
  <si>
    <t xml:space="preserve">8. Complete the "Conditional Variables" section, related details are listed below:
Overhealing % - This variable is used to determine how much of your self-healing is wasted. As with all of these parameters, check logs to figure out what value is right for you and try to use value that is representative of the *specific* situations you are concerned about to the best of your ability.
Damage Taken per Sec. - This variable is effectively what your damage taken is, as seen in a combat log. It is preferable to use a conservatively high DTPS value to capture the higher-end damage windows you are subjected to. Otherwise, you may be overvaluing certain types of mitigation.
% Magic Damage Taken - Of your total damage taken, what percentage of it is Magical damage (both AoE and non-AoE)?
% Phys AoE Damage Taken - Of your total damage taken, what percentage of it is AoE Physical damage?
% Magic AoE Damage Taken - Of your total damage taken, what percentage of it is AoE Magical damage?
Defensive Cooldown Utilization - This is a multiplier on how often defensive cooldowns are used in the model. (If you want to assume no cooldowns are used, change this to zero; if you want to assume you'll be holding onto some of these cooldowns for some time before using them, lower this value to some value between 0% and 100%. Alternatively, if you want to simulate that you'll only be the active tank half the time, put this value as high as 200%).
Relative AMS Utilization - This is an additional multiplier on AMS utilization, since it generally has less usage opportunities than other defensive cooldowns.
Cooldown Ability Delay - This number is a fixed time delay added to single charge cooldown abilities that are used rotationally, with little to no exceptions.
Number of Targets - This is the number of targets that are eligable to be hit by all of your AoE/Multi-target abilities.
Target Level - This is the level of all enemies, which is used for attack avoidance adjustments.
Armor Constant - What kind of content you are running determines how effective your armor is; use the following values for this input depending on the current patch content below:
- Mythic+ = 4531.03
- Mythic Raid = 5656.07
</t>
  </si>
  <si>
    <t>9. Complete the "Tier Set Bonus" section using "1" for active bonuses and "0" for inactive bonuses.</t>
  </si>
  <si>
    <t>Stamina</t>
  </si>
  <si>
    <t>Physical Damage Reduction</t>
  </si>
  <si>
    <t>10. If you want to view the effects of any input changes, make these changes from the "Baseline Character Inputs" in the "Alternative Character Inputs" section. Any blank cells will use the baseline values.</t>
  </si>
  <si>
    <t>11. Open the "Data Output" Sheet.</t>
  </si>
  <si>
    <t>Critical Strike Rating</t>
  </si>
  <si>
    <t>12. In the first column is a list of Mitigation, DPS, Reliable EHP, Reliable/Controllable EHP, and Unreliable EHP stat weights. In the second column is a list of the current values of these performance parameters for the baseline character build vs. how these values would change if you switched to the comparison character build.</t>
  </si>
  <si>
    <t>Damage Taken Per Second</t>
  </si>
  <si>
    <t>Unmitigated</t>
  </si>
  <si>
    <t>Feedback:</t>
  </si>
  <si>
    <t>Passively Mitigated</t>
  </si>
  <si>
    <t>Haste Rating</t>
  </si>
  <si>
    <t>Dancing Rune Weapon Mitigation</t>
  </si>
  <si>
    <t>Let me know if you have any feedback, suggestions, or corrections; I can be contacted at Kyrasis#9330 on discord.</t>
  </si>
  <si>
    <t>Icebound Fortitude Mitigated</t>
  </si>
  <si>
    <t>Misc Mitigation</t>
  </si>
  <si>
    <t>Versatility Rating</t>
  </si>
  <si>
    <t>Fully Mitigated</t>
  </si>
  <si>
    <t>Anti-Magic Zone Healing</t>
  </si>
  <si>
    <t>Acknowledgements:</t>
  </si>
  <si>
    <t>Anti-Magic Shell Healing</t>
  </si>
  <si>
    <t>Other Healing</t>
  </si>
  <si>
    <t>A special thanks to Thorlefulz, Mythie, and Terra for helping out with this spreadsheet</t>
  </si>
  <si>
    <t>Mastery Rating</t>
  </si>
  <si>
    <t>EHRPS</t>
  </si>
  <si>
    <t>Leech Rating</t>
  </si>
  <si>
    <t>Base Strength</t>
  </si>
  <si>
    <t>Avoidance Rating</t>
  </si>
  <si>
    <t>Modified Strength</t>
  </si>
  <si>
    <t>Base Weapon DPS</t>
  </si>
  <si>
    <t>Base Weapon Speed</t>
  </si>
  <si>
    <t>Runeforging</t>
  </si>
  <si>
    <t>Mitigation Factor</t>
  </si>
  <si>
    <t>Razorice</t>
  </si>
  <si>
    <t>Sanguination</t>
  </si>
  <si>
    <t>Spellwarding</t>
  </si>
  <si>
    <t>Apocalypse</t>
  </si>
  <si>
    <t>Fallen Crusader</t>
  </si>
  <si>
    <t>Stoneskin Gargoyle</t>
  </si>
  <si>
    <t>Unending Thirst</t>
  </si>
  <si>
    <t>Race</t>
  </si>
  <si>
    <t>Orc</t>
  </si>
  <si>
    <t>Pandaren</t>
  </si>
  <si>
    <t>Raw Parry from Strength</t>
  </si>
  <si>
    <t>Undead</t>
  </si>
  <si>
    <t>Nightborne</t>
  </si>
  <si>
    <t>Tauren</t>
  </si>
  <si>
    <t>Highmountain</t>
  </si>
  <si>
    <t>Physical ST Damage</t>
  </si>
  <si>
    <t>Troll</t>
  </si>
  <si>
    <t>Mag'har</t>
  </si>
  <si>
    <t>Blood Elf</t>
  </si>
  <si>
    <t>Zandalari</t>
  </si>
  <si>
    <t>Goblin</t>
  </si>
  <si>
    <t>Vulpera</t>
  </si>
  <si>
    <t>Human</t>
  </si>
  <si>
    <t>Void Elf</t>
  </si>
  <si>
    <t>Dwarf</t>
  </si>
  <si>
    <t>Lightforged Draenei</t>
  </si>
  <si>
    <t>Night Elf</t>
  </si>
  <si>
    <t>Dark Iron Dwarf</t>
  </si>
  <si>
    <t>Gnome</t>
  </si>
  <si>
    <t>Kul Tiran</t>
  </si>
  <si>
    <t>Draenei</t>
  </si>
  <si>
    <t>Mechagnome</t>
  </si>
  <si>
    <t>Worgen</t>
  </si>
  <si>
    <t>Death Knight Talents</t>
  </si>
  <si>
    <t>Rank</t>
  </si>
  <si>
    <t>Variable</t>
  </si>
  <si>
    <t>Row 1</t>
  </si>
  <si>
    <t>Icebound Fortitude</t>
  </si>
  <si>
    <t>Death Strike</t>
  </si>
  <si>
    <t>Raise Dead</t>
  </si>
  <si>
    <t>Row 2</t>
  </si>
  <si>
    <t>Runic Attenuation</t>
  </si>
  <si>
    <t>Improved Death Strike</t>
  </si>
  <si>
    <t>Overall DPS</t>
  </si>
  <si>
    <t>Cleaving Strikes</t>
  </si>
  <si>
    <t>Row 3</t>
  </si>
  <si>
    <t>Mind Freeze</t>
  </si>
  <si>
    <t>Blinding Sleet</t>
  </si>
  <si>
    <t>Gloom Ward</t>
  </si>
  <si>
    <t>Base Stamina</t>
  </si>
  <si>
    <t>March of Darkness</t>
  </si>
  <si>
    <t>Wraith Walk</t>
  </si>
  <si>
    <t>Total Health</t>
  </si>
  <si>
    <t>Unholy Momentum</t>
  </si>
  <si>
    <t>Control Undead</t>
  </si>
  <si>
    <t>Modified Health</t>
  </si>
  <si>
    <t>Enfeeble</t>
  </si>
  <si>
    <t>Row 4</t>
  </si>
  <si>
    <t>Coldthirst</t>
  </si>
  <si>
    <t>Physical AoE Damage</t>
  </si>
  <si>
    <t>Proliferating Chill</t>
  </si>
  <si>
    <t>Permafrost</t>
  </si>
  <si>
    <t>Veteran of the Third War</t>
  </si>
  <si>
    <t>Death Pact</t>
  </si>
  <si>
    <t>Brittle</t>
  </si>
  <si>
    <t>Blood Bond</t>
  </si>
  <si>
    <t>Row 5</t>
  </si>
  <si>
    <t>Icy Talons</t>
  </si>
  <si>
    <t>Death Notes</t>
  </si>
  <si>
    <t>Anti-Magic Zone</t>
  </si>
  <si>
    <t>Death Defiance</t>
  </si>
  <si>
    <t>Unholy Bond</t>
  </si>
  <si>
    <t>Row 6</t>
  </si>
  <si>
    <t>Ice Prison</t>
  </si>
  <si>
    <t>Death's Reach</t>
  </si>
  <si>
    <t>Asphyxiate</t>
  </si>
  <si>
    <t>Assimilation</t>
  </si>
  <si>
    <t>Anti-Magic Barrier</t>
  </si>
  <si>
    <t>Priority DPS</t>
  </si>
  <si>
    <t>Grip of the Dead</t>
  </si>
  <si>
    <t>Row 7</t>
  </si>
  <si>
    <t>Suppression</t>
  </si>
  <si>
    <t>Blood Scent</t>
  </si>
  <si>
    <t>Unholy Endurance</t>
  </si>
  <si>
    <t>Row 8</t>
  </si>
  <si>
    <t>Osmosis</t>
  </si>
  <si>
    <t>Insidious Chill</t>
  </si>
  <si>
    <t>Critical Strike</t>
  </si>
  <si>
    <t>Runic Protection</t>
  </si>
  <si>
    <t>Blood Draw</t>
  </si>
  <si>
    <t>Row 9</t>
  </si>
  <si>
    <t>Rune Mastery</t>
  </si>
  <si>
    <t>Critical Strike Multiplier</t>
  </si>
  <si>
    <t>Subduing Grasp</t>
  </si>
  <si>
    <t>Will of the Necropolis</t>
  </si>
  <si>
    <t>Raw Parry from Critical Strike</t>
  </si>
  <si>
    <t>Row 10</t>
  </si>
  <si>
    <t>Null Magic</t>
  </si>
  <si>
    <t>Magical ST Damage</t>
  </si>
  <si>
    <t>Unyielding Will</t>
  </si>
  <si>
    <t>Death's Echo</t>
  </si>
  <si>
    <t>Vestigial Shell</t>
  </si>
  <si>
    <t>Blood Talents</t>
  </si>
  <si>
    <t>Heart Strike</t>
  </si>
  <si>
    <t>Marrowrend</t>
  </si>
  <si>
    <t>Blood Boil</t>
  </si>
  <si>
    <t>Reliable Effective Health</t>
  </si>
  <si>
    <t>Vampiric Blood</t>
  </si>
  <si>
    <t>Bone Collector</t>
  </si>
  <si>
    <t>Ossuary</t>
  </si>
  <si>
    <t>Improved Vampiric Blood</t>
  </si>
  <si>
    <t xml:space="preserve">Haste </t>
  </si>
  <si>
    <t>Improved Heart Strike</t>
  </si>
  <si>
    <t>Relish in Blood</t>
  </si>
  <si>
    <t>Leeching Strike</t>
  </si>
  <si>
    <t>Heartbreaker</t>
  </si>
  <si>
    <t>Foul Bulwark</t>
  </si>
  <si>
    <t>Dancing Rune Weapon</t>
  </si>
  <si>
    <t>Hemostasis</t>
  </si>
  <si>
    <t>Perseverance of the Ebon Blade</t>
  </si>
  <si>
    <t>Haste</t>
  </si>
  <si>
    <t>Bloodworms</t>
  </si>
  <si>
    <t>Haste Multiplier</t>
  </si>
  <si>
    <t>Abomination Limb</t>
  </si>
  <si>
    <t>Gorefiend's Grasp</t>
  </si>
  <si>
    <t>Improved Bone Shield</t>
  </si>
  <si>
    <t>Rune Regeneration</t>
  </si>
  <si>
    <t>Insatiable Blade</t>
  </si>
  <si>
    <t>Magical AoE Damage</t>
  </si>
  <si>
    <t>Deadly Reach</t>
  </si>
  <si>
    <t>Rapid Decomposition</t>
  </si>
  <si>
    <t>Boiling Point</t>
  </si>
  <si>
    <t>Lifeblood</t>
  </si>
  <si>
    <t>Everlasting Bond</t>
  </si>
  <si>
    <t>Reliable and Controllable Effective Health</t>
  </si>
  <si>
    <t>Voracious</t>
  </si>
  <si>
    <t>Blood Feast</t>
  </si>
  <si>
    <t>Plague Infusion</t>
  </si>
  <si>
    <t>Versatility</t>
  </si>
  <si>
    <t>Bloody Reflection</t>
  </si>
  <si>
    <t>Iron Heart</t>
  </si>
  <si>
    <t>Bloodied Blade</t>
  </si>
  <si>
    <t>Coagulopathy</t>
  </si>
  <si>
    <t>Blood Mist</t>
  </si>
  <si>
    <t>Sanguine Ground</t>
  </si>
  <si>
    <t>Bloodshot</t>
  </si>
  <si>
    <t>Consumption</t>
  </si>
  <si>
    <t>Red Thirst</t>
  </si>
  <si>
    <t>Sanguinary Burst</t>
  </si>
  <si>
    <t>Purgatory</t>
  </si>
  <si>
    <t>Carnage</t>
  </si>
  <si>
    <t>Umbilicus Eternus</t>
  </si>
  <si>
    <t>Apex</t>
  </si>
  <si>
    <t>Dance of Midnight</t>
  </si>
  <si>
    <t>Damage/Healing Multiplier</t>
  </si>
  <si>
    <t>Unreliable Effective Health</t>
  </si>
  <si>
    <t>Damage Taken Multiplier</t>
  </si>
  <si>
    <t>Hero Class</t>
  </si>
  <si>
    <t>Total</t>
  </si>
  <si>
    <t>Deathbringer</t>
  </si>
  <si>
    <t>Mastery</t>
  </si>
  <si>
    <t>San'layn</t>
  </si>
  <si>
    <t>Deathbringer Talents</t>
  </si>
  <si>
    <t>San'layn Talents</t>
  </si>
  <si>
    <t>Death's Bargain</t>
  </si>
  <si>
    <t>Newly Turned</t>
  </si>
  <si>
    <t>Rune Carved Plates</t>
  </si>
  <si>
    <t>Vampiric Speed</t>
  </si>
  <si>
    <t>Dark Talons</t>
  </si>
  <si>
    <t>Blood-Soaked Ground</t>
  </si>
  <si>
    <t>Reaper's Onslaught</t>
  </si>
  <si>
    <t>Desecrate</t>
  </si>
  <si>
    <t>Death's Messenger</t>
  </si>
  <si>
    <t>Vampiric Aura</t>
  </si>
  <si>
    <t>Expelling Shield</t>
  </si>
  <si>
    <t>Bloody Fortitude</t>
  </si>
  <si>
    <t>Sanguine Scent</t>
  </si>
  <si>
    <t>Pact of the San'layn</t>
  </si>
  <si>
    <t>Conditional Variables</t>
  </si>
  <si>
    <t>Overhealing</t>
  </si>
  <si>
    <t>Damage Taken Per Sec.</t>
  </si>
  <si>
    <t>Blood Shield Multiplier</t>
  </si>
  <si>
    <t>% Magic Damage Taken</t>
  </si>
  <si>
    <t>Attack Power Multiplier</t>
  </si>
  <si>
    <t>Leech</t>
  </si>
  <si>
    <t>% Phys AoE Damage Taken</t>
  </si>
  <si>
    <t>% Magic AoE Damage Taken</t>
  </si>
  <si>
    <t>Defensive Cooldown Utilization</t>
  </si>
  <si>
    <t>Relative AMS Utilization</t>
  </si>
  <si>
    <t>Cooldown Ability Delay</t>
  </si>
  <si>
    <t>Number of Targets</t>
  </si>
  <si>
    <t>Target Level</t>
  </si>
  <si>
    <t>Leech Healing Multiplier</t>
  </si>
  <si>
    <t>Armor Constant</t>
  </si>
  <si>
    <t>Modified Leech Multiplier</t>
  </si>
  <si>
    <t>Tier Set Bonus</t>
  </si>
  <si>
    <t>Active Bonuses</t>
  </si>
  <si>
    <t>(2) Set:</t>
  </si>
  <si>
    <t>Avoidance</t>
  </si>
  <si>
    <t>(4) Set:</t>
  </si>
  <si>
    <t>AoE Damage Taken Multiplier</t>
  </si>
  <si>
    <t>Total Parry Chance</t>
  </si>
  <si>
    <t>Color Legend</t>
  </si>
  <si>
    <t>Information Only</t>
  </si>
  <si>
    <t>Direct Player Input</t>
  </si>
  <si>
    <t>Dodge</t>
  </si>
  <si>
    <t>Incomplete</t>
  </si>
  <si>
    <t>Misc. Damage Done Multiplier</t>
  </si>
  <si>
    <t>Not Applicable</t>
  </si>
  <si>
    <t>Attack Avoidance Chance</t>
  </si>
  <si>
    <t>Reliable EHP</t>
  </si>
  <si>
    <t>Reliable and Controllable EHP</t>
  </si>
  <si>
    <t>Unreliable EHP</t>
  </si>
  <si>
    <t>Ave. Weapon Speed</t>
  </si>
  <si>
    <t>Misc. Healing Done Multiplier</t>
  </si>
  <si>
    <t>Weapon DPS</t>
  </si>
  <si>
    <t>Bone Shield Consumption</t>
  </si>
  <si>
    <t>Pawn String</t>
  </si>
  <si>
    <t>Overall DPS Stat Weights</t>
  </si>
  <si>
    <t>Priority DPS Stat Weights</t>
  </si>
  <si>
    <t>Abilities</t>
  </si>
  <si>
    <t>Specialization Multiplier</t>
  </si>
  <si>
    <t>Base/Tooltip Damage</t>
  </si>
  <si>
    <t>Overall Damage Per Cast</t>
  </si>
  <si>
    <t>Priority Damage Per Cast</t>
  </si>
  <si>
    <t>Average Healing Per Cast</t>
  </si>
  <si>
    <t>Runes Per Cast</t>
  </si>
  <si>
    <t>Runic Power Per Cast</t>
  </si>
  <si>
    <t>Bone Shield Per Cast</t>
  </si>
  <si>
    <t>Cast Time</t>
  </si>
  <si>
    <t>Base Cooldown</t>
  </si>
  <si>
    <t>Effective Cooldown</t>
  </si>
  <si>
    <t>Casts Per Second</t>
  </si>
  <si>
    <t>Time Utilization</t>
  </si>
  <si>
    <t>HPS</t>
  </si>
  <si>
    <t>EHPS</t>
  </si>
  <si>
    <t>Runes Per Second</t>
  </si>
  <si>
    <t>Runic Power Per Second</t>
  </si>
  <si>
    <t>Bone Shield Per Second</t>
  </si>
  <si>
    <t>Anti-Magic Shell</t>
  </si>
  <si>
    <t>Reliable EHP Stat Weights</t>
  </si>
  <si>
    <t>Arcane Pulse</t>
  </si>
  <si>
    <t>Arcane Torrent</t>
  </si>
  <si>
    <t>Auto-Attack</t>
  </si>
  <si>
    <t>Blood Beasts</t>
  </si>
  <si>
    <t>Reliable and Controllalbe EHP Stat Weights</t>
  </si>
  <si>
    <t>Unreliable EHP Stat Weights</t>
  </si>
  <si>
    <t>Comparison Profile</t>
  </si>
  <si>
    <t>Raw Calculation</t>
  </si>
  <si>
    <t>Blood Plague</t>
  </si>
  <si>
    <t>Normalized Calculation</t>
  </si>
  <si>
    <t>Information Only (Alternate)</t>
  </si>
  <si>
    <t>String</t>
  </si>
  <si>
    <t>Dancing Rune Weapon Mitigated</t>
  </si>
  <si>
    <t>Misc Mitigated</t>
  </si>
  <si>
    <t>Blood Shield</t>
  </si>
  <si>
    <t>Bloody Demise</t>
  </si>
  <si>
    <t>Brush it Off</t>
  </si>
  <si>
    <t>Corrosive Vial</t>
  </si>
  <si>
    <t>Dance of Midnight (Runes)</t>
  </si>
  <si>
    <t>Dancing Rune Weapon (DoM)</t>
  </si>
  <si>
    <t>Death and Decay</t>
  </si>
  <si>
    <t>Death's Caress</t>
  </si>
  <si>
    <t>Embrace of Bwonsamdi</t>
  </si>
  <si>
    <t>Embrace of Kimbul</t>
  </si>
  <si>
    <t>Exterminate (First)</t>
  </si>
  <si>
    <t>Exterminate (Second)</t>
  </si>
  <si>
    <t>Gift of the Naaru</t>
  </si>
  <si>
    <t>Healing Vial</t>
  </si>
  <si>
    <t>+Armor Profile</t>
  </si>
  <si>
    <t>Infliction of Sorrow</t>
  </si>
  <si>
    <t>Lichborne</t>
  </si>
  <si>
    <t>Light's Judgment</t>
  </si>
  <si>
    <t>Reaper's Mark</t>
  </si>
  <si>
    <t>Reaper's Mark (Debuff)</t>
  </si>
  <si>
    <t>Rocket Barrage</t>
  </si>
  <si>
    <t>Rune of Sanguination</t>
  </si>
  <si>
    <t>Soul Rupture</t>
  </si>
  <si>
    <t>Stoneform</t>
  </si>
  <si>
    <t>Touch of the Grave</t>
  </si>
  <si>
    <t>Unholy Strength</t>
  </si>
  <si>
    <t>Vampiric Strike</t>
  </si>
  <si>
    <t>Wave of Souls</t>
  </si>
  <si>
    <t>Deathbringer Calculations</t>
  </si>
  <si>
    <t>San'layn Calculations</t>
  </si>
  <si>
    <t>Reaper's Mark Stacks</t>
  </si>
  <si>
    <t>Effective Stack Count</t>
  </si>
  <si>
    <t>Wave of Souls Amp</t>
  </si>
  <si>
    <t>+Strength Profile</t>
  </si>
  <si>
    <t>Given Value</t>
  </si>
  <si>
    <t>Calculation</t>
  </si>
  <si>
    <t>Pending Validation</t>
  </si>
  <si>
    <t>Calcultion Output</t>
  </si>
  <si>
    <t>+Stamina Profile</t>
  </si>
  <si>
    <t>Conduit Runes</t>
  </si>
  <si>
    <t>+Critical Strike Profile</t>
  </si>
  <si>
    <t>x</t>
  </si>
  <si>
    <t>+Haste Profile</t>
  </si>
  <si>
    <t>+Versatility Profile</t>
  </si>
  <si>
    <t>+Mastery Profile</t>
  </si>
  <si>
    <t>+Leech Profile</t>
  </si>
  <si>
    <t>+Avoidance Profile</t>
  </si>
  <si>
    <t>+Weapon DPS Profile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</si>
</sst>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00"/>
    <numFmt numFmtId="165" formatCode="0.0000"/>
    <numFmt numFmtId="166" formatCode="0.0000000"/>
    <numFmt numFmtId="167" formatCode="(0.00%)"/>
    <numFmt numFmtId="168" formatCode="#,##0.0"/>
    <numFmt numFmtId="169" formatCode="0.0"/>
    <numFmt numFmtId="170" formatCode="0.0%"/>
    <numFmt numFmtId="171" formatCode="#,##0.000000"/>
    <numFmt numFmtId="172" formatCode="0.000000"/>
    <numFmt numFmtId="173" formatCode="0.0000000000"/>
  </numFmts>
  <fonts count="67">
    <font>
      <sz val="10.0"/>
      <color rgb="FF000000"/>
      <name val="Arial"/>
      <scheme val="minor"/>
    </font>
    <font>
      <color theme="1"/>
      <name val="Arial"/>
    </font>
    <font>
      <sz val="36.0"/>
      <color rgb="FF4C1130"/>
      <name val="Arial"/>
      <scheme val="minor"/>
    </font>
    <font>
      <color theme="1"/>
      <name val="Arial"/>
      <scheme val="minor"/>
    </font>
    <font>
      <u/>
      <color rgb="FFF3F3F3"/>
      <name val="Arial"/>
    </font>
    <font>
      <sz val="36.0"/>
      <color rgb="FF4C1130"/>
      <name val="Arial"/>
    </font>
    <font>
      <color rgb="FFF3F3F3"/>
      <name val="Arial"/>
    </font>
    <font>
      <sz val="36.0"/>
      <color rgb="FF5B0F00"/>
      <name val="Arial"/>
    </font>
    <font>
      <b/>
      <color rgb="FF741B47"/>
      <name val="Arial"/>
      <scheme val="minor"/>
    </font>
    <font>
      <sz val="36.0"/>
      <color rgb="FF7F6000"/>
      <name val="Arial"/>
    </font>
    <font>
      <u/>
      <color rgb="FFFFFFFF"/>
      <name val="Arial"/>
    </font>
    <font>
      <b/>
      <color theme="1"/>
      <name val="Arial"/>
    </font>
    <font>
      <b/>
      <sz val="18.0"/>
      <color rgb="FF5B0F00"/>
      <name val="Arial"/>
    </font>
    <font>
      <b/>
      <sz val="18.0"/>
      <color rgb="FF4C1130"/>
      <name val="Arial"/>
    </font>
    <font>
      <b/>
      <sz val="18.0"/>
      <color rgb="FF20124D"/>
      <name val="Arial"/>
    </font>
    <font>
      <u/>
      <color rgb="FFFFFFFF"/>
      <name val="Arial"/>
    </font>
    <font>
      <color rgb="FFFFFFFF"/>
      <name val="Arial"/>
    </font>
    <font>
      <u/>
      <color rgb="FFF3F3F3"/>
      <name val="Arial"/>
    </font>
    <font>
      <u/>
      <color rgb="FFF3F3F3"/>
      <name val="Arial"/>
    </font>
    <font>
      <color rgb="FF1155CC"/>
      <name val="Arial"/>
    </font>
    <font>
      <color rgb="FF000000"/>
      <name val="Arial"/>
    </font>
    <font>
      <color rgb="FF000000"/>
      <name val="Arial"/>
      <scheme val="minor"/>
    </font>
    <font>
      <b/>
      <i/>
      <color rgb="FFFFFFFF"/>
      <name val="Arial"/>
    </font>
    <font>
      <b/>
      <color rgb="FF000000"/>
      <name val="Arial"/>
    </font>
    <font>
      <u/>
      <color rgb="FFFFFFFF"/>
      <name val="Arial"/>
    </font>
    <font>
      <u/>
      <color rgb="FFFFFFFF"/>
      <name val="Arial"/>
    </font>
    <font>
      <u/>
      <color rgb="FFFFFFFF"/>
      <name val="Arial"/>
    </font>
    <font>
      <u/>
      <color rgb="FFFFFFFF"/>
      <name val="Arial"/>
    </font>
    <font>
      <b/>
      <color theme="0"/>
      <name val="Arial"/>
    </font>
    <font/>
    <font>
      <b/>
      <color rgb="FFFFFFFF"/>
      <name val="Arial"/>
    </font>
    <font>
      <u/>
      <color rgb="FFFFFFFF"/>
      <name val="Arial"/>
    </font>
    <font>
      <u/>
      <color rgb="FFFFFFFF"/>
      <name val="Arial"/>
    </font>
    <font>
      <u/>
      <color rgb="FFFFFFFF"/>
      <name val="Arial"/>
    </font>
    <font>
      <u/>
      <color rgb="FFFFFFFF"/>
      <name val="Arial"/>
    </font>
    <font>
      <u/>
      <color rgb="FFFFFFFF"/>
      <name val="Arial"/>
    </font>
    <font>
      <u/>
      <color rgb="FFFFFFFF"/>
      <name val="Arial"/>
    </font>
    <font>
      <u/>
      <color rgb="FFF3F3F3"/>
      <name val="Arial"/>
    </font>
    <font>
      <u/>
      <color rgb="FFF3F3F3"/>
      <name val="Arial"/>
    </font>
    <font>
      <u/>
      <color rgb="FFFFFFFF"/>
      <name val="Arial"/>
      <scheme val="minor"/>
    </font>
    <font>
      <color rgb="FFFFFFFF"/>
      <name val="Arial"/>
      <scheme val="minor"/>
    </font>
    <font>
      <sz val="10.0"/>
      <color theme="1"/>
      <name val="Arial"/>
    </font>
    <font>
      <u/>
      <color theme="1"/>
      <name val="Arial"/>
    </font>
    <font>
      <u/>
      <color rgb="FFFFFFFF"/>
      <name val="Arial"/>
    </font>
    <font>
      <sz val="9.0"/>
      <color rgb="FF000000"/>
      <name val="&quot;Google Sans Mono&quot;"/>
    </font>
    <font>
      <sz val="36.0"/>
      <color rgb="FF20124D"/>
      <name val="Arial"/>
      <scheme val="minor"/>
    </font>
    <font>
      <u/>
      <color rgb="FFF3F3F3"/>
      <name val="Arial"/>
    </font>
    <font>
      <u/>
      <color rgb="FFFFFFFF"/>
      <name val="Arial"/>
    </font>
    <font>
      <u/>
      <color rgb="FFF3F3F3"/>
      <name val="Arial"/>
    </font>
    <font>
      <b/>
      <u/>
      <color theme="1"/>
      <name val="Arial"/>
    </font>
    <font>
      <u/>
      <color rgb="FFFFFFFF"/>
      <name val="Arial"/>
      <scheme val="minor"/>
    </font>
    <font>
      <sz val="36.0"/>
      <color rgb="FF0C343D"/>
      <name val="Arial"/>
      <scheme val="minor"/>
    </font>
    <font>
      <u/>
      <color rgb="FFF3F3F3"/>
      <name val="Arial"/>
    </font>
    <font>
      <u/>
      <color rgb="FFFFFFFF"/>
      <name val="Arial"/>
    </font>
    <font>
      <u/>
      <color rgb="FFFFFFFF"/>
      <name val="Arial"/>
      <scheme val="minor"/>
    </font>
    <font>
      <u/>
      <color rgb="FFFFFFFF"/>
      <name val="Arial"/>
    </font>
    <font>
      <u/>
      <color rgb="FFF3F3F3"/>
      <name val="Arial"/>
    </font>
    <font>
      <color rgb="FFFF0000"/>
      <name val="Arial"/>
      <scheme val="minor"/>
    </font>
    <font>
      <sz val="11.0"/>
      <color theme="1"/>
      <name val="Arial"/>
      <scheme val="minor"/>
    </font>
    <font>
      <sz val="11.0"/>
      <color rgb="FF1F1F1F"/>
      <name val="&quot;Google Sans&quot;"/>
    </font>
    <font>
      <u/>
      <color rgb="FFF3F3F3"/>
      <name val="Arial"/>
    </font>
    <font>
      <u/>
      <color rgb="FFFFFFFF"/>
      <name val="Arial"/>
    </font>
    <font>
      <u/>
      <color rgb="FFF3F3F3"/>
      <name val="Arial"/>
    </font>
    <font>
      <u/>
      <color rgb="FFFFFFFF"/>
      <name val="Arial"/>
    </font>
    <font>
      <u/>
      <color rgb="FFFFFFFF"/>
      <name val="Arial"/>
    </font>
    <font>
      <u/>
      <color rgb="FFFFFFFF"/>
      <name val="Arial"/>
    </font>
    <font>
      <u/>
      <color rgb="FFF3F3F3"/>
      <name val="Arial"/>
    </font>
  </fonts>
  <fills count="18">
    <fill>
      <patternFill patternType="none"/>
    </fill>
    <fill>
      <patternFill patternType="lightGray"/>
    </fill>
    <fill>
      <patternFill patternType="solid">
        <fgColor rgb="FF4C1130"/>
        <bgColor rgb="FF4C1130"/>
      </patternFill>
    </fill>
    <fill>
      <patternFill patternType="solid">
        <fgColor rgb="FF8E7CC3"/>
        <bgColor rgb="FF8E7CC3"/>
      </patternFill>
    </fill>
    <fill>
      <patternFill patternType="solid">
        <fgColor rgb="FF5B0F00"/>
        <bgColor rgb="FF5B0F00"/>
      </patternFill>
    </fill>
    <fill>
      <patternFill patternType="solid">
        <fgColor rgb="FF999999"/>
        <bgColor rgb="FF999999"/>
      </patternFill>
    </fill>
    <fill>
      <patternFill patternType="solid">
        <fgColor rgb="FF20124D"/>
        <bgColor rgb="FF20124D"/>
      </patternFill>
    </fill>
    <fill>
      <patternFill patternType="solid">
        <fgColor rgb="FF76A5AF"/>
        <bgColor rgb="FF76A5AF"/>
      </patternFill>
    </fill>
    <fill>
      <patternFill patternType="solid">
        <fgColor rgb="FFFFD966"/>
        <bgColor rgb="FFFFD966"/>
      </patternFill>
    </fill>
    <fill>
      <patternFill patternType="solid">
        <fgColor rgb="FFF6B26B"/>
        <bgColor rgb="FFF6B26B"/>
      </patternFill>
    </fill>
    <fill>
      <patternFill patternType="solid">
        <fgColor rgb="FFCFE2F3"/>
        <bgColor rgb="FFCFE2F3"/>
      </patternFill>
    </fill>
    <fill>
      <patternFill patternType="solid">
        <fgColor rgb="FFF4CCCC"/>
        <bgColor rgb="FFF4CCCC"/>
      </patternFill>
    </fill>
    <fill>
      <patternFill patternType="solid">
        <fgColor rgb="FFD9EAD3"/>
        <bgColor rgb="FFD9EAD3"/>
      </patternFill>
    </fill>
    <fill>
      <patternFill patternType="solid">
        <fgColor rgb="FFE06666"/>
        <bgColor rgb="FFE06666"/>
      </patternFill>
    </fill>
    <fill>
      <patternFill patternType="solid">
        <fgColor rgb="FF274E13"/>
        <bgColor rgb="FF274E13"/>
      </patternFill>
    </fill>
    <fill>
      <patternFill patternType="solid">
        <fgColor rgb="FFFFFFFF"/>
        <bgColor rgb="FFFFFFFF"/>
      </patternFill>
    </fill>
    <fill>
      <patternFill patternType="solid">
        <fgColor rgb="FF0C343D"/>
        <bgColor rgb="FF0C343D"/>
      </patternFill>
    </fill>
    <fill>
      <patternFill patternType="solid">
        <fgColor rgb="FFC27BA0"/>
        <bgColor rgb="FFC27BA0"/>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ck">
        <color rgb="FF000000"/>
      </right>
      <top style="thick">
        <color rgb="FF000000"/>
      </top>
      <bottom style="thick">
        <color rgb="FF000000"/>
      </bottom>
    </border>
    <border>
      <bottom style="thin">
        <color rgb="FF000000"/>
      </bottom>
    </border>
  </borders>
  <cellStyleXfs count="1">
    <xf borderId="0" fillId="0" fontId="0" numFmtId="0" applyAlignment="1" applyFont="1"/>
  </cellStyleXfs>
  <cellXfs count="34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vertical="bottom"/>
    </xf>
    <xf borderId="0" fillId="0" fontId="5" numFmtId="0" xfId="0" applyAlignment="1" applyFont="1">
      <alignment readingOrder="0" vertical="bottom"/>
    </xf>
    <xf borderId="0" fillId="0" fontId="5" numFmtId="0" xfId="0" applyAlignment="1" applyFont="1">
      <alignment vertical="bottom"/>
    </xf>
    <xf borderId="1" fillId="2" fontId="6" numFmtId="0" xfId="0" applyAlignment="1" applyBorder="1" applyFill="1" applyFont="1">
      <alignment horizontal="center" vertical="bottom"/>
    </xf>
    <xf borderId="1" fillId="2" fontId="6" numFmtId="0" xfId="0" applyAlignment="1" applyBorder="1" applyFill="1" applyFont="1">
      <alignment horizontal="center" readingOrder="0" vertical="bottom"/>
    </xf>
    <xf borderId="0" fillId="0" fontId="8" numFmtId="0" xfId="0" applyAlignment="1" applyFont="1">
      <alignment readingOrder="0"/>
    </xf>
    <xf borderId="0" fillId="0" fontId="7" numFmtId="0" xfId="0" applyAlignment="1" applyFont="1">
      <alignment vertical="bottom"/>
    </xf>
    <xf borderId="0" fillId="0" fontId="9" numFmtId="0" xfId="0" applyAlignment="1" applyFont="1">
      <alignment readingOrder="0" vertical="bottom"/>
    </xf>
    <xf borderId="0" fillId="2" fontId="10" numFmtId="0" xfId="0" applyAlignment="1" applyFill="1" applyFont="1">
      <alignment readingOrder="0" vertical="bottom"/>
    </xf>
    <xf borderId="0" fillId="0" fontId="11" numFmtId="0" xfId="0" applyAlignment="1" applyFont="1">
      <alignment vertical="bottom"/>
    </xf>
    <xf borderId="0" fillId="0" fontId="1" numFmtId="164" xfId="0" applyAlignment="1" applyFont="1" applyNumberFormat="1">
      <alignment readingOrder="0" vertical="bottom"/>
    </xf>
    <xf borderId="1" fillId="2" fontId="6" numFmtId="0" xfId="0" applyAlignment="1" applyBorder="1" applyFill="1" applyFont="1">
      <alignment vertical="bottom"/>
    </xf>
    <xf borderId="0" fillId="0" fontId="1" numFmtId="0" xfId="0" applyAlignment="1" applyFont="1">
      <alignment vertical="bottom"/>
    </xf>
    <xf borderId="0" fillId="0" fontId="12" numFmtId="0" xfId="0" applyAlignment="1" applyFont="1">
      <alignment vertical="bottom"/>
    </xf>
    <xf borderId="0" fillId="0" fontId="12" numFmtId="0" xfId="0" applyAlignment="1" applyFont="1">
      <alignment readingOrder="0" shrinkToFit="0" vertical="bottom" wrapText="0"/>
    </xf>
    <xf borderId="0" fillId="0" fontId="1" numFmtId="0" xfId="0" applyAlignment="1" applyFont="1">
      <alignment readingOrder="0" shrinkToFit="0" vertical="bottom" wrapText="1"/>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0" fontId="1" numFmtId="10" xfId="0" applyAlignment="1" applyFont="1" applyNumberFormat="1">
      <alignment readingOrder="0" vertical="bottom"/>
    </xf>
    <xf borderId="0" fillId="0" fontId="11" numFmtId="0" xfId="0" applyAlignment="1" applyFont="1">
      <alignment shrinkToFit="0" vertical="bottom" wrapText="0"/>
    </xf>
    <xf borderId="1" fillId="3" fontId="1" numFmtId="1" xfId="0" applyAlignment="1" applyBorder="1" applyFill="1" applyFont="1" applyNumberFormat="1">
      <alignment horizontal="right" vertical="bottom"/>
    </xf>
    <xf borderId="1" fillId="4" fontId="15" numFmtId="0" xfId="0" applyAlignment="1" applyBorder="1" applyFill="1" applyFont="1">
      <alignment vertical="bottom"/>
    </xf>
    <xf borderId="1" fillId="5" fontId="1" numFmtId="0" xfId="0" applyAlignment="1" applyBorder="1" applyFill="1" applyFont="1">
      <alignment vertical="bottom"/>
    </xf>
    <xf borderId="1" fillId="4" fontId="16" numFmtId="0" xfId="0" applyAlignment="1" applyBorder="1" applyFill="1" applyFont="1">
      <alignment vertical="bottom"/>
    </xf>
    <xf borderId="1" fillId="4" fontId="16" numFmtId="0" xfId="0" applyAlignment="1" applyBorder="1" applyFill="1" applyFont="1">
      <alignment readingOrder="0" vertical="bottom"/>
    </xf>
    <xf borderId="1" fillId="2" fontId="17" numFmtId="0" xfId="0" applyAlignment="1" applyBorder="1" applyFill="1" applyFont="1">
      <alignment vertical="bottom"/>
    </xf>
    <xf borderId="0" fillId="0" fontId="1" numFmtId="0" xfId="0" applyAlignment="1" applyFont="1">
      <alignment vertical="bottom"/>
    </xf>
    <xf borderId="1" fillId="6" fontId="18" numFmtId="0" xfId="0" applyAlignment="1" applyBorder="1" applyFill="1" applyFont="1">
      <alignment vertical="bottom"/>
    </xf>
    <xf borderId="0" fillId="0" fontId="11" numFmtId="0" xfId="0" applyAlignment="1" applyFont="1">
      <alignment vertical="bottom"/>
    </xf>
    <xf borderId="1" fillId="6" fontId="6" numFmtId="0" xfId="0" applyAlignment="1" applyBorder="1" applyFill="1" applyFont="1">
      <alignment readingOrder="0" vertical="bottom"/>
    </xf>
    <xf borderId="0" fillId="0" fontId="19" numFmtId="0" xfId="0" applyAlignment="1" applyFont="1">
      <alignment shrinkToFit="0" vertical="bottom" wrapText="1"/>
    </xf>
    <xf borderId="1" fillId="7" fontId="20" numFmtId="165" xfId="0" applyAlignment="1" applyBorder="1" applyFill="1" applyFont="1" applyNumberFormat="1">
      <alignment readingOrder="0" vertical="bottom"/>
    </xf>
    <xf borderId="0" fillId="2" fontId="6" numFmtId="0" xfId="0" applyAlignment="1" applyFill="1" applyFont="1">
      <alignment vertical="bottom"/>
    </xf>
    <xf borderId="0" fillId="0" fontId="1" numFmtId="0" xfId="0" applyAlignment="1" applyFont="1">
      <alignment shrinkToFit="0" vertical="bottom" wrapText="1"/>
    </xf>
    <xf borderId="1" fillId="8" fontId="1" numFmtId="1" xfId="0" applyAlignment="1" applyBorder="1" applyFill="1" applyFont="1" applyNumberFormat="1">
      <alignment horizontal="right" readingOrder="0" vertical="bottom"/>
    </xf>
    <xf borderId="0" fillId="0" fontId="1" numFmtId="1" xfId="0" applyAlignment="1" applyFont="1" applyNumberFormat="1">
      <alignment readingOrder="0" vertical="bottom"/>
    </xf>
    <xf borderId="0" fillId="0" fontId="19" numFmtId="0" xfId="0" applyAlignment="1" applyFont="1">
      <alignment readingOrder="0" shrinkToFit="0" vertical="bottom" wrapText="1"/>
    </xf>
    <xf borderId="1" fillId="6" fontId="6" numFmtId="0" xfId="0" applyAlignment="1" applyBorder="1" applyFill="1" applyFont="1">
      <alignment vertical="bottom"/>
    </xf>
    <xf borderId="1" fillId="8" fontId="1" numFmtId="1" xfId="0" applyAlignment="1" applyBorder="1" applyFill="1" applyFont="1" applyNumberFormat="1">
      <alignment readingOrder="0" vertical="bottom"/>
    </xf>
    <xf borderId="0" fillId="0" fontId="20" numFmtId="0" xfId="0" applyAlignment="1" applyFont="1">
      <alignment readingOrder="0" shrinkToFit="0" vertical="bottom" wrapText="1"/>
    </xf>
    <xf borderId="1" fillId="8" fontId="1" numFmtId="0" xfId="0" applyAlignment="1" applyBorder="1" applyFill="1" applyFont="1">
      <alignment vertical="bottom"/>
    </xf>
    <xf borderId="0" fillId="0" fontId="1" numFmtId="0" xfId="0" applyAlignment="1" applyFont="1">
      <alignment readingOrder="0" shrinkToFit="0" vertical="bottom" wrapText="1"/>
    </xf>
    <xf borderId="2" fillId="8" fontId="1" numFmtId="1" xfId="0" applyAlignment="1" applyBorder="1" applyFill="1" applyFont="1" applyNumberFormat="1">
      <alignment horizontal="right" readingOrder="0" vertical="bottom"/>
    </xf>
    <xf borderId="1" fillId="8" fontId="1" numFmtId="0" xfId="0" applyAlignment="1" applyBorder="1" applyFill="1" applyFont="1">
      <alignment readingOrder="0" vertical="bottom"/>
    </xf>
    <xf borderId="2" fillId="7" fontId="21" numFmtId="165" xfId="0" applyBorder="1" applyFill="1" applyFont="1" applyNumberFormat="1"/>
    <xf borderId="0" fillId="0" fontId="19" numFmtId="0" xfId="0" applyAlignment="1" applyFont="1">
      <alignment readingOrder="0" shrinkToFit="0" vertical="bottom" wrapText="1"/>
    </xf>
    <xf borderId="0" fillId="0" fontId="20" numFmtId="0" xfId="0" applyAlignment="1" applyFont="1">
      <alignment readingOrder="0" shrinkToFit="0" vertical="bottom" wrapText="1"/>
    </xf>
    <xf borderId="1" fillId="7" fontId="21" numFmtId="165" xfId="0" applyBorder="1" applyFill="1" applyFont="1" applyNumberFormat="1"/>
    <xf borderId="2" fillId="8" fontId="1" numFmtId="0" xfId="0" applyAlignment="1" applyBorder="1" applyFill="1" applyFont="1">
      <alignment horizontal="right" readingOrder="0" vertical="bottom"/>
    </xf>
    <xf borderId="1" fillId="2" fontId="22" numFmtId="0" xfId="0" applyAlignment="1" applyBorder="1" applyFill="1" applyFont="1">
      <alignment vertical="bottom"/>
    </xf>
    <xf borderId="1" fillId="2" fontId="16" numFmtId="0" xfId="0" applyAlignment="1" applyBorder="1" applyFill="1" applyFont="1">
      <alignment horizontal="center" vertical="bottom"/>
    </xf>
    <xf borderId="0" fillId="0" fontId="1" numFmtId="0" xfId="0" applyAlignment="1" applyFont="1">
      <alignment readingOrder="0" vertical="bottom"/>
    </xf>
    <xf borderId="1" fillId="2" fontId="16" numFmtId="0" xfId="0" applyAlignment="1" applyBorder="1" applyFill="1" applyFont="1">
      <alignment horizontal="center" readingOrder="0" vertical="bottom"/>
    </xf>
    <xf borderId="1" fillId="8" fontId="1" numFmtId="0" xfId="0" applyAlignment="1" applyBorder="1" applyFill="1" applyFont="1">
      <alignment readingOrder="0" vertical="bottom"/>
    </xf>
    <xf borderId="1" fillId="2" fontId="16" numFmtId="0" xfId="0" applyAlignment="1" applyBorder="1" applyFill="1" applyFont="1">
      <alignment readingOrder="0" vertical="bottom"/>
    </xf>
    <xf borderId="0" fillId="0" fontId="1" numFmtId="0" xfId="0" applyAlignment="1" applyFont="1">
      <alignment readingOrder="0" shrinkToFit="0" vertical="bottom" wrapText="0"/>
    </xf>
    <xf borderId="1" fillId="2" fontId="16" numFmtId="0" xfId="0" applyAlignment="1" applyBorder="1" applyFill="1" applyFont="1">
      <alignment vertical="bottom"/>
    </xf>
    <xf borderId="0" fillId="0" fontId="3" numFmtId="10" xfId="0" applyFont="1" applyNumberFormat="1"/>
    <xf borderId="2" fillId="8" fontId="1" numFmtId="0" xfId="0" applyAlignment="1" applyBorder="1" applyFill="1" applyFont="1">
      <alignment horizontal="right" vertical="bottom"/>
    </xf>
    <xf borderId="0" fillId="0" fontId="1" numFmtId="0" xfId="0" applyAlignment="1" applyFont="1">
      <alignment vertical="bottom"/>
    </xf>
    <xf borderId="0" fillId="0" fontId="23" numFmtId="0" xfId="0" applyAlignment="1" applyFont="1">
      <alignment readingOrder="0" vertical="bottom"/>
    </xf>
    <xf borderId="1" fillId="6" fontId="16" numFmtId="0" xfId="0" applyAlignment="1" applyBorder="1" applyFill="1" applyFont="1">
      <alignment vertical="bottom"/>
    </xf>
    <xf borderId="2" fillId="8" fontId="1" numFmtId="0" xfId="0" applyAlignment="1" applyBorder="1" applyFill="1" applyFont="1">
      <alignment horizontal="right" vertical="bottom"/>
    </xf>
    <xf borderId="1" fillId="8" fontId="1" numFmtId="1" xfId="0" applyAlignment="1" applyBorder="1" applyFill="1" applyFont="1" applyNumberFormat="1">
      <alignment readingOrder="0" vertical="bottom"/>
    </xf>
    <xf borderId="1" fillId="7" fontId="1" numFmtId="166" xfId="0" applyAlignment="1" applyBorder="1" applyFill="1" applyFont="1" applyNumberFormat="1">
      <alignment horizontal="right" vertical="bottom"/>
    </xf>
    <xf borderId="1" fillId="2" fontId="24" numFmtId="0" xfId="0" applyAlignment="1" applyBorder="1" applyFill="1" applyFont="1">
      <alignment vertical="bottom"/>
    </xf>
    <xf borderId="1" fillId="9" fontId="1" numFmtId="165" xfId="0" applyAlignment="1" applyBorder="1" applyFill="1" applyFont="1" applyNumberFormat="1">
      <alignment horizontal="right" vertical="bottom"/>
    </xf>
    <xf borderId="1" fillId="6" fontId="25" numFmtId="0" xfId="0" applyAlignment="1" applyBorder="1" applyFill="1" applyFont="1">
      <alignment vertical="bottom"/>
    </xf>
    <xf borderId="0" fillId="0" fontId="1" numFmtId="165" xfId="0" applyAlignment="1" applyFont="1" applyNumberFormat="1">
      <alignment vertical="bottom"/>
    </xf>
    <xf borderId="1" fillId="10" fontId="20" numFmtId="165" xfId="0" applyAlignment="1" applyBorder="1" applyFill="1" applyFont="1" applyNumberFormat="1">
      <alignment horizontal="right" vertical="bottom"/>
    </xf>
    <xf borderId="1" fillId="6" fontId="16" numFmtId="0" xfId="0" applyAlignment="1" applyBorder="1" applyFill="1" applyFont="1">
      <alignment readingOrder="0" vertical="bottom"/>
    </xf>
    <xf borderId="1" fillId="8" fontId="1" numFmtId="0" xfId="0" applyAlignment="1" applyBorder="1" applyFill="1" applyFont="1">
      <alignment horizontal="right" readingOrder="0" vertical="bottom"/>
    </xf>
    <xf borderId="1" fillId="8" fontId="20" numFmtId="0" xfId="0" applyAlignment="1" applyBorder="1" applyFill="1" applyFont="1">
      <alignment horizontal="right" readingOrder="0" vertical="bottom"/>
    </xf>
    <xf borderId="1" fillId="5" fontId="1" numFmtId="0" xfId="0" applyAlignment="1" applyBorder="1" applyFill="1" applyFont="1">
      <alignment horizontal="right" readingOrder="0" vertical="bottom"/>
    </xf>
    <xf borderId="1" fillId="5" fontId="20" numFmtId="0" xfId="0" applyAlignment="1" applyBorder="1" applyFill="1" applyFont="1">
      <alignment horizontal="right" readingOrder="0" vertical="bottom"/>
    </xf>
    <xf borderId="1" fillId="5" fontId="1" numFmtId="0" xfId="0" applyAlignment="1" applyBorder="1" applyFill="1" applyFont="1">
      <alignment horizontal="right" vertical="bottom"/>
    </xf>
    <xf borderId="1" fillId="8" fontId="20" numFmtId="0" xfId="0" applyAlignment="1" applyBorder="1" applyFill="1" applyFont="1">
      <alignment horizontal="right" vertical="bottom"/>
    </xf>
    <xf borderId="1" fillId="2" fontId="16" numFmtId="0" xfId="0" applyAlignment="1" applyBorder="1" applyFill="1" applyFont="1">
      <alignment readingOrder="0" vertical="bottom"/>
    </xf>
    <xf borderId="1" fillId="6" fontId="16" numFmtId="0" xfId="0" applyAlignment="1" applyBorder="1" applyFill="1" applyFont="1">
      <alignment readingOrder="0" vertical="bottom"/>
    </xf>
    <xf borderId="1" fillId="7" fontId="21" numFmtId="10" xfId="0" applyBorder="1" applyFill="1" applyFont="1" applyNumberFormat="1"/>
    <xf borderId="1" fillId="10" fontId="1" numFmtId="10" xfId="0" applyAlignment="1" applyBorder="1" applyFill="1" applyFont="1" applyNumberFormat="1">
      <alignment horizontal="right" vertical="bottom"/>
    </xf>
    <xf borderId="0" fillId="0" fontId="1" numFmtId="0" xfId="0" applyAlignment="1" applyFont="1">
      <alignment readingOrder="0" vertical="bottom"/>
    </xf>
    <xf borderId="0" fillId="0" fontId="1" numFmtId="167" xfId="0" applyAlignment="1" applyFont="1" applyNumberFormat="1">
      <alignment horizontal="right" vertical="bottom"/>
    </xf>
    <xf borderId="0" fillId="0" fontId="1" numFmtId="0" xfId="0" applyAlignment="1" applyFont="1">
      <alignment horizontal="right" readingOrder="0" vertical="bottom"/>
    </xf>
    <xf borderId="0" fillId="0" fontId="1" numFmtId="164" xfId="0" applyAlignment="1" applyFont="1" applyNumberFormat="1">
      <alignment horizontal="center"/>
    </xf>
    <xf borderId="1" fillId="2" fontId="26" numFmtId="0" xfId="0" applyAlignment="1" applyBorder="1" applyFill="1" applyFont="1">
      <alignment readingOrder="0" vertical="bottom"/>
    </xf>
    <xf borderId="1" fillId="2" fontId="6" numFmtId="0" xfId="0" applyAlignment="1" applyBorder="1" applyFill="1" applyFont="1">
      <alignment readingOrder="0" vertical="bottom"/>
    </xf>
    <xf borderId="1" fillId="6" fontId="27" numFmtId="0" xfId="0" applyAlignment="1" applyBorder="1" applyFill="1" applyFont="1">
      <alignment readingOrder="0" vertical="bottom"/>
    </xf>
    <xf borderId="3" fillId="2" fontId="28" numFmtId="0" xfId="0" applyAlignment="1" applyBorder="1" applyFill="1" applyFont="1">
      <alignment horizontal="center" readingOrder="0" vertical="center"/>
    </xf>
    <xf borderId="1" fillId="7" fontId="1" numFmtId="165" xfId="0" applyAlignment="1" applyBorder="1" applyFill="1" applyFont="1" applyNumberFormat="1">
      <alignment horizontal="right" vertical="bottom"/>
    </xf>
    <xf borderId="1" fillId="8" fontId="1" numFmtId="3" xfId="0" applyAlignment="1" applyBorder="1" applyFill="1" applyFont="1" applyNumberFormat="1">
      <alignment horizontal="right" readingOrder="0" vertical="bottom"/>
    </xf>
    <xf borderId="3" fillId="6" fontId="28" numFmtId="0" xfId="0" applyAlignment="1" applyBorder="1" applyFill="1" applyFont="1">
      <alignment horizontal="center" readingOrder="0" vertical="center"/>
    </xf>
    <xf borderId="4" fillId="0" fontId="29" numFmtId="0" xfId="0" applyBorder="1" applyFont="1"/>
    <xf borderId="2" fillId="0" fontId="29" numFmtId="0" xfId="0" applyBorder="1" applyFont="1"/>
    <xf borderId="0" fillId="7" fontId="1" numFmtId="165" xfId="0" applyAlignment="1" applyFill="1" applyFont="1" applyNumberFormat="1">
      <alignment horizontal="right" vertical="bottom"/>
    </xf>
    <xf borderId="1" fillId="11" fontId="20" numFmtId="1" xfId="0" applyAlignment="1" applyBorder="1" applyFill="1" applyFont="1" applyNumberFormat="1">
      <alignment horizontal="right" vertical="bottom"/>
    </xf>
    <xf borderId="1" fillId="8" fontId="1" numFmtId="9" xfId="0" applyAlignment="1" applyBorder="1" applyFill="1" applyFont="1" applyNumberFormat="1">
      <alignment horizontal="right" readingOrder="0" vertical="bottom"/>
    </xf>
    <xf borderId="1" fillId="7" fontId="1" numFmtId="165" xfId="0" applyAlignment="1" applyBorder="1" applyFill="1" applyFont="1" applyNumberFormat="1">
      <alignment horizontal="right" readingOrder="0" vertical="bottom"/>
    </xf>
    <xf borderId="1" fillId="11" fontId="1" numFmtId="10" xfId="0" applyAlignment="1" applyBorder="1" applyFill="1" applyFont="1" applyNumberFormat="1">
      <alignment horizontal="right" vertical="bottom"/>
    </xf>
    <xf borderId="0" fillId="0" fontId="1" numFmtId="1" xfId="0" applyAlignment="1" applyFont="1" applyNumberFormat="1">
      <alignment vertical="bottom"/>
    </xf>
    <xf borderId="0" fillId="0" fontId="1" numFmtId="10" xfId="0" applyAlignment="1" applyFont="1" applyNumberFormat="1">
      <alignment vertical="bottom"/>
    </xf>
    <xf borderId="0" fillId="0" fontId="1" numFmtId="10" xfId="0" applyAlignment="1" applyFont="1" applyNumberFormat="1">
      <alignment horizontal="right" vertical="bottom"/>
    </xf>
    <xf borderId="1" fillId="5" fontId="1" numFmtId="165" xfId="0" applyAlignment="1" applyBorder="1" applyFill="1" applyFont="1" applyNumberFormat="1">
      <alignment horizontal="right" vertical="bottom"/>
    </xf>
    <xf borderId="1" fillId="2" fontId="6" numFmtId="1" xfId="0" applyAlignment="1" applyBorder="1" applyFill="1" applyFont="1" applyNumberFormat="1">
      <alignment vertical="bottom"/>
    </xf>
    <xf borderId="1" fillId="7" fontId="21" numFmtId="0" xfId="0" applyBorder="1" applyFill="1" applyFont="1"/>
    <xf borderId="3" fillId="2" fontId="30" numFmtId="0" xfId="0" applyAlignment="1" applyBorder="1" applyFill="1" applyFont="1">
      <alignment horizontal="center" readingOrder="0" vertical="center"/>
    </xf>
    <xf borderId="1" fillId="7" fontId="3" numFmtId="1" xfId="0" applyAlignment="1" applyBorder="1" applyFill="1" applyFont="1" applyNumberFormat="1">
      <alignment readingOrder="0"/>
    </xf>
    <xf borderId="3" fillId="6" fontId="30" numFmtId="0" xfId="0" applyAlignment="1" applyBorder="1" applyFill="1" applyFont="1">
      <alignment horizontal="center" readingOrder="0" vertical="center"/>
    </xf>
    <xf borderId="4" fillId="2" fontId="30" numFmtId="0" xfId="0" applyAlignment="1" applyBorder="1" applyFill="1" applyFont="1">
      <alignment horizontal="center" readingOrder="0" vertical="center"/>
    </xf>
    <xf borderId="4" fillId="6" fontId="30" numFmtId="0" xfId="0" applyAlignment="1" applyBorder="1" applyFill="1" applyFont="1">
      <alignment horizontal="center" readingOrder="0" vertical="center"/>
    </xf>
    <xf borderId="1" fillId="7" fontId="3" numFmtId="1" xfId="0" applyBorder="1" applyFill="1" applyFont="1" applyNumberFormat="1"/>
    <xf borderId="0" fillId="0" fontId="1" numFmtId="4" xfId="0" applyAlignment="1" applyFont="1" applyNumberFormat="1">
      <alignment vertical="bottom"/>
    </xf>
    <xf borderId="0" fillId="0" fontId="1" numFmtId="164" xfId="0" applyAlignment="1" applyFont="1" applyNumberFormat="1">
      <alignment vertical="bottom"/>
    </xf>
    <xf borderId="1" fillId="7" fontId="20" numFmtId="10" xfId="0" applyAlignment="1" applyBorder="1" applyFill="1" applyFont="1" applyNumberFormat="1">
      <alignment readingOrder="0" vertical="bottom"/>
    </xf>
    <xf borderId="1" fillId="7" fontId="21" numFmtId="164" xfId="0" applyBorder="1" applyFill="1" applyFont="1" applyNumberFormat="1"/>
    <xf borderId="5" fillId="2" fontId="30" numFmtId="0" xfId="0" applyAlignment="1" applyBorder="1" applyFill="1" applyFont="1">
      <alignment horizontal="center" readingOrder="0" vertical="center"/>
    </xf>
    <xf borderId="5" fillId="6" fontId="30" numFmtId="0" xfId="0" applyAlignment="1" applyBorder="1" applyFill="1" applyFont="1">
      <alignment horizontal="center" readingOrder="0" vertical="center"/>
    </xf>
    <xf borderId="5" fillId="0" fontId="29" numFmtId="0" xfId="0" applyBorder="1" applyFont="1"/>
    <xf borderId="6" fillId="0" fontId="29" numFmtId="0" xfId="0" applyBorder="1" applyFont="1"/>
    <xf borderId="0" fillId="0" fontId="1" numFmtId="3" xfId="0" applyAlignment="1" applyFont="1" applyNumberFormat="1">
      <alignment vertical="bottom"/>
    </xf>
    <xf borderId="1" fillId="2" fontId="30" numFmtId="0" xfId="0" applyAlignment="1" applyBorder="1" applyFill="1" applyFont="1">
      <alignment horizontal="center" readingOrder="0" vertical="bottom"/>
    </xf>
    <xf borderId="1" fillId="6" fontId="30" numFmtId="0" xfId="0" applyAlignment="1" applyBorder="1" applyFill="1" applyFont="1">
      <alignment horizontal="center" readingOrder="0" vertical="bottom"/>
    </xf>
    <xf borderId="1" fillId="8" fontId="1" numFmtId="3" xfId="0" applyAlignment="1" applyBorder="1" applyFill="1" applyFont="1" applyNumberFormat="1">
      <alignment vertical="bottom"/>
    </xf>
    <xf borderId="1" fillId="8" fontId="1" numFmtId="3" xfId="0" applyAlignment="1" applyBorder="1" applyFill="1" applyFont="1" applyNumberFormat="1">
      <alignment readingOrder="0" vertical="bottom"/>
    </xf>
    <xf borderId="1" fillId="12" fontId="20" numFmtId="1" xfId="0" applyAlignment="1" applyBorder="1" applyFill="1" applyFont="1" applyNumberFormat="1">
      <alignment horizontal="right" vertical="bottom"/>
    </xf>
    <xf borderId="1" fillId="12" fontId="1" numFmtId="10" xfId="0" applyAlignment="1" applyBorder="1" applyFill="1" applyFont="1" applyNumberFormat="1">
      <alignment horizontal="right" vertical="bottom"/>
    </xf>
    <xf borderId="1" fillId="8" fontId="1" numFmtId="3" xfId="0" applyAlignment="1" applyBorder="1" applyFill="1" applyFont="1" applyNumberFormat="1">
      <alignment horizontal="right" readingOrder="0" vertical="bottom"/>
    </xf>
    <xf borderId="1" fillId="7" fontId="21" numFmtId="164" xfId="0" applyAlignment="1" applyBorder="1" applyFill="1" applyFont="1" applyNumberFormat="1">
      <alignment readingOrder="0"/>
    </xf>
    <xf borderId="1" fillId="7" fontId="3" numFmtId="165" xfId="0" applyBorder="1" applyFill="1" applyFont="1" applyNumberFormat="1"/>
    <xf borderId="3" fillId="2" fontId="16" numFmtId="0" xfId="0" applyAlignment="1" applyBorder="1" applyFill="1" applyFont="1">
      <alignment vertical="bottom"/>
    </xf>
    <xf borderId="3" fillId="7" fontId="1" numFmtId="165" xfId="0" applyAlignment="1" applyBorder="1" applyFill="1" applyFont="1" applyNumberFormat="1">
      <alignment horizontal="right" vertical="bottom"/>
    </xf>
    <xf borderId="3" fillId="5" fontId="1" numFmtId="0" xfId="0" applyAlignment="1" applyBorder="1" applyFill="1" applyFont="1">
      <alignment vertical="bottom"/>
    </xf>
    <xf borderId="1" fillId="6" fontId="30" numFmtId="0" xfId="0" applyAlignment="1" applyBorder="1" applyFill="1" applyFont="1">
      <alignment horizontal="center" readingOrder="0" vertical="center"/>
    </xf>
    <xf borderId="7" fillId="2" fontId="16" numFmtId="0" xfId="0" applyAlignment="1" applyBorder="1" applyFill="1" applyFont="1">
      <alignment readingOrder="0" vertical="bottom"/>
    </xf>
    <xf borderId="1" fillId="2" fontId="16" numFmtId="0" xfId="0" applyAlignment="1" applyBorder="1" applyFill="1" applyFont="1">
      <alignment readingOrder="0" vertical="bottom"/>
    </xf>
    <xf borderId="8" fillId="7" fontId="1" numFmtId="165" xfId="0" applyAlignment="1" applyBorder="1" applyFill="1" applyFont="1" applyNumberFormat="1">
      <alignment horizontal="right" vertical="bottom"/>
    </xf>
    <xf borderId="1" fillId="6" fontId="16" numFmtId="0" xfId="0" applyAlignment="1" applyBorder="1" applyFill="1" applyFont="1">
      <alignment readingOrder="0" vertical="bottom"/>
    </xf>
    <xf borderId="8" fillId="3" fontId="1" numFmtId="165" xfId="0" applyAlignment="1" applyBorder="1" applyFill="1" applyFont="1" applyNumberFormat="1">
      <alignment horizontal="right" vertical="bottom"/>
    </xf>
    <xf borderId="9" fillId="2" fontId="31" numFmtId="0" xfId="0" applyAlignment="1" applyBorder="1" applyFill="1" applyFont="1">
      <alignment horizontal="left" readingOrder="0" vertical="bottom"/>
    </xf>
    <xf borderId="10" fillId="2" fontId="32" numFmtId="0" xfId="0" applyAlignment="1" applyBorder="1" applyFill="1" applyFont="1">
      <alignment horizontal="left" readingOrder="0" vertical="bottom"/>
    </xf>
    <xf borderId="0" fillId="2" fontId="33" numFmtId="0" xfId="0" applyAlignment="1" applyFill="1" applyFont="1">
      <alignment horizontal="left" readingOrder="0" vertical="bottom"/>
    </xf>
    <xf borderId="9" fillId="6" fontId="34" numFmtId="0" xfId="0" applyAlignment="1" applyBorder="1" applyFill="1" applyFont="1">
      <alignment horizontal="left" readingOrder="0" vertical="bottom"/>
    </xf>
    <xf borderId="10" fillId="6" fontId="35" numFmtId="0" xfId="0" applyAlignment="1" applyBorder="1" applyFill="1" applyFont="1">
      <alignment horizontal="left" readingOrder="0" vertical="bottom"/>
    </xf>
    <xf borderId="0" fillId="6" fontId="36" numFmtId="0" xfId="0" applyAlignment="1" applyFill="1" applyFont="1">
      <alignment horizontal="left" readingOrder="0" vertical="bottom"/>
    </xf>
    <xf borderId="1" fillId="2" fontId="16" numFmtId="0" xfId="0" applyAlignment="1" applyBorder="1" applyFill="1" applyFont="1">
      <alignment horizontal="left" readingOrder="0" vertical="bottom"/>
    </xf>
    <xf borderId="1" fillId="5" fontId="1" numFmtId="3" xfId="0" applyAlignment="1" applyBorder="1" applyFill="1" applyFont="1" applyNumberFormat="1">
      <alignment horizontal="right" readingOrder="0" vertical="bottom"/>
    </xf>
    <xf borderId="1" fillId="6" fontId="16" numFmtId="0" xfId="0" applyAlignment="1" applyBorder="1" applyFill="1" applyFont="1">
      <alignment horizontal="left" readingOrder="0" vertical="bottom"/>
    </xf>
    <xf borderId="11" fillId="7" fontId="1" numFmtId="165" xfId="0" applyAlignment="1" applyBorder="1" applyFill="1" applyFont="1" applyNumberFormat="1">
      <alignment horizontal="right" vertical="bottom"/>
    </xf>
    <xf borderId="1" fillId="8" fontId="1" numFmtId="10" xfId="0" applyAlignment="1" applyBorder="1" applyFill="1" applyFont="1" applyNumberFormat="1">
      <alignment horizontal="right" readingOrder="0" vertical="bottom"/>
    </xf>
    <xf borderId="1" fillId="8" fontId="1" numFmtId="10" xfId="0" applyAlignment="1" applyBorder="1" applyFill="1" applyFont="1" applyNumberFormat="1">
      <alignment horizontal="right" vertical="bottom"/>
    </xf>
    <xf borderId="1" fillId="8" fontId="1" numFmtId="1" xfId="0" applyAlignment="1" applyBorder="1" applyFill="1" applyFont="1" applyNumberFormat="1">
      <alignment horizontal="right" readingOrder="0" vertical="bottom"/>
    </xf>
    <xf borderId="1" fillId="5" fontId="1" numFmtId="1" xfId="0" applyAlignment="1" applyBorder="1" applyFill="1" applyFont="1" applyNumberFormat="1">
      <alignment horizontal="right" readingOrder="0" vertical="bottom"/>
    </xf>
    <xf borderId="0" fillId="0" fontId="1" numFmtId="167" xfId="0" applyAlignment="1" applyFont="1" applyNumberFormat="1">
      <alignment vertical="bottom"/>
    </xf>
    <xf borderId="1" fillId="8" fontId="1" numFmtId="168" xfId="0" applyAlignment="1" applyBorder="1" applyFill="1" applyFont="1" applyNumberFormat="1">
      <alignment horizontal="right" readingOrder="0" vertical="bottom"/>
    </xf>
    <xf borderId="1" fillId="7" fontId="21" numFmtId="10" xfId="0" applyAlignment="1" applyBorder="1" applyFill="1" applyFont="1" applyNumberFormat="1">
      <alignment readingOrder="0"/>
    </xf>
    <xf borderId="1" fillId="8" fontId="1" numFmtId="2" xfId="0" applyAlignment="1" applyBorder="1" applyFill="1" applyFont="1" applyNumberFormat="1">
      <alignment horizontal="right" readingOrder="0" vertical="bottom"/>
    </xf>
    <xf borderId="1" fillId="8" fontId="1" numFmtId="169" xfId="0" applyAlignment="1" applyBorder="1" applyFill="1" applyFont="1" applyNumberFormat="1">
      <alignment horizontal="right" readingOrder="0" vertical="bottom"/>
    </xf>
    <xf borderId="1" fillId="2" fontId="37" numFmtId="0" xfId="0" applyAlignment="1" applyBorder="1" applyFill="1" applyFont="1">
      <alignment vertical="bottom"/>
    </xf>
    <xf borderId="10" fillId="2" fontId="6" numFmtId="0" xfId="0" applyAlignment="1" applyBorder="1" applyFill="1" applyFont="1">
      <alignment horizontal="center" vertical="bottom"/>
    </xf>
    <xf borderId="10" fillId="6" fontId="38" numFmtId="0" xfId="0" applyAlignment="1" applyBorder="1" applyFill="1" applyFont="1">
      <alignment vertical="bottom"/>
    </xf>
    <xf borderId="10" fillId="6" fontId="6" numFmtId="0" xfId="0" applyAlignment="1" applyBorder="1" applyFill="1" applyFont="1">
      <alignment horizontal="center" vertical="bottom"/>
    </xf>
    <xf borderId="2" fillId="2" fontId="16" numFmtId="0" xfId="0" applyAlignment="1" applyBorder="1" applyFill="1" applyFont="1">
      <alignment vertical="bottom"/>
    </xf>
    <xf borderId="6" fillId="8" fontId="1" numFmtId="0" xfId="0" applyAlignment="1" applyBorder="1" applyFill="1" applyFont="1">
      <alignment horizontal="right" readingOrder="0" vertical="bottom"/>
    </xf>
    <xf borderId="6" fillId="6" fontId="16" numFmtId="0" xfId="0" applyAlignment="1" applyBorder="1" applyFill="1" applyFont="1">
      <alignment vertical="bottom"/>
    </xf>
    <xf borderId="5" fillId="0" fontId="1" numFmtId="0" xfId="0" applyAlignment="1" applyBorder="1" applyFont="1">
      <alignment vertical="bottom"/>
    </xf>
    <xf borderId="1" fillId="2" fontId="39" numFmtId="0" xfId="0" applyAlignment="1" applyBorder="1" applyFill="1" applyFont="1">
      <alignment readingOrder="0"/>
    </xf>
    <xf borderId="0" fillId="0" fontId="3" numFmtId="170" xfId="0" applyFont="1" applyNumberFormat="1"/>
    <xf borderId="0" fillId="0" fontId="1" numFmtId="167" xfId="0" applyAlignment="1" applyFont="1" applyNumberFormat="1">
      <alignment vertical="bottom"/>
    </xf>
    <xf borderId="1" fillId="8" fontId="1" numFmtId="0" xfId="0" applyAlignment="1" applyBorder="1" applyFill="1" applyFont="1">
      <alignment vertical="bottom"/>
    </xf>
    <xf borderId="1" fillId="3" fontId="1" numFmtId="169" xfId="0" applyAlignment="1" applyBorder="1" applyFill="1" applyFont="1" applyNumberFormat="1">
      <alignment horizontal="right" vertical="bottom"/>
    </xf>
    <xf borderId="9" fillId="13" fontId="1" numFmtId="0" xfId="0" applyAlignment="1" applyBorder="1" applyFill="1" applyFont="1">
      <alignment vertical="bottom"/>
    </xf>
    <xf borderId="1" fillId="2" fontId="40" numFmtId="0" xfId="0" applyAlignment="1" applyBorder="1" applyFill="1" applyFont="1">
      <alignment readingOrder="0"/>
    </xf>
    <xf borderId="0" fillId="0" fontId="41" numFmtId="0" xfId="0" applyAlignment="1" applyFont="1">
      <alignment readingOrder="0" vertical="bottom"/>
    </xf>
    <xf borderId="1" fillId="7" fontId="21" numFmtId="165" xfId="0" applyAlignment="1" applyBorder="1" applyFill="1" applyFont="1" applyNumberFormat="1">
      <alignment readingOrder="0"/>
    </xf>
    <xf borderId="0" fillId="0" fontId="42" numFmtId="0" xfId="0" applyAlignment="1" applyFont="1">
      <alignment vertical="bottom"/>
    </xf>
    <xf borderId="0" fillId="0" fontId="1" numFmtId="0" xfId="0" applyAlignment="1" applyFont="1">
      <alignment horizontal="right" vertical="bottom"/>
    </xf>
    <xf borderId="1" fillId="9" fontId="21" numFmtId="165" xfId="0" applyAlignment="1" applyBorder="1" applyFill="1" applyFont="1" applyNumberFormat="1">
      <alignment horizontal="right"/>
    </xf>
    <xf borderId="1" fillId="9" fontId="21" numFmtId="165" xfId="0" applyBorder="1" applyFill="1" applyFont="1" applyNumberFormat="1"/>
    <xf borderId="0" fillId="0" fontId="1" numFmtId="164" xfId="0" applyAlignment="1" applyFont="1" applyNumberFormat="1">
      <alignment horizontal="center" vertical="center"/>
    </xf>
    <xf borderId="1" fillId="14" fontId="16" numFmtId="0" xfId="0" applyAlignment="1" applyBorder="1" applyFill="1" applyFont="1">
      <alignment readingOrder="0" vertical="bottom"/>
    </xf>
    <xf borderId="9" fillId="5" fontId="1" numFmtId="0" xfId="0" applyAlignment="1" applyBorder="1" applyFill="1" applyFont="1">
      <alignment shrinkToFit="0" vertical="bottom" wrapText="0"/>
    </xf>
    <xf borderId="10" fillId="0" fontId="29" numFmtId="0" xfId="0" applyBorder="1" applyFont="1"/>
    <xf borderId="0" fillId="0" fontId="1" numFmtId="4" xfId="0" applyAlignment="1" applyFont="1" applyNumberFormat="1">
      <alignment readingOrder="0" vertical="bottom"/>
    </xf>
    <xf borderId="0" fillId="0" fontId="1" numFmtId="167" xfId="0" applyAlignment="1" applyFont="1" applyNumberFormat="1">
      <alignment vertical="bottom"/>
    </xf>
    <xf borderId="0" fillId="0" fontId="1" numFmtId="10" xfId="0" applyAlignment="1" applyFont="1" applyNumberFormat="1">
      <alignment vertical="bottom"/>
    </xf>
    <xf borderId="1" fillId="4" fontId="43" numFmtId="0" xfId="0" applyAlignment="1" applyBorder="1" applyFill="1" applyFont="1">
      <alignment readingOrder="0" vertical="bottom"/>
    </xf>
    <xf borderId="0" fillId="0" fontId="20" numFmtId="0" xfId="0" applyAlignment="1" applyFont="1">
      <alignment horizontal="right" vertical="bottom"/>
    </xf>
    <xf borderId="0" fillId="15" fontId="44" numFmtId="0" xfId="0" applyAlignment="1" applyFill="1" applyFont="1">
      <alignment readingOrder="0"/>
    </xf>
    <xf borderId="1" fillId="2" fontId="16" numFmtId="0" xfId="0" applyAlignment="1" applyBorder="1" applyFill="1" applyFont="1">
      <alignment vertical="bottom"/>
    </xf>
    <xf borderId="1" fillId="5" fontId="1" numFmtId="0" xfId="0" applyAlignment="1" applyBorder="1" applyFill="1" applyFont="1">
      <alignment vertical="bottom"/>
    </xf>
    <xf borderId="1" fillId="5" fontId="1" numFmtId="165" xfId="0" applyAlignment="1" applyBorder="1" applyFill="1" applyFont="1" applyNumberFormat="1">
      <alignment vertical="bottom"/>
    </xf>
    <xf borderId="1" fillId="7" fontId="1" numFmtId="165" xfId="0" applyAlignment="1" applyBorder="1" applyFill="1" applyFont="1" applyNumberFormat="1">
      <alignment horizontal="right" vertical="bottom"/>
    </xf>
    <xf borderId="1" fillId="3" fontId="1" numFmtId="0" xfId="0" applyAlignment="1" applyBorder="1" applyFill="1" applyFont="1">
      <alignment horizontal="right" vertical="bottom"/>
    </xf>
    <xf borderId="1" fillId="7" fontId="1" numFmtId="168" xfId="0" applyAlignment="1" applyBorder="1" applyFill="1" applyFont="1" applyNumberFormat="1">
      <alignment horizontal="right" vertical="bottom"/>
    </xf>
    <xf borderId="1" fillId="7" fontId="1" numFmtId="10" xfId="0" applyAlignment="1" applyBorder="1" applyFill="1" applyFont="1" applyNumberFormat="1">
      <alignment horizontal="right" vertical="bottom"/>
    </xf>
    <xf borderId="0" fillId="0" fontId="1" numFmtId="167" xfId="0" applyAlignment="1" applyFont="1" applyNumberFormat="1">
      <alignment readingOrder="0" vertical="bottom"/>
    </xf>
    <xf borderId="1" fillId="5" fontId="1" numFmtId="171" xfId="0" applyAlignment="1" applyBorder="1" applyFill="1" applyFont="1" applyNumberFormat="1">
      <alignment vertical="bottom"/>
    </xf>
    <xf borderId="0" fillId="0" fontId="20" numFmtId="0" xfId="0" applyAlignment="1" applyFont="1">
      <alignment horizontal="right" readingOrder="0" vertical="bottom"/>
    </xf>
    <xf borderId="1" fillId="5" fontId="1" numFmtId="1" xfId="0" applyAlignment="1" applyBorder="1" applyFill="1" applyFont="1" applyNumberFormat="1">
      <alignment vertical="bottom"/>
    </xf>
    <xf borderId="1" fillId="3" fontId="1" numFmtId="0" xfId="0" applyAlignment="1" applyBorder="1" applyFill="1" applyFont="1">
      <alignment horizontal="right" vertical="bottom"/>
    </xf>
    <xf borderId="1" fillId="7" fontId="1" numFmtId="0" xfId="0" applyAlignment="1" applyBorder="1" applyFill="1" applyFont="1">
      <alignment horizontal="right" vertical="bottom"/>
    </xf>
    <xf borderId="0" fillId="3" fontId="20" numFmtId="171" xfId="0" applyAlignment="1" applyFill="1" applyFont="1" applyNumberFormat="1">
      <alignment horizontal="right" readingOrder="0" vertical="bottom"/>
    </xf>
    <xf borderId="1" fillId="7" fontId="1" numFmtId="1" xfId="0" applyAlignment="1" applyBorder="1" applyFill="1" applyFont="1" applyNumberFormat="1">
      <alignment horizontal="right" vertical="bottom"/>
    </xf>
    <xf borderId="0" fillId="0" fontId="1" numFmtId="0" xfId="0" applyAlignment="1" applyFont="1">
      <alignment vertical="bottom"/>
    </xf>
    <xf borderId="1" fillId="7" fontId="1" numFmtId="165" xfId="0" applyAlignment="1" applyBorder="1" applyFill="1" applyFont="1" applyNumberFormat="1">
      <alignment horizontal="right" vertical="bottom"/>
    </xf>
    <xf borderId="0" fillId="0" fontId="1" numFmtId="172" xfId="0" applyAlignment="1" applyFont="1" applyNumberFormat="1">
      <alignment vertical="bottom"/>
    </xf>
    <xf borderId="1" fillId="3" fontId="1" numFmtId="1" xfId="0" applyAlignment="1" applyBorder="1" applyFill="1" applyFont="1" applyNumberFormat="1">
      <alignment horizontal="right" vertical="bottom"/>
    </xf>
    <xf borderId="1" fillId="3" fontId="21" numFmtId="172" xfId="0" applyAlignment="1" applyBorder="1" applyFill="1" applyFont="1" applyNumberFormat="1">
      <alignment readingOrder="0"/>
    </xf>
    <xf borderId="0" fillId="0" fontId="1" numFmtId="164" xfId="0" applyAlignment="1" applyFont="1" applyNumberFormat="1">
      <alignment horizontal="right" readingOrder="0" vertical="bottom"/>
    </xf>
    <xf borderId="0" fillId="0" fontId="1" numFmtId="0" xfId="0" applyAlignment="1" applyFont="1">
      <alignment horizontal="right" readingOrder="0" vertical="bottom"/>
    </xf>
    <xf borderId="0" fillId="5" fontId="1" numFmtId="0" xfId="0" applyAlignment="1" applyFill="1" applyFont="1">
      <alignment vertical="bottom"/>
    </xf>
    <xf borderId="1" fillId="3" fontId="1" numFmtId="169" xfId="0" applyAlignment="1" applyBorder="1" applyFill="1" applyFont="1" applyNumberFormat="1">
      <alignment horizontal="right" vertical="bottom"/>
    </xf>
    <xf borderId="0" fillId="5" fontId="1" numFmtId="10" xfId="0" applyAlignment="1" applyFill="1" applyFont="1" applyNumberFormat="1">
      <alignment vertical="bottom"/>
    </xf>
    <xf borderId="1" fillId="3" fontId="20" numFmtId="171" xfId="0" applyAlignment="1" applyBorder="1" applyFill="1" applyFont="1" applyNumberFormat="1">
      <alignment horizontal="right" readingOrder="0" vertical="bottom"/>
    </xf>
    <xf borderId="1" fillId="7" fontId="1" numFmtId="1" xfId="0" applyAlignment="1" applyBorder="1" applyFill="1" applyFont="1" applyNumberFormat="1">
      <alignment horizontal="right" vertical="bottom"/>
    </xf>
    <xf borderId="0" fillId="0" fontId="1" numFmtId="3" xfId="0" applyAlignment="1" applyFont="1" applyNumberFormat="1">
      <alignment readingOrder="0" vertical="bottom"/>
    </xf>
    <xf borderId="0" fillId="0" fontId="1" numFmtId="165" xfId="0" applyAlignment="1" applyFont="1" applyNumberFormat="1">
      <alignment readingOrder="0" vertical="bottom"/>
    </xf>
    <xf borderId="1" fillId="5" fontId="1" numFmtId="10" xfId="0" applyAlignment="1" applyBorder="1" applyFill="1" applyFont="1" applyNumberFormat="1">
      <alignment vertical="bottom"/>
    </xf>
    <xf borderId="0" fillId="0" fontId="41" numFmtId="0" xfId="0" applyAlignment="1" applyFont="1">
      <alignment horizontal="left" readingOrder="0" vertical="bottom"/>
    </xf>
    <xf borderId="1" fillId="5" fontId="3" numFmtId="0" xfId="0" applyBorder="1" applyFill="1" applyFont="1"/>
    <xf borderId="0" fillId="0" fontId="45" numFmtId="0" xfId="0" applyAlignment="1" applyFont="1">
      <alignment readingOrder="0"/>
    </xf>
    <xf borderId="0" fillId="6" fontId="46" numFmtId="0" xfId="0" applyAlignment="1" applyFill="1" applyFont="1">
      <alignment vertical="bottom"/>
    </xf>
    <xf borderId="1" fillId="6" fontId="6" numFmtId="0" xfId="0" applyAlignment="1" applyBorder="1" applyFill="1" applyFont="1">
      <alignment horizontal="center" vertical="bottom"/>
    </xf>
    <xf borderId="1" fillId="6" fontId="6" numFmtId="0" xfId="0" applyAlignment="1" applyBorder="1" applyFill="1" applyFont="1">
      <alignment horizontal="center" readingOrder="0" vertical="bottom"/>
    </xf>
    <xf borderId="12" fillId="0" fontId="21" numFmtId="165" xfId="0" applyBorder="1" applyFont="1" applyNumberFormat="1"/>
    <xf borderId="0" fillId="6" fontId="47" numFmtId="0" xfId="0" applyAlignment="1" applyFill="1" applyFont="1">
      <alignment readingOrder="0" vertical="bottom"/>
    </xf>
    <xf borderId="1" fillId="7" fontId="1" numFmtId="1" xfId="0" applyAlignment="1" applyBorder="1" applyFill="1" applyFont="1" applyNumberFormat="1">
      <alignment horizontal="right" vertical="bottom"/>
    </xf>
    <xf borderId="1" fillId="4" fontId="48" numFmtId="0" xfId="0" applyAlignment="1" applyBorder="1" applyFill="1" applyFont="1">
      <alignment vertical="bottom"/>
    </xf>
    <xf borderId="0" fillId="6" fontId="6" numFmtId="0" xfId="0" applyAlignment="1" applyFill="1" applyFont="1">
      <alignment vertical="bottom"/>
    </xf>
    <xf borderId="1" fillId="4" fontId="1" numFmtId="0" xfId="0" applyAlignment="1" applyBorder="1" applyFill="1" applyFont="1">
      <alignment vertical="bottom"/>
    </xf>
    <xf borderId="1" fillId="7" fontId="1" numFmtId="0" xfId="0" applyAlignment="1" applyBorder="1" applyFill="1" applyFont="1">
      <alignment vertical="bottom"/>
    </xf>
    <xf borderId="1" fillId="9" fontId="1" numFmtId="0" xfId="0" applyAlignment="1" applyBorder="1" applyFill="1" applyFont="1">
      <alignment vertical="bottom"/>
    </xf>
    <xf borderId="1" fillId="7" fontId="20" numFmtId="172" xfId="0" applyAlignment="1" applyBorder="1" applyFill="1" applyFont="1" applyNumberFormat="1">
      <alignment horizontal="right" vertical="bottom"/>
    </xf>
    <xf borderId="1" fillId="14" fontId="1" numFmtId="0" xfId="0" applyAlignment="1" applyBorder="1" applyFill="1" applyFont="1">
      <alignment vertical="bottom"/>
    </xf>
    <xf borderId="1" fillId="6" fontId="22" numFmtId="0" xfId="0" applyAlignment="1" applyBorder="1" applyFill="1" applyFont="1">
      <alignment vertical="bottom"/>
    </xf>
    <xf borderId="1" fillId="6" fontId="16" numFmtId="0" xfId="0" applyAlignment="1" applyBorder="1" applyFill="1" applyFont="1">
      <alignment horizontal="center" vertical="bottom"/>
    </xf>
    <xf borderId="1" fillId="6" fontId="16" numFmtId="0" xfId="0" applyAlignment="1" applyBorder="1" applyFill="1" applyFont="1">
      <alignment horizontal="center" readingOrder="0" vertical="bottom"/>
    </xf>
    <xf borderId="0" fillId="0" fontId="49" numFmtId="0" xfId="0" applyAlignment="1" applyFont="1">
      <alignment readingOrder="0" vertical="bottom"/>
    </xf>
    <xf borderId="0" fillId="0" fontId="41" numFmtId="0" xfId="0" applyAlignment="1" applyFont="1">
      <alignment horizontal="left" readingOrder="0" vertical="bottom"/>
    </xf>
    <xf borderId="0" fillId="0" fontId="1" numFmtId="10" xfId="0" applyAlignment="1" applyFont="1" applyNumberFormat="1">
      <alignment horizontal="right" vertical="bottom"/>
    </xf>
    <xf borderId="0" fillId="0" fontId="20" numFmtId="10" xfId="0" applyAlignment="1" applyFont="1" applyNumberFormat="1">
      <alignment horizontal="right" vertical="bottom"/>
    </xf>
    <xf borderId="0" fillId="0" fontId="1" numFmtId="0" xfId="0" applyAlignment="1" applyFont="1">
      <alignment horizontal="left" readingOrder="0" vertical="bottom"/>
    </xf>
    <xf borderId="0" fillId="0" fontId="1" numFmtId="165" xfId="0" applyAlignment="1" applyFont="1" applyNumberFormat="1">
      <alignment horizontal="left" readingOrder="0" vertical="bottom"/>
    </xf>
    <xf borderId="0" fillId="0" fontId="1" numFmtId="165" xfId="0" applyAlignment="1" applyFont="1" applyNumberFormat="1">
      <alignment horizontal="right" vertical="bottom"/>
    </xf>
    <xf borderId="0" fillId="0" fontId="30" numFmtId="0" xfId="0" applyAlignment="1" applyFont="1">
      <alignment horizontal="center" readingOrder="0" vertical="bottom"/>
    </xf>
    <xf borderId="1" fillId="3" fontId="1" numFmtId="165" xfId="0" applyAlignment="1" applyBorder="1" applyFill="1" applyFont="1" applyNumberFormat="1">
      <alignment horizontal="right" vertical="bottom"/>
    </xf>
    <xf borderId="1" fillId="6" fontId="6" numFmtId="1" xfId="0" applyAlignment="1" applyBorder="1" applyFill="1" applyFont="1" applyNumberFormat="1">
      <alignment vertical="bottom"/>
    </xf>
    <xf borderId="1" fillId="5" fontId="1" numFmtId="1" xfId="0" applyAlignment="1" applyBorder="1" applyFill="1" applyFont="1" applyNumberFormat="1">
      <alignment vertical="bottom"/>
    </xf>
    <xf borderId="1" fillId="3" fontId="20" numFmtId="172" xfId="0" applyAlignment="1" applyBorder="1" applyFill="1" applyFont="1" applyNumberFormat="1">
      <alignment horizontal="right" readingOrder="0" vertical="bottom"/>
    </xf>
    <xf borderId="1" fillId="5" fontId="1" numFmtId="172" xfId="0" applyAlignment="1" applyBorder="1" applyFill="1" applyFont="1" applyNumberFormat="1">
      <alignment vertical="bottom"/>
    </xf>
    <xf borderId="1" fillId="5" fontId="1" numFmtId="172" xfId="0" applyAlignment="1" applyBorder="1" applyFill="1" applyFont="1" applyNumberFormat="1">
      <alignment vertical="bottom"/>
    </xf>
    <xf borderId="1" fillId="7" fontId="1" numFmtId="0" xfId="0" applyAlignment="1" applyBorder="1" applyFill="1" applyFont="1">
      <alignment horizontal="right" vertical="bottom"/>
    </xf>
    <xf borderId="3" fillId="6" fontId="16" numFmtId="0" xfId="0" applyAlignment="1" applyBorder="1" applyFill="1" applyFont="1">
      <alignment vertical="bottom"/>
    </xf>
    <xf borderId="7" fillId="6" fontId="16" numFmtId="0" xfId="0" applyAlignment="1" applyBorder="1" applyFill="1" applyFont="1">
      <alignment readingOrder="0" vertical="bottom"/>
    </xf>
    <xf borderId="10" fillId="2" fontId="16" numFmtId="0" xfId="0" applyAlignment="1" applyBorder="1" applyFill="1" applyFont="1">
      <alignment vertical="bottom"/>
    </xf>
    <xf borderId="1" fillId="3" fontId="20" numFmtId="0" xfId="0" applyAlignment="1" applyBorder="1" applyFill="1" applyFont="1">
      <alignment horizontal="right" readingOrder="0" vertical="bottom"/>
    </xf>
    <xf borderId="1" fillId="6" fontId="50" numFmtId="0" xfId="0" applyAlignment="1" applyBorder="1" applyFill="1" applyFont="1">
      <alignment readingOrder="0"/>
    </xf>
    <xf borderId="1" fillId="6" fontId="40" numFmtId="0" xfId="0" applyAlignment="1" applyBorder="1" applyFill="1" applyFont="1">
      <alignment readingOrder="0"/>
    </xf>
    <xf borderId="1" fillId="3" fontId="20" numFmtId="172" xfId="0" applyAlignment="1" applyBorder="1" applyFill="1" applyFont="1" applyNumberFormat="1">
      <alignment horizontal="right" vertical="bottom"/>
    </xf>
    <xf borderId="1" fillId="3" fontId="1" numFmtId="9" xfId="0" applyAlignment="1" applyBorder="1" applyFill="1" applyFont="1" applyNumberFormat="1">
      <alignment horizontal="right" vertical="bottom"/>
    </xf>
    <xf borderId="1" fillId="6" fontId="16" numFmtId="0" xfId="0" applyAlignment="1" applyBorder="1" applyFill="1" applyFont="1">
      <alignment vertical="bottom"/>
    </xf>
    <xf quotePrefix="1" borderId="0" fillId="0" fontId="51" numFmtId="0" xfId="0" applyAlignment="1" applyFont="1">
      <alignment readingOrder="0"/>
    </xf>
    <xf borderId="0" fillId="16" fontId="52" numFmtId="0" xfId="0" applyAlignment="1" applyFill="1" applyFont="1">
      <alignment vertical="bottom"/>
    </xf>
    <xf borderId="1" fillId="16" fontId="6" numFmtId="0" xfId="0" applyAlignment="1" applyBorder="1" applyFill="1" applyFont="1">
      <alignment horizontal="center" vertical="bottom"/>
    </xf>
    <xf borderId="1" fillId="16" fontId="6" numFmtId="0" xfId="0" applyAlignment="1" applyBorder="1" applyFill="1" applyFont="1">
      <alignment horizontal="center" readingOrder="0" vertical="bottom"/>
    </xf>
    <xf borderId="0" fillId="16" fontId="53" numFmtId="0" xfId="0" applyAlignment="1" applyFill="1" applyFont="1">
      <alignment readingOrder="0" vertical="bottom"/>
    </xf>
    <xf borderId="1" fillId="16" fontId="6" numFmtId="0" xfId="0" applyAlignment="1" applyBorder="1" applyFill="1" applyFont="1">
      <alignment vertical="bottom"/>
    </xf>
    <xf borderId="0" fillId="16" fontId="6" numFmtId="0" xfId="0" applyAlignment="1" applyFill="1" applyFont="1">
      <alignment vertical="bottom"/>
    </xf>
    <xf borderId="1" fillId="16" fontId="22" numFmtId="0" xfId="0" applyAlignment="1" applyBorder="1" applyFill="1" applyFont="1">
      <alignment vertical="bottom"/>
    </xf>
    <xf borderId="1" fillId="16" fontId="16" numFmtId="0" xfId="0" applyAlignment="1" applyBorder="1" applyFill="1" applyFont="1">
      <alignment horizontal="center" vertical="bottom"/>
    </xf>
    <xf borderId="1" fillId="16" fontId="16" numFmtId="0" xfId="0" applyAlignment="1" applyBorder="1" applyFill="1" applyFont="1">
      <alignment horizontal="center" readingOrder="0" vertical="bottom"/>
    </xf>
    <xf borderId="1" fillId="16" fontId="16" numFmtId="0" xfId="0" applyAlignment="1" applyBorder="1" applyFill="1" applyFont="1">
      <alignment readingOrder="0" vertical="bottom"/>
    </xf>
    <xf borderId="1" fillId="3" fontId="20" numFmtId="165" xfId="0" applyAlignment="1" applyBorder="1" applyFill="1" applyFont="1" applyNumberFormat="1">
      <alignment readingOrder="0" vertical="bottom"/>
    </xf>
    <xf borderId="1" fillId="5" fontId="1" numFmtId="0" xfId="0" applyAlignment="1" applyBorder="1" applyFill="1" applyFont="1">
      <alignment vertical="bottom"/>
    </xf>
    <xf borderId="1" fillId="5" fontId="1" numFmtId="0" xfId="0" applyAlignment="1" applyBorder="1" applyFill="1" applyFont="1">
      <alignment readingOrder="0" vertical="bottom"/>
    </xf>
    <xf borderId="1" fillId="16" fontId="6" numFmtId="1" xfId="0" applyAlignment="1" applyBorder="1" applyFill="1" applyFont="1" applyNumberFormat="1">
      <alignment vertical="bottom"/>
    </xf>
    <xf borderId="1" fillId="16" fontId="16" numFmtId="0" xfId="0" applyAlignment="1" applyBorder="1" applyFill="1" applyFont="1">
      <alignment vertical="bottom"/>
    </xf>
    <xf borderId="1" fillId="7" fontId="3" numFmtId="0" xfId="0" applyBorder="1" applyFill="1" applyFont="1"/>
    <xf borderId="1" fillId="16" fontId="6" numFmtId="0" xfId="0" applyAlignment="1" applyBorder="1" applyFill="1" applyFont="1">
      <alignment readingOrder="0" vertical="bottom"/>
    </xf>
    <xf borderId="3" fillId="16" fontId="16" numFmtId="0" xfId="0" applyAlignment="1" applyBorder="1" applyFill="1" applyFont="1">
      <alignment vertical="bottom"/>
    </xf>
    <xf borderId="1" fillId="3" fontId="1" numFmtId="169" xfId="0" applyAlignment="1" applyBorder="1" applyFill="1" applyFont="1" applyNumberFormat="1">
      <alignment horizontal="right" vertical="bottom"/>
    </xf>
    <xf borderId="7" fillId="16" fontId="16" numFmtId="0" xfId="0" applyAlignment="1" applyBorder="1" applyFill="1" applyFont="1">
      <alignment readingOrder="0" vertical="bottom"/>
    </xf>
    <xf borderId="3" fillId="7" fontId="1" numFmtId="165" xfId="0" applyAlignment="1" applyBorder="1" applyFill="1" applyFont="1" applyNumberFormat="1">
      <alignment horizontal="right" vertical="bottom"/>
    </xf>
    <xf borderId="1" fillId="3" fontId="1" numFmtId="165" xfId="0" applyAlignment="1" applyBorder="1" applyFill="1" applyFont="1" applyNumberFormat="1">
      <alignment horizontal="right" vertical="bottom"/>
    </xf>
    <xf borderId="1" fillId="3" fontId="1" numFmtId="172" xfId="0" applyAlignment="1" applyBorder="1" applyFill="1" applyFont="1" applyNumberFormat="1">
      <alignment horizontal="right" vertical="bottom"/>
    </xf>
    <xf borderId="1" fillId="16" fontId="54" numFmtId="0" xfId="0" applyAlignment="1" applyBorder="1" applyFill="1" applyFont="1">
      <alignment readingOrder="0"/>
    </xf>
    <xf borderId="1" fillId="16" fontId="40" numFmtId="0" xfId="0" applyAlignment="1" applyBorder="1" applyFill="1" applyFont="1">
      <alignment readingOrder="0"/>
    </xf>
    <xf borderId="10" fillId="6" fontId="16" numFmtId="0" xfId="0" applyAlignment="1" applyBorder="1" applyFill="1" applyFont="1">
      <alignment vertical="bottom"/>
    </xf>
    <xf borderId="3" fillId="5" fontId="1" numFmtId="0" xfId="0" applyAlignment="1" applyBorder="1" applyFill="1" applyFont="1">
      <alignment vertical="bottom"/>
    </xf>
    <xf borderId="1" fillId="16" fontId="55" numFmtId="0" xfId="0" applyAlignment="1" applyBorder="1" applyFill="1" applyFont="1">
      <alignment vertical="bottom"/>
    </xf>
    <xf borderId="3" fillId="3" fontId="1" numFmtId="0" xfId="0" applyAlignment="1" applyBorder="1" applyFill="1" applyFont="1">
      <alignment horizontal="right" vertical="bottom"/>
    </xf>
    <xf borderId="1" fillId="16" fontId="56" numFmtId="0" xfId="0" applyAlignment="1" applyBorder="1" applyFill="1" applyFont="1">
      <alignment vertical="bottom"/>
    </xf>
    <xf borderId="1" fillId="16" fontId="16" numFmtId="0" xfId="0" applyAlignment="1" applyBorder="1" applyFill="1" applyFont="1">
      <alignment vertical="bottom"/>
    </xf>
    <xf borderId="3" fillId="5" fontId="1" numFmtId="165" xfId="0" applyAlignment="1" applyBorder="1" applyFill="1" applyFont="1" applyNumberFormat="1">
      <alignment vertical="bottom"/>
    </xf>
    <xf borderId="7" fillId="2" fontId="16" numFmtId="0" xfId="0" applyAlignment="1" applyBorder="1" applyFill="1" applyFont="1">
      <alignment horizontal="center" readingOrder="0" vertical="bottom"/>
    </xf>
    <xf borderId="8" fillId="7" fontId="1" numFmtId="10" xfId="0" applyAlignment="1" applyBorder="1" applyFill="1" applyFont="1" applyNumberFormat="1">
      <alignment horizontal="right" vertical="bottom"/>
    </xf>
    <xf borderId="0" fillId="0" fontId="57" numFmtId="10" xfId="0" applyFont="1" applyNumberFormat="1"/>
    <xf borderId="0" fillId="0" fontId="58" numFmtId="0" xfId="0" applyFont="1"/>
    <xf borderId="0" fillId="0" fontId="20" numFmtId="0" xfId="0" applyAlignment="1" applyFont="1">
      <alignment horizontal="left" readingOrder="0" vertical="bottom"/>
    </xf>
    <xf borderId="0" fillId="0" fontId="59" numFmtId="0" xfId="0" applyAlignment="1" applyFont="1">
      <alignment readingOrder="0"/>
    </xf>
    <xf borderId="0" fillId="0" fontId="1" numFmtId="0" xfId="0" applyAlignment="1" applyFont="1">
      <alignment horizontal="right" readingOrder="0" vertical="bottom"/>
    </xf>
    <xf borderId="0" fillId="0" fontId="1" numFmtId="0" xfId="0" applyAlignment="1" applyFont="1">
      <alignment horizontal="right" vertical="bottom"/>
    </xf>
    <xf borderId="0" fillId="0" fontId="1" numFmtId="0" xfId="0" applyAlignment="1" applyFont="1">
      <alignment horizontal="right" vertical="bottom"/>
    </xf>
    <xf borderId="1" fillId="16" fontId="16" numFmtId="0" xfId="0" applyAlignment="1" applyBorder="1" applyFill="1" applyFont="1">
      <alignment readingOrder="0" vertical="bottom"/>
    </xf>
    <xf borderId="1" fillId="7" fontId="1" numFmtId="0" xfId="0" applyAlignment="1" applyBorder="1" applyFill="1" applyFont="1">
      <alignment horizontal="right" readingOrder="0" vertical="bottom"/>
    </xf>
    <xf borderId="1" fillId="7" fontId="1" numFmtId="10" xfId="0" applyAlignment="1" applyBorder="1" applyFill="1" applyFont="1" applyNumberFormat="1">
      <alignment horizontal="right" readingOrder="0" vertical="bottom"/>
    </xf>
    <xf borderId="1" fillId="7" fontId="3" numFmtId="0" xfId="0" applyAlignment="1" applyBorder="1" applyFill="1" applyFont="1">
      <alignment readingOrder="0"/>
    </xf>
    <xf borderId="1" fillId="7" fontId="3" numFmtId="165" xfId="0" applyAlignment="1" applyBorder="1" applyFill="1" applyFont="1" applyNumberFormat="1">
      <alignment readingOrder="0"/>
    </xf>
    <xf borderId="1" fillId="3" fontId="1" numFmtId="10" xfId="0" applyAlignment="1" applyBorder="1" applyFill="1" applyFont="1" applyNumberFormat="1">
      <alignment horizontal="right" vertical="bottom"/>
    </xf>
    <xf borderId="1" fillId="2" fontId="1" numFmtId="0" xfId="0" applyAlignment="1" applyBorder="1" applyFill="1" applyFont="1">
      <alignment vertical="bottom"/>
    </xf>
    <xf borderId="1" fillId="3" fontId="1" numFmtId="0" xfId="0" applyAlignment="1" applyBorder="1" applyFill="1" applyFont="1">
      <alignment vertical="bottom"/>
    </xf>
    <xf borderId="1" fillId="13" fontId="1" numFmtId="0" xfId="0" applyAlignment="1" applyBorder="1" applyFill="1" applyFont="1">
      <alignment vertical="bottom"/>
    </xf>
    <xf borderId="1" fillId="17" fontId="1" numFmtId="0" xfId="0" applyAlignment="1" applyBorder="1" applyFill="1" applyFont="1">
      <alignment vertical="bottom"/>
    </xf>
    <xf borderId="0" fillId="0" fontId="16" numFmtId="0" xfId="0" applyAlignment="1" applyFont="1">
      <alignment readingOrder="0" vertical="bottom"/>
    </xf>
    <xf borderId="0" fillId="0" fontId="60" numFmtId="0" xfId="0" applyAlignment="1" applyFont="1">
      <alignment vertical="bottom"/>
    </xf>
    <xf borderId="0" fillId="0" fontId="16" numFmtId="0" xfId="0" applyAlignment="1" applyFont="1">
      <alignment vertical="bottom"/>
    </xf>
    <xf borderId="1" fillId="16" fontId="61" numFmtId="0" xfId="0" applyAlignment="1" applyBorder="1" applyFill="1" applyFont="1">
      <alignment readingOrder="0" vertical="bottom"/>
    </xf>
    <xf borderId="3" fillId="16" fontId="28" numFmtId="0" xfId="0" applyAlignment="1" applyBorder="1" applyFill="1" applyFont="1">
      <alignment horizontal="center" readingOrder="0" vertical="center"/>
    </xf>
    <xf borderId="10" fillId="16" fontId="16" numFmtId="0" xfId="0" applyAlignment="1" applyBorder="1" applyFill="1" applyFont="1">
      <alignment vertical="bottom"/>
    </xf>
    <xf borderId="7" fillId="6" fontId="16" numFmtId="0" xfId="0" applyAlignment="1" applyBorder="1" applyFill="1" applyFont="1">
      <alignment horizontal="center" readingOrder="0" vertical="bottom"/>
    </xf>
    <xf borderId="0" fillId="0" fontId="3" numFmtId="173" xfId="0" applyFont="1" applyNumberFormat="1"/>
    <xf borderId="0" fillId="0" fontId="3" numFmtId="0" xfId="0" applyFont="1"/>
    <xf borderId="0" fillId="15" fontId="0" numFmtId="0" xfId="0" applyFill="1" applyFont="1"/>
    <xf borderId="0" fillId="0" fontId="6" numFmtId="0" xfId="0" applyAlignment="1" applyFont="1">
      <alignment horizontal="center" readingOrder="0" vertical="bottom"/>
    </xf>
    <xf borderId="3" fillId="16" fontId="30" numFmtId="0" xfId="0" applyAlignment="1" applyBorder="1" applyFill="1" applyFont="1">
      <alignment horizontal="center" readingOrder="0" vertical="center"/>
    </xf>
    <xf borderId="1" fillId="6" fontId="62" numFmtId="0" xfId="0" applyAlignment="1" applyBorder="1" applyFill="1" applyFont="1">
      <alignment vertical="bottom"/>
    </xf>
    <xf borderId="2" fillId="6" fontId="16" numFmtId="0" xfId="0" applyAlignment="1" applyBorder="1" applyFill="1" applyFont="1">
      <alignment vertical="bottom"/>
    </xf>
    <xf borderId="9" fillId="3" fontId="1" numFmtId="1" xfId="0" applyAlignment="1" applyBorder="1" applyFill="1" applyFont="1" applyNumberFormat="1">
      <alignment horizontal="right" vertical="bottom"/>
    </xf>
    <xf borderId="1" fillId="6" fontId="1" numFmtId="0" xfId="0" applyAlignment="1" applyBorder="1" applyFill="1" applyFont="1">
      <alignment vertical="bottom"/>
    </xf>
    <xf borderId="7" fillId="16" fontId="16" numFmtId="0" xfId="0" applyAlignment="1" applyBorder="1" applyFill="1" applyFont="1">
      <alignment horizontal="center" readingOrder="0" vertical="bottom"/>
    </xf>
    <xf borderId="5" fillId="16" fontId="30" numFmtId="0" xfId="0" applyAlignment="1" applyBorder="1" applyFill="1" applyFont="1">
      <alignment horizontal="center" readingOrder="0" vertical="center"/>
    </xf>
    <xf borderId="0" fillId="0" fontId="3" numFmtId="10" xfId="0" applyAlignment="1" applyFont="1" applyNumberFormat="1">
      <alignment readingOrder="0"/>
    </xf>
    <xf borderId="1" fillId="16" fontId="30" numFmtId="0" xfId="0" applyAlignment="1" applyBorder="1" applyFill="1" applyFont="1">
      <alignment horizontal="center" readingOrder="0" vertical="bottom"/>
    </xf>
    <xf borderId="1" fillId="3" fontId="1" numFmtId="1" xfId="0" applyAlignment="1" applyBorder="1" applyFill="1" applyFont="1" applyNumberFormat="1">
      <alignment horizontal="right" readingOrder="0" vertical="bottom"/>
    </xf>
    <xf borderId="1" fillId="16" fontId="16" numFmtId="0" xfId="0" applyAlignment="1" applyBorder="1" applyFill="1" applyFont="1">
      <alignment readingOrder="0" vertical="bottom"/>
    </xf>
    <xf borderId="9" fillId="16" fontId="63" numFmtId="0" xfId="0" applyAlignment="1" applyBorder="1" applyFill="1" applyFont="1">
      <alignment horizontal="left" readingOrder="0" vertical="bottom"/>
    </xf>
    <xf borderId="10" fillId="16" fontId="64" numFmtId="0" xfId="0" applyAlignment="1" applyBorder="1" applyFill="1" applyFont="1">
      <alignment horizontal="left" readingOrder="0" vertical="bottom"/>
    </xf>
    <xf borderId="0" fillId="16" fontId="65" numFmtId="0" xfId="0" applyAlignment="1" applyFill="1" applyFont="1">
      <alignment horizontal="left" readingOrder="0" vertical="bottom"/>
    </xf>
    <xf borderId="1" fillId="16" fontId="16" numFmtId="0" xfId="0" applyAlignment="1" applyBorder="1" applyFill="1" applyFont="1">
      <alignment horizontal="left" readingOrder="0" vertical="bottom"/>
    </xf>
    <xf borderId="1" fillId="16" fontId="66" numFmtId="0" xfId="0" applyAlignment="1" applyBorder="1" applyFill="1" applyFont="1">
      <alignment vertical="bottom"/>
    </xf>
    <xf borderId="10" fillId="16" fontId="6" numFmtId="0" xfId="0" applyAlignment="1" applyBorder="1" applyFill="1" applyFont="1">
      <alignment horizontal="center" vertical="bottom"/>
    </xf>
    <xf borderId="2" fillId="16" fontId="16" numFmtId="0" xfId="0" applyAlignment="1" applyBorder="1" applyFill="1" applyFont="1">
      <alignment vertical="bottom"/>
    </xf>
    <xf borderId="1" fillId="16" fontId="1" numFmtId="0" xfId="0" applyAlignment="1" applyBorder="1" applyFill="1" applyFont="1">
      <alignment vertical="bottom"/>
    </xf>
    <xf borderId="1" fillId="7" fontId="1" numFmtId="169" xfId="0" applyAlignment="1" applyBorder="1" applyFill="1" applyFont="1" applyNumberFormat="1">
      <alignment horizontal="righ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sheetData>
    <row r="1">
      <c r="A1" s="2"/>
      <c r="B1" s="2"/>
      <c r="C1" s="2"/>
      <c r="D1" s="2"/>
      <c r="E1" s="2"/>
      <c r="F1" s="2"/>
      <c r="G1" s="2"/>
      <c r="H1" s="2"/>
      <c r="I1" s="2"/>
      <c r="J1" s="2"/>
      <c r="K1" s="2"/>
      <c r="L1" s="2"/>
      <c r="M1" s="2"/>
      <c r="N1" s="2"/>
      <c r="O1" s="2"/>
      <c r="P1" s="2"/>
      <c r="Q1" s="2"/>
      <c r="R1" s="2"/>
      <c r="S1" s="2"/>
      <c r="T1" s="2"/>
      <c r="U1" s="2"/>
      <c r="V1" s="2"/>
      <c r="W1" s="2"/>
      <c r="X1" s="2"/>
      <c r="Y1" s="2"/>
      <c r="Z1" s="2"/>
    </row>
    <row r="2">
      <c r="A2" s="2"/>
      <c r="B2" s="6" t="s">
        <v>2</v>
      </c>
      <c r="M2" s="7"/>
      <c r="N2" s="7"/>
      <c r="O2" s="7"/>
      <c r="P2" s="2"/>
      <c r="Q2" s="2"/>
      <c r="R2" s="2"/>
      <c r="S2" s="2"/>
      <c r="T2" s="2"/>
      <c r="U2" s="2"/>
      <c r="V2" s="2"/>
      <c r="W2" s="2"/>
      <c r="X2" s="2"/>
      <c r="Y2" s="2"/>
      <c r="Z2" s="2"/>
    </row>
    <row r="3">
      <c r="A3" s="2"/>
      <c r="B3" s="10" t="s">
        <v>6</v>
      </c>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14" t="s">
        <v>11</v>
      </c>
      <c r="C5" s="17"/>
      <c r="D5" s="17"/>
      <c r="E5" s="17"/>
      <c r="F5" s="17"/>
      <c r="G5" s="17"/>
      <c r="H5" s="17"/>
      <c r="I5" s="17"/>
      <c r="J5" s="17"/>
      <c r="K5" s="17"/>
      <c r="L5" s="17"/>
      <c r="M5" s="2"/>
      <c r="N5" s="2"/>
      <c r="O5" s="2"/>
      <c r="P5" s="2"/>
      <c r="Q5" s="2"/>
      <c r="R5" s="2"/>
      <c r="S5" s="2"/>
      <c r="T5" s="2"/>
      <c r="U5" s="2"/>
      <c r="V5" s="2"/>
      <c r="W5" s="2"/>
      <c r="X5" s="2"/>
      <c r="Y5" s="2"/>
      <c r="Z5" s="2"/>
    </row>
    <row r="6">
      <c r="A6" s="2"/>
      <c r="B6" s="20" t="s">
        <v>15</v>
      </c>
      <c r="M6" s="2"/>
      <c r="N6" s="2"/>
      <c r="O6" s="2"/>
      <c r="P6" s="2"/>
      <c r="Q6" s="2"/>
      <c r="R6" s="2"/>
      <c r="S6" s="2"/>
      <c r="T6" s="2"/>
      <c r="U6" s="2"/>
      <c r="V6" s="2"/>
      <c r="W6" s="2"/>
      <c r="X6" s="2"/>
      <c r="Y6" s="2"/>
      <c r="Z6" s="2"/>
    </row>
    <row r="7">
      <c r="A7" s="2"/>
      <c r="B7" s="2"/>
      <c r="C7" s="2"/>
      <c r="D7" s="2"/>
      <c r="E7" s="2"/>
      <c r="F7" s="2"/>
      <c r="G7" s="2"/>
      <c r="H7" s="2"/>
      <c r="I7" s="2"/>
      <c r="J7" s="2"/>
      <c r="K7" s="2"/>
      <c r="L7" s="2"/>
      <c r="M7" s="2"/>
      <c r="N7" s="1"/>
      <c r="O7" s="2"/>
      <c r="P7" s="2"/>
      <c r="Q7" s="2"/>
      <c r="R7" s="2"/>
      <c r="S7" s="2"/>
      <c r="T7" s="2"/>
      <c r="U7" s="2"/>
      <c r="V7" s="2"/>
      <c r="W7" s="2"/>
      <c r="X7" s="2"/>
      <c r="Y7" s="2"/>
      <c r="Z7" s="2"/>
    </row>
    <row r="8">
      <c r="A8" s="2"/>
      <c r="B8" s="24" t="s">
        <v>18</v>
      </c>
      <c r="C8" s="2"/>
      <c r="D8" s="2"/>
      <c r="E8" s="2"/>
      <c r="F8" s="2"/>
      <c r="G8" s="2"/>
      <c r="H8" s="2"/>
      <c r="I8" s="2"/>
      <c r="J8" s="2"/>
      <c r="K8" s="2"/>
      <c r="L8" s="2"/>
      <c r="M8" s="2"/>
      <c r="N8" s="1"/>
      <c r="O8" s="2"/>
      <c r="P8" s="1"/>
      <c r="Q8" s="1"/>
      <c r="R8" s="2"/>
      <c r="S8" s="1"/>
      <c r="T8" s="1"/>
      <c r="U8" s="2"/>
      <c r="V8" s="2"/>
      <c r="W8" s="2"/>
      <c r="X8" s="2"/>
      <c r="Y8" s="2"/>
      <c r="Z8" s="2"/>
    </row>
    <row r="9">
      <c r="A9" s="2"/>
      <c r="B9" s="1" t="s">
        <v>22</v>
      </c>
      <c r="C9" s="1"/>
      <c r="D9" s="1"/>
      <c r="E9" s="1"/>
      <c r="F9" s="1"/>
      <c r="G9" s="1"/>
      <c r="H9" s="1"/>
      <c r="I9" s="1"/>
      <c r="J9" s="1"/>
      <c r="K9" s="1"/>
      <c r="L9" s="1"/>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33" t="s">
        <v>27</v>
      </c>
      <c r="C11" s="2"/>
      <c r="D11" s="2"/>
      <c r="E11" s="2"/>
      <c r="F11" s="2"/>
      <c r="G11" s="2"/>
      <c r="H11" s="2"/>
      <c r="I11" s="2"/>
      <c r="J11" s="2"/>
      <c r="K11" s="2"/>
      <c r="L11" s="2"/>
      <c r="N11" s="2"/>
      <c r="O11" s="2"/>
      <c r="P11" s="2"/>
      <c r="Q11" s="2"/>
      <c r="R11" s="2"/>
      <c r="S11" s="2"/>
      <c r="T11" s="2"/>
      <c r="U11" s="2"/>
      <c r="V11" s="2"/>
      <c r="W11" s="2"/>
      <c r="X11" s="2"/>
      <c r="Y11" s="2"/>
      <c r="Z11" s="2"/>
    </row>
    <row r="12">
      <c r="A12" s="2"/>
      <c r="B12" s="35" t="s">
        <v>29</v>
      </c>
      <c r="M12" s="2"/>
      <c r="N12" s="2"/>
      <c r="O12" s="2"/>
      <c r="P12" s="2"/>
      <c r="Q12" s="2"/>
      <c r="R12" s="2"/>
      <c r="S12" s="2"/>
      <c r="T12" s="2"/>
      <c r="U12" s="2"/>
      <c r="V12" s="2"/>
      <c r="W12" s="2"/>
      <c r="X12" s="2"/>
      <c r="Y12" s="2"/>
      <c r="Z12" s="2"/>
    </row>
    <row r="13">
      <c r="A13" s="2"/>
      <c r="B13" s="38" t="s">
        <v>30</v>
      </c>
      <c r="M13" s="2"/>
      <c r="N13" s="2"/>
      <c r="O13" s="2"/>
      <c r="P13" s="2"/>
      <c r="Q13" s="2"/>
      <c r="R13" s="2"/>
      <c r="S13" s="2"/>
      <c r="T13" s="2"/>
      <c r="U13" s="2"/>
      <c r="V13" s="2"/>
      <c r="W13" s="2"/>
      <c r="X13" s="2"/>
      <c r="Y13" s="2"/>
      <c r="Z13" s="2"/>
    </row>
    <row r="14">
      <c r="A14" s="2"/>
      <c r="B14" s="41" t="s">
        <v>32</v>
      </c>
      <c r="M14" s="2"/>
      <c r="N14" s="2"/>
      <c r="O14" s="2"/>
      <c r="P14" s="2"/>
      <c r="Q14" s="2"/>
      <c r="R14" s="2"/>
      <c r="S14" s="2"/>
      <c r="T14" s="2"/>
      <c r="U14" s="2"/>
      <c r="V14" s="2"/>
      <c r="W14" s="2"/>
      <c r="X14" s="2"/>
      <c r="Y14" s="2"/>
      <c r="Z14" s="2"/>
    </row>
    <row r="15">
      <c r="A15" s="2"/>
      <c r="B15" s="44" t="s">
        <v>33</v>
      </c>
      <c r="M15" s="2"/>
      <c r="N15" s="2"/>
      <c r="O15" s="2"/>
      <c r="P15" s="2"/>
      <c r="Q15" s="2"/>
      <c r="R15" s="2"/>
      <c r="S15" s="2"/>
      <c r="T15" s="2"/>
      <c r="U15" s="2"/>
      <c r="V15" s="2"/>
      <c r="W15" s="2"/>
      <c r="X15" s="2"/>
      <c r="Y15" s="2"/>
      <c r="Z15" s="2"/>
    </row>
    <row r="16">
      <c r="A16" s="2"/>
      <c r="B16" s="41" t="s">
        <v>34</v>
      </c>
      <c r="M16" s="2"/>
      <c r="N16" s="2"/>
      <c r="O16" s="2"/>
      <c r="P16" s="2"/>
      <c r="Q16" s="2"/>
      <c r="R16" s="2"/>
      <c r="S16" s="2"/>
      <c r="T16" s="2"/>
      <c r="U16" s="2"/>
      <c r="V16" s="2"/>
      <c r="W16" s="2"/>
      <c r="X16" s="2"/>
      <c r="Y16" s="2"/>
      <c r="Z16" s="2"/>
    </row>
    <row r="17">
      <c r="A17" s="2"/>
      <c r="B17" s="46" t="s">
        <v>35</v>
      </c>
      <c r="M17" s="2"/>
      <c r="N17" s="2"/>
      <c r="O17" s="2"/>
      <c r="P17" s="2"/>
      <c r="Q17" s="2"/>
      <c r="R17" s="2"/>
      <c r="S17" s="2"/>
      <c r="T17" s="2"/>
      <c r="U17" s="2"/>
      <c r="V17" s="2"/>
      <c r="W17" s="2"/>
      <c r="X17" s="2"/>
      <c r="Y17" s="2"/>
      <c r="Z17" s="2"/>
    </row>
    <row r="18">
      <c r="A18" s="2"/>
      <c r="B18" s="41" t="s">
        <v>37</v>
      </c>
      <c r="M18" s="2"/>
      <c r="N18" s="2"/>
      <c r="O18" s="2"/>
      <c r="P18" s="2"/>
      <c r="Q18" s="2"/>
      <c r="R18" s="2"/>
      <c r="S18" s="2"/>
      <c r="T18" s="2"/>
      <c r="U18" s="2"/>
      <c r="V18" s="2"/>
      <c r="W18" s="2"/>
      <c r="X18" s="2"/>
      <c r="Y18" s="2"/>
      <c r="Z18" s="2"/>
    </row>
    <row r="19">
      <c r="A19" s="2"/>
      <c r="B19" s="44" t="s">
        <v>38</v>
      </c>
      <c r="M19" s="2"/>
      <c r="N19" s="2"/>
      <c r="O19" s="2"/>
      <c r="P19" s="2"/>
      <c r="Q19" s="2"/>
      <c r="R19" s="2"/>
      <c r="S19" s="2"/>
      <c r="T19" s="2"/>
      <c r="U19" s="2"/>
      <c r="V19" s="2"/>
      <c r="W19" s="2"/>
      <c r="X19" s="2"/>
      <c r="Y19" s="2"/>
      <c r="Z19" s="2"/>
    </row>
    <row r="20">
      <c r="A20" s="2"/>
      <c r="B20" s="50" t="s">
        <v>39</v>
      </c>
      <c r="M20" s="2"/>
      <c r="N20" s="2"/>
      <c r="O20" s="2"/>
      <c r="P20" s="2"/>
      <c r="Q20" s="2"/>
      <c r="R20" s="2"/>
      <c r="S20" s="2"/>
      <c r="T20" s="2"/>
      <c r="U20" s="2"/>
      <c r="V20" s="2"/>
      <c r="W20" s="2"/>
      <c r="X20" s="2"/>
      <c r="Y20" s="2"/>
      <c r="Z20" s="2"/>
    </row>
    <row r="21">
      <c r="A21" s="2"/>
      <c r="B21" s="51" t="s">
        <v>42</v>
      </c>
      <c r="M21" s="2"/>
      <c r="N21" s="2"/>
      <c r="O21" s="2"/>
      <c r="P21" s="2"/>
      <c r="Q21" s="2"/>
      <c r="R21" s="2"/>
      <c r="S21" s="2"/>
      <c r="T21" s="2"/>
      <c r="U21" s="2"/>
      <c r="V21" s="2"/>
      <c r="W21" s="2"/>
      <c r="X21" s="2"/>
      <c r="Y21" s="2"/>
      <c r="Z21" s="2"/>
    </row>
    <row r="22">
      <c r="A22" s="2"/>
      <c r="B22" s="50" t="s">
        <v>43</v>
      </c>
      <c r="M22" s="2"/>
      <c r="N22" s="2"/>
      <c r="O22" s="2"/>
      <c r="P22" s="2"/>
      <c r="Q22" s="2"/>
      <c r="R22" s="2"/>
      <c r="S22" s="2"/>
      <c r="T22" s="2"/>
      <c r="U22" s="2"/>
      <c r="V22" s="2"/>
      <c r="W22" s="2"/>
      <c r="X22" s="2"/>
      <c r="Y22" s="2"/>
      <c r="Z22" s="2"/>
    </row>
    <row r="23">
      <c r="A23" s="2"/>
      <c r="B23" s="51" t="s">
        <v>45</v>
      </c>
      <c r="M23" s="2"/>
      <c r="N23" s="2"/>
      <c r="O23" s="2"/>
      <c r="P23" s="2"/>
      <c r="Q23" s="2"/>
      <c r="R23" s="2"/>
      <c r="S23" s="2"/>
      <c r="T23" s="2"/>
      <c r="U23" s="2"/>
      <c r="V23" s="2"/>
      <c r="W23" s="2"/>
      <c r="X23" s="2"/>
      <c r="Y23" s="2"/>
      <c r="Z23" s="2"/>
    </row>
    <row r="24">
      <c r="A24" s="2"/>
      <c r="B24" s="33"/>
      <c r="C24" s="2"/>
      <c r="D24" s="2"/>
      <c r="E24" s="2"/>
      <c r="F24" s="2"/>
      <c r="G24" s="2"/>
      <c r="H24" s="2"/>
      <c r="I24" s="2"/>
      <c r="J24" s="2"/>
      <c r="K24" s="2"/>
      <c r="L24" s="2"/>
      <c r="M24" s="2"/>
      <c r="N24" s="2"/>
      <c r="O24" s="2"/>
      <c r="P24" s="2"/>
      <c r="Q24" s="2"/>
      <c r="R24" s="2"/>
      <c r="S24" s="2"/>
      <c r="T24" s="2"/>
      <c r="U24" s="2"/>
      <c r="V24" s="2"/>
      <c r="W24" s="2"/>
      <c r="X24" s="2"/>
      <c r="Y24" s="2"/>
      <c r="Z24" s="2"/>
    </row>
    <row r="25">
      <c r="A25" s="2"/>
      <c r="B25" s="33" t="s">
        <v>48</v>
      </c>
      <c r="C25" s="2"/>
      <c r="D25" s="2"/>
      <c r="E25" s="2"/>
      <c r="F25" s="2"/>
      <c r="G25" s="2"/>
      <c r="H25" s="2"/>
      <c r="I25" s="2"/>
      <c r="J25" s="2"/>
      <c r="K25" s="2"/>
      <c r="L25" s="2"/>
      <c r="M25" s="2"/>
      <c r="N25" s="2"/>
      <c r="O25" s="2"/>
      <c r="P25" s="2"/>
      <c r="Q25" s="2"/>
      <c r="R25" s="2"/>
      <c r="S25" s="2"/>
      <c r="T25" s="2"/>
      <c r="U25" s="2"/>
      <c r="V25" s="2"/>
      <c r="W25" s="2"/>
      <c r="X25" s="2"/>
      <c r="Y25" s="2"/>
      <c r="Z25" s="2"/>
    </row>
    <row r="26">
      <c r="A26" s="2"/>
      <c r="B26" s="1" t="s">
        <v>52</v>
      </c>
      <c r="M26" s="2"/>
      <c r="N26" s="2"/>
      <c r="O26" s="2"/>
      <c r="P26" s="2"/>
      <c r="Q26" s="2"/>
      <c r="R26" s="2"/>
      <c r="S26" s="2"/>
      <c r="T26" s="2"/>
      <c r="U26" s="2"/>
      <c r="V26" s="2"/>
      <c r="W26" s="2"/>
      <c r="X26" s="2"/>
      <c r="Y26" s="2"/>
      <c r="Z26" s="2"/>
    </row>
    <row r="27">
      <c r="A27" s="2"/>
      <c r="B27" s="33"/>
      <c r="C27" s="2"/>
      <c r="D27" s="2"/>
      <c r="E27" s="2"/>
      <c r="F27" s="2"/>
      <c r="G27" s="2"/>
      <c r="H27" s="2"/>
      <c r="I27" s="2"/>
      <c r="J27" s="2"/>
      <c r="K27" s="2"/>
      <c r="L27" s="2"/>
      <c r="M27" s="2"/>
      <c r="N27" s="2"/>
      <c r="O27" s="2"/>
      <c r="P27" s="2"/>
      <c r="Q27" s="2"/>
      <c r="R27" s="2"/>
      <c r="S27" s="2"/>
      <c r="T27" s="2"/>
      <c r="U27" s="2"/>
      <c r="V27" s="2"/>
      <c r="W27" s="2"/>
      <c r="X27" s="2"/>
      <c r="Y27" s="2"/>
      <c r="Z27" s="2"/>
    </row>
    <row r="28">
      <c r="A28" s="2"/>
      <c r="B28" s="24" t="s">
        <v>58</v>
      </c>
      <c r="C28" s="2"/>
      <c r="D28" s="2"/>
      <c r="E28" s="2"/>
      <c r="F28" s="2"/>
      <c r="G28" s="2"/>
      <c r="H28" s="2"/>
      <c r="I28" s="2"/>
      <c r="J28" s="2"/>
      <c r="K28" s="2"/>
      <c r="L28" s="2"/>
      <c r="M28" s="2"/>
      <c r="N28" s="2"/>
      <c r="O28" s="2"/>
      <c r="P28" s="2"/>
      <c r="Q28" s="2"/>
      <c r="R28" s="2"/>
      <c r="S28" s="2"/>
      <c r="T28" s="2"/>
      <c r="U28" s="2"/>
      <c r="V28" s="2"/>
      <c r="W28" s="2"/>
      <c r="X28" s="2"/>
      <c r="Y28" s="2"/>
      <c r="Z28" s="2"/>
    </row>
    <row r="29">
      <c r="A29" s="2"/>
      <c r="B29" s="60" t="s">
        <v>61</v>
      </c>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65"/>
      <c r="C31" s="2"/>
      <c r="D31" s="2"/>
      <c r="E31" s="2"/>
      <c r="F31" s="2"/>
      <c r="G31" s="2"/>
      <c r="H31" s="2"/>
      <c r="I31" s="2"/>
      <c r="J31" s="2"/>
      <c r="K31" s="2"/>
      <c r="L31" s="2"/>
      <c r="M31" s="2"/>
      <c r="N31" s="2"/>
      <c r="O31" s="2"/>
      <c r="P31" s="2"/>
      <c r="Q31" s="2"/>
      <c r="R31" s="2"/>
      <c r="S31" s="2"/>
      <c r="T31" s="2"/>
      <c r="U31" s="2"/>
      <c r="V31" s="2"/>
      <c r="W31" s="2"/>
      <c r="X31" s="2"/>
      <c r="Y31" s="2"/>
      <c r="Z31" s="2"/>
    </row>
    <row r="32">
      <c r="A32" s="2"/>
      <c r="B32" s="65"/>
      <c r="C32" s="2"/>
      <c r="D32" s="2"/>
      <c r="E32" s="2"/>
      <c r="F32" s="2"/>
      <c r="G32" s="2"/>
      <c r="H32" s="2"/>
      <c r="I32" s="2"/>
      <c r="J32" s="2"/>
      <c r="K32" s="2"/>
      <c r="L32" s="2"/>
      <c r="M32" s="2"/>
      <c r="N32" s="2"/>
      <c r="O32" s="2"/>
      <c r="P32" s="2"/>
      <c r="Q32" s="2"/>
      <c r="R32" s="2"/>
      <c r="S32" s="2"/>
      <c r="T32" s="2"/>
      <c r="U32" s="2"/>
      <c r="V32" s="2"/>
      <c r="W32" s="2"/>
      <c r="X32" s="2"/>
      <c r="Y32" s="2"/>
      <c r="Z32" s="2"/>
    </row>
    <row r="33">
      <c r="A33" s="2"/>
      <c r="B33" s="1"/>
      <c r="C33" s="2"/>
      <c r="D33" s="2"/>
      <c r="E33" s="2"/>
      <c r="F33" s="2"/>
      <c r="G33" s="2"/>
      <c r="H33" s="2"/>
      <c r="I33" s="2"/>
      <c r="J33" s="2"/>
      <c r="K33" s="2"/>
      <c r="L33" s="2"/>
      <c r="M33" s="2"/>
      <c r="N33" s="2"/>
      <c r="O33" s="2"/>
      <c r="P33" s="2"/>
      <c r="Q33" s="2"/>
      <c r="R33" s="2"/>
      <c r="S33" s="2"/>
      <c r="T33" s="2"/>
      <c r="U33" s="2"/>
      <c r="V33" s="2"/>
      <c r="W33" s="2"/>
      <c r="X33" s="2"/>
      <c r="Y33" s="2"/>
      <c r="Z33" s="2"/>
    </row>
    <row r="34">
      <c r="A34" s="2"/>
      <c r="B34" s="1"/>
      <c r="C34" s="2"/>
      <c r="D34" s="2"/>
      <c r="E34" s="2"/>
      <c r="F34" s="2"/>
      <c r="G34" s="2"/>
      <c r="H34" s="2"/>
      <c r="I34" s="2"/>
      <c r="J34" s="2"/>
      <c r="K34" s="2"/>
      <c r="L34" s="2"/>
      <c r="M34" s="2"/>
      <c r="N34" s="2"/>
      <c r="O34" s="2"/>
      <c r="P34" s="2"/>
      <c r="Q34" s="2"/>
      <c r="R34" s="2"/>
      <c r="S34" s="2"/>
      <c r="T34" s="2"/>
      <c r="U34" s="2"/>
      <c r="V34" s="2"/>
      <c r="W34" s="2"/>
      <c r="X34" s="2"/>
      <c r="Y34" s="2"/>
      <c r="Z34" s="2"/>
    </row>
    <row r="35">
      <c r="A35" s="2"/>
      <c r="B35" s="1"/>
      <c r="C35" s="2"/>
      <c r="D35" s="2"/>
      <c r="E35" s="2"/>
      <c r="F35" s="2"/>
      <c r="G35" s="2"/>
      <c r="H35" s="2"/>
      <c r="I35" s="2"/>
      <c r="J35" s="2"/>
      <c r="K35" s="2"/>
      <c r="L35" s="2"/>
      <c r="M35" s="2"/>
      <c r="N35" s="2"/>
      <c r="O35" s="2"/>
      <c r="P35" s="2"/>
      <c r="Q35" s="2"/>
      <c r="R35" s="2"/>
      <c r="S35" s="2"/>
      <c r="T35" s="2"/>
      <c r="U35" s="2"/>
      <c r="V35" s="2"/>
      <c r="W35" s="2"/>
      <c r="X35" s="2"/>
      <c r="Y35" s="2"/>
      <c r="Z35" s="2"/>
    </row>
    <row r="36">
      <c r="A36" s="2"/>
      <c r="B36" s="1"/>
      <c r="C36" s="2"/>
      <c r="D36" s="2"/>
      <c r="E36" s="2"/>
      <c r="F36" s="2"/>
      <c r="G36" s="2"/>
      <c r="H36" s="2"/>
      <c r="I36" s="2"/>
      <c r="J36" s="2"/>
      <c r="K36" s="2"/>
      <c r="L36" s="2"/>
      <c r="M36" s="2"/>
      <c r="N36" s="2"/>
      <c r="O36" s="2"/>
      <c r="P36" s="2"/>
      <c r="Q36" s="2"/>
      <c r="R36" s="2"/>
      <c r="S36" s="2"/>
      <c r="T36" s="2"/>
      <c r="U36" s="2"/>
      <c r="V36" s="2"/>
      <c r="W36" s="2"/>
      <c r="X36" s="2"/>
      <c r="Y36" s="2"/>
      <c r="Z36" s="2"/>
    </row>
    <row r="37">
      <c r="A37" s="2"/>
      <c r="B37" s="1"/>
      <c r="C37" s="2"/>
      <c r="D37" s="2"/>
      <c r="E37" s="2"/>
      <c r="F37" s="2"/>
      <c r="G37" s="2"/>
      <c r="H37" s="2"/>
      <c r="I37" s="2"/>
      <c r="J37" s="2"/>
      <c r="K37" s="2"/>
      <c r="L37" s="2"/>
      <c r="M37" s="2"/>
      <c r="N37" s="2"/>
      <c r="O37" s="2"/>
      <c r="P37" s="2"/>
      <c r="Q37" s="2"/>
      <c r="R37" s="2"/>
      <c r="S37" s="2"/>
      <c r="T37" s="2"/>
      <c r="U37" s="2"/>
      <c r="V37" s="2"/>
      <c r="W37" s="2"/>
      <c r="X37" s="2"/>
      <c r="Y37" s="2"/>
      <c r="Z37" s="2"/>
    </row>
    <row r="38">
      <c r="A38" s="2"/>
      <c r="B38" s="1"/>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sheetData>
  <mergeCells count="15">
    <mergeCell ref="B17:L17"/>
    <mergeCell ref="B18:L18"/>
    <mergeCell ref="B19:L19"/>
    <mergeCell ref="B20:L20"/>
    <mergeCell ref="B21:L21"/>
    <mergeCell ref="B22:L22"/>
    <mergeCell ref="B23:L23"/>
    <mergeCell ref="B26:L26"/>
    <mergeCell ref="B2:L2"/>
    <mergeCell ref="B6:L6"/>
    <mergeCell ref="B12:L12"/>
    <mergeCell ref="B13:L13"/>
    <mergeCell ref="B14:L14"/>
    <mergeCell ref="B15:L15"/>
    <mergeCell ref="B16:L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2" max="2" width="25.0"/>
    <col customWidth="1" min="3" max="3" width="15.5"/>
    <col customWidth="1" min="4" max="4" width="17.5"/>
    <col customWidth="1" min="5" max="5" width="9.63"/>
    <col customWidth="1" min="7" max="7" width="25.0"/>
    <col customWidth="1" min="8" max="8" width="15.5"/>
    <col customWidth="1" min="9" max="9" width="17.5"/>
    <col customWidth="1" min="10" max="10" width="13.25"/>
    <col customWidth="1" min="41" max="41" width="13.38"/>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2"/>
      <c r="B2" s="12" t="s">
        <v>8</v>
      </c>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c r="A3" s="2"/>
      <c r="B3" s="2"/>
      <c r="C3" s="2"/>
      <c r="D3" s="2"/>
      <c r="E3" s="2"/>
      <c r="F3" s="2"/>
      <c r="G3" s="2"/>
      <c r="H3" s="1"/>
      <c r="I3" s="2"/>
      <c r="J3" s="1"/>
      <c r="K3" s="1"/>
      <c r="L3" s="1"/>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
      <c r="B4" s="21" t="s">
        <v>16</v>
      </c>
      <c r="C4" s="2"/>
      <c r="D4" s="2"/>
      <c r="E4" s="2"/>
      <c r="F4" s="2"/>
      <c r="G4" s="22" t="s">
        <v>17</v>
      </c>
      <c r="H4" s="2"/>
      <c r="I4" s="1"/>
      <c r="J4" s="2"/>
      <c r="K4" s="2"/>
      <c r="L4" s="2"/>
      <c r="M4" s="2"/>
      <c r="N4" s="2"/>
      <c r="O4" s="2"/>
      <c r="P4" s="2"/>
      <c r="Q4" s="1"/>
      <c r="R4" s="2"/>
      <c r="S4" s="2"/>
      <c r="T4" s="2"/>
      <c r="U4" s="2"/>
      <c r="V4" s="1"/>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c r="A5" s="2"/>
      <c r="B5" s="2"/>
      <c r="C5" s="2"/>
      <c r="D5" s="1"/>
      <c r="E5" s="2"/>
      <c r="F5" s="2"/>
      <c r="G5" s="2"/>
      <c r="H5" s="2"/>
      <c r="I5" s="1"/>
      <c r="J5" s="1"/>
      <c r="K5" s="1"/>
      <c r="L5" s="1"/>
      <c r="M5" s="2"/>
      <c r="N5" s="1"/>
      <c r="O5" s="2"/>
      <c r="P5" s="2"/>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c r="A6" s="2"/>
      <c r="B6" s="30" t="s">
        <v>25</v>
      </c>
      <c r="C6" s="16" t="s">
        <v>3</v>
      </c>
      <c r="D6" s="1"/>
      <c r="E6" s="1"/>
      <c r="F6" s="1"/>
      <c r="G6" s="32" t="s">
        <v>25</v>
      </c>
      <c r="H6" s="34" t="s">
        <v>3</v>
      </c>
      <c r="I6" s="34" t="s">
        <v>28</v>
      </c>
      <c r="J6" s="1"/>
      <c r="K6" s="1"/>
      <c r="L6" s="1"/>
      <c r="M6" s="1"/>
      <c r="N6" s="1"/>
      <c r="O6" s="1"/>
      <c r="P6" s="2"/>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c r="A7" s="2"/>
      <c r="B7" s="16" t="s">
        <v>12</v>
      </c>
      <c r="C7" s="39">
        <v>3852.0</v>
      </c>
      <c r="D7" s="40"/>
      <c r="E7" s="40"/>
      <c r="F7" s="40"/>
      <c r="G7" s="42" t="s">
        <v>12</v>
      </c>
      <c r="H7" s="43"/>
      <c r="I7" s="45"/>
      <c r="J7" s="1"/>
      <c r="K7" s="1"/>
      <c r="L7" s="1"/>
      <c r="M7" s="1"/>
      <c r="N7" s="1"/>
      <c r="O7" s="1"/>
      <c r="P7" s="40"/>
      <c r="Q7" s="1"/>
      <c r="R7" s="1"/>
      <c r="S7" s="2"/>
      <c r="T7" s="2"/>
      <c r="U7" s="1"/>
      <c r="V7" s="1"/>
      <c r="W7" s="1"/>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c r="A8" s="2"/>
      <c r="B8" s="16" t="s">
        <v>36</v>
      </c>
      <c r="C8" s="47">
        <v>2672.0</v>
      </c>
      <c r="D8" s="40"/>
      <c r="E8" s="40"/>
      <c r="F8" s="40"/>
      <c r="G8" s="42" t="s">
        <v>36</v>
      </c>
      <c r="H8" s="43"/>
      <c r="I8" s="48"/>
      <c r="J8" s="1"/>
      <c r="K8" s="1"/>
      <c r="L8" s="1"/>
      <c r="M8" s="1"/>
      <c r="N8" s="1"/>
      <c r="O8" s="1"/>
      <c r="P8" s="40"/>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c r="A9" s="2"/>
      <c r="B9" s="16" t="s">
        <v>40</v>
      </c>
      <c r="C9" s="47">
        <v>77197.0</v>
      </c>
      <c r="D9" s="40"/>
      <c r="E9" s="40"/>
      <c r="F9" s="40"/>
      <c r="G9" s="42" t="s">
        <v>40</v>
      </c>
      <c r="H9" s="43"/>
      <c r="I9" s="45"/>
      <c r="J9" s="1"/>
      <c r="K9" s="1"/>
      <c r="L9" s="1"/>
      <c r="M9" s="1"/>
      <c r="N9" s="1"/>
      <c r="O9" s="1"/>
      <c r="P9" s="40"/>
      <c r="Q9" s="1"/>
      <c r="R9" s="1"/>
      <c r="S9" s="1"/>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c r="A10" s="2"/>
      <c r="B10" s="16" t="s">
        <v>44</v>
      </c>
      <c r="C10" s="53">
        <v>778.5</v>
      </c>
      <c r="D10" s="40"/>
      <c r="E10" s="40"/>
      <c r="F10" s="1"/>
      <c r="G10" s="42" t="s">
        <v>44</v>
      </c>
      <c r="H10" s="53"/>
      <c r="I10" s="48"/>
      <c r="J10" s="1"/>
      <c r="K10" s="1"/>
      <c r="L10" s="1"/>
      <c r="M10" s="1"/>
      <c r="N10" s="1"/>
      <c r="O10" s="1"/>
      <c r="P10" s="40"/>
      <c r="Q10" s="1"/>
      <c r="R10" s="1"/>
      <c r="S10" s="1"/>
      <c r="T10" s="2"/>
      <c r="U10" s="2"/>
      <c r="V10" s="2"/>
      <c r="W10" s="2"/>
      <c r="X10" s="1"/>
      <c r="Y10" s="2"/>
      <c r="Z10" s="2"/>
      <c r="AA10" s="2"/>
      <c r="AB10" s="1"/>
      <c r="AC10" s="2"/>
      <c r="AD10" s="2"/>
      <c r="AE10" s="2"/>
      <c r="AF10" s="2"/>
      <c r="AG10" s="2"/>
      <c r="AH10" s="2"/>
      <c r="AI10" s="2"/>
      <c r="AJ10" s="2"/>
      <c r="AK10" s="2"/>
      <c r="AL10" s="2"/>
      <c r="AM10" s="2"/>
      <c r="AN10" s="2"/>
      <c r="AO10" s="2"/>
      <c r="AP10" s="2"/>
      <c r="AQ10" s="1"/>
      <c r="AR10" s="2"/>
      <c r="AS10" s="2"/>
      <c r="AT10" s="2"/>
      <c r="AU10" s="2"/>
      <c r="AV10" s="2"/>
      <c r="AW10" s="2"/>
      <c r="AX10" s="2"/>
      <c r="AY10" s="2"/>
      <c r="AZ10" s="2"/>
    </row>
    <row r="11">
      <c r="A11" s="56"/>
      <c r="B11" s="16" t="s">
        <v>50</v>
      </c>
      <c r="C11" s="53">
        <v>1053.5</v>
      </c>
      <c r="D11" s="40"/>
      <c r="E11" s="40"/>
      <c r="F11" s="1"/>
      <c r="G11" s="42" t="s">
        <v>50</v>
      </c>
      <c r="H11" s="53"/>
      <c r="I11" s="48"/>
      <c r="J11" s="1"/>
      <c r="K11" s="1"/>
      <c r="L11" s="1"/>
      <c r="M11" s="1"/>
      <c r="N11" s="1"/>
      <c r="O11" s="1"/>
      <c r="P11" s="40"/>
      <c r="Q11" s="1"/>
      <c r="R11" s="1"/>
      <c r="S11" s="2"/>
      <c r="T11" s="2"/>
      <c r="U11" s="1"/>
      <c r="V11" s="2"/>
      <c r="W11" s="2"/>
      <c r="X11" s="2"/>
      <c r="Y11" s="2"/>
      <c r="Z11" s="2"/>
      <c r="AA11" s="2"/>
      <c r="AB11" s="2"/>
      <c r="AC11" s="2"/>
      <c r="AD11" s="2"/>
      <c r="AE11" s="2"/>
      <c r="AF11" s="2"/>
      <c r="AG11" s="2"/>
      <c r="AH11" s="2"/>
      <c r="AI11" s="2"/>
      <c r="AJ11" s="1"/>
      <c r="AK11" s="2"/>
      <c r="AL11" s="2"/>
      <c r="AM11" s="2"/>
      <c r="AN11" s="2"/>
      <c r="AO11" s="2"/>
      <c r="AP11" s="2"/>
      <c r="AQ11" s="1"/>
      <c r="AR11" s="2"/>
      <c r="AS11" s="2"/>
      <c r="AT11" s="2"/>
      <c r="AU11" s="2"/>
      <c r="AV11" s="2"/>
      <c r="AW11" s="2"/>
      <c r="AX11" s="1"/>
      <c r="AY11" s="2"/>
      <c r="AZ11" s="2"/>
    </row>
    <row r="12">
      <c r="A12" s="2"/>
      <c r="B12" s="16" t="s">
        <v>55</v>
      </c>
      <c r="C12" s="53">
        <v>1514.5</v>
      </c>
      <c r="D12" s="40"/>
      <c r="E12" s="40"/>
      <c r="F12" s="1"/>
      <c r="G12" s="42" t="s">
        <v>55</v>
      </c>
      <c r="H12" s="58"/>
      <c r="I12" s="48"/>
      <c r="J12" s="1"/>
      <c r="K12" s="1"/>
      <c r="L12" s="1"/>
      <c r="M12" s="1"/>
      <c r="N12" s="2"/>
      <c r="O12" s="1"/>
      <c r="P12" s="40"/>
      <c r="Q12" s="1"/>
      <c r="R12" s="1"/>
      <c r="S12" s="1"/>
      <c r="T12" s="2"/>
      <c r="U12" s="2"/>
      <c r="V12" s="1"/>
      <c r="W12" s="2"/>
      <c r="X12" s="2"/>
      <c r="Y12" s="2"/>
      <c r="Z12" s="2"/>
      <c r="AA12" s="2"/>
      <c r="AB12" s="2"/>
      <c r="AC12" s="2"/>
      <c r="AD12" s="2"/>
      <c r="AE12" s="2"/>
      <c r="AF12" s="2"/>
      <c r="AG12" s="2"/>
      <c r="AH12" s="2"/>
      <c r="AI12" s="2"/>
      <c r="AJ12" s="2"/>
      <c r="AK12" s="2"/>
      <c r="AL12" s="2"/>
      <c r="AM12" s="1"/>
      <c r="AN12" s="1"/>
      <c r="AO12" s="1"/>
      <c r="AP12" s="1"/>
      <c r="AQ12" s="1"/>
      <c r="AR12" s="1"/>
      <c r="AS12" s="1"/>
      <c r="AT12" s="2"/>
      <c r="AU12" s="1"/>
      <c r="AV12" s="2"/>
      <c r="AW12" s="2"/>
      <c r="AX12" s="2"/>
      <c r="AY12" s="2"/>
      <c r="AZ12" s="2"/>
    </row>
    <row r="13">
      <c r="A13" s="2"/>
      <c r="B13" s="16" t="s">
        <v>62</v>
      </c>
      <c r="C13" s="53">
        <v>479.5</v>
      </c>
      <c r="D13" s="40"/>
      <c r="E13" s="40"/>
      <c r="F13" s="1"/>
      <c r="G13" s="42" t="s">
        <v>62</v>
      </c>
      <c r="H13" s="58"/>
      <c r="I13" s="48"/>
      <c r="J13" s="1"/>
      <c r="K13" s="1"/>
      <c r="L13" s="1"/>
      <c r="M13" s="1"/>
      <c r="N13" s="2"/>
      <c r="O13" s="1"/>
      <c r="P13" s="40"/>
      <c r="Q13" s="1"/>
      <c r="R13" s="1"/>
      <c r="S13" s="1"/>
      <c r="T13" s="1"/>
      <c r="U13" s="2"/>
      <c r="V13" s="2"/>
      <c r="W13" s="1"/>
      <c r="X13" s="2"/>
      <c r="Y13" s="2"/>
      <c r="Z13" s="1"/>
      <c r="AA13" s="2"/>
      <c r="AB13" s="2"/>
      <c r="AC13" s="2"/>
      <c r="AD13" s="2"/>
      <c r="AE13" s="2"/>
      <c r="AF13" s="2"/>
      <c r="AG13" s="2"/>
      <c r="AH13" s="2"/>
      <c r="AI13" s="2"/>
      <c r="AJ13" s="2"/>
      <c r="AK13" s="2"/>
      <c r="AL13" s="2"/>
      <c r="AM13" s="2"/>
      <c r="AN13" s="2"/>
      <c r="AO13" s="2"/>
      <c r="AP13" s="2"/>
      <c r="AQ13" s="1"/>
      <c r="AR13" s="2"/>
      <c r="AS13" s="2"/>
      <c r="AT13" s="2"/>
      <c r="AU13" s="2"/>
      <c r="AV13" s="2"/>
      <c r="AW13" s="2"/>
      <c r="AX13" s="2"/>
      <c r="AY13" s="2"/>
      <c r="AZ13" s="2"/>
    </row>
    <row r="14">
      <c r="A14" s="2"/>
      <c r="B14" s="61" t="s">
        <v>64</v>
      </c>
      <c r="C14" s="63">
        <v>0.0</v>
      </c>
      <c r="D14" s="64"/>
      <c r="E14" s="64"/>
      <c r="F14" s="64"/>
      <c r="G14" s="66" t="s">
        <v>64</v>
      </c>
      <c r="H14" s="43"/>
      <c r="I14" s="45"/>
      <c r="J14" s="1"/>
      <c r="K14" s="1"/>
      <c r="L14" s="1"/>
      <c r="M14" s="1"/>
      <c r="N14" s="2"/>
      <c r="O14" s="1"/>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c r="A15" s="2"/>
      <c r="B15" s="61" t="s">
        <v>66</v>
      </c>
      <c r="C15" s="67">
        <v>0.0</v>
      </c>
      <c r="D15" s="2"/>
      <c r="E15" s="2"/>
      <c r="F15" s="2"/>
      <c r="G15" s="66" t="s">
        <v>66</v>
      </c>
      <c r="H15" s="43"/>
      <c r="I15" s="48"/>
      <c r="J15" s="1"/>
      <c r="K15" s="1"/>
      <c r="L15" s="1"/>
      <c r="M15" s="1"/>
      <c r="N15" s="2"/>
      <c r="O15" s="1"/>
      <c r="P15" s="2"/>
      <c r="Q15" s="1"/>
      <c r="R15" s="1"/>
      <c r="S15" s="1"/>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1"/>
      <c r="AX15" s="2"/>
      <c r="AY15" s="2"/>
      <c r="AZ15" s="1"/>
    </row>
    <row r="16">
      <c r="A16" s="2"/>
      <c r="B16" s="16" t="s">
        <v>68</v>
      </c>
      <c r="C16" s="53">
        <v>151.4</v>
      </c>
      <c r="D16" s="1"/>
      <c r="E16" s="1"/>
      <c r="F16" s="1"/>
      <c r="G16" s="42" t="s">
        <v>68</v>
      </c>
      <c r="H16" s="68"/>
      <c r="I16" s="45"/>
      <c r="J16" s="1"/>
      <c r="K16" s="1"/>
      <c r="L16" s="1"/>
      <c r="M16" s="1"/>
      <c r="N16" s="2"/>
      <c r="O16" s="1"/>
      <c r="P16" s="2"/>
      <c r="Q16" s="2"/>
      <c r="R16" s="2"/>
      <c r="S16" s="1"/>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c r="A17" s="2"/>
      <c r="B17" s="61" t="s">
        <v>69</v>
      </c>
      <c r="C17" s="67">
        <v>3.6</v>
      </c>
      <c r="D17" s="2"/>
      <c r="E17" s="2"/>
      <c r="F17" s="2"/>
      <c r="G17" s="66" t="s">
        <v>69</v>
      </c>
      <c r="H17" s="58"/>
      <c r="I17" s="45"/>
      <c r="J17" s="1"/>
      <c r="K17" s="1"/>
      <c r="L17" s="1"/>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c r="A18" s="2"/>
      <c r="B18" s="2"/>
      <c r="C18" s="2"/>
      <c r="D18" s="2"/>
      <c r="E18" s="2"/>
      <c r="F18" s="2"/>
      <c r="G18" s="2"/>
      <c r="H18" s="2"/>
      <c r="I18" s="2"/>
      <c r="J18" s="1"/>
      <c r="K18" s="2"/>
      <c r="L18" s="2"/>
      <c r="M18" s="1"/>
      <c r="N18" s="1"/>
      <c r="O18" s="1"/>
      <c r="P18" s="1"/>
      <c r="Q18" s="2"/>
      <c r="R18" s="1"/>
      <c r="S18" s="1"/>
      <c r="T18" s="2"/>
      <c r="U18" s="2"/>
      <c r="V18" s="1"/>
      <c r="W18" s="1"/>
      <c r="X18" s="1"/>
      <c r="Y18" s="1"/>
      <c r="Z18" s="2"/>
      <c r="AA18" s="2"/>
      <c r="AB18" s="2"/>
      <c r="AC18" s="1"/>
      <c r="AD18" s="1"/>
      <c r="AE18" s="2"/>
      <c r="AF18" s="1"/>
      <c r="AG18" s="1"/>
      <c r="AH18" s="1"/>
      <c r="AI18" s="1"/>
      <c r="AJ18" s="1"/>
      <c r="AK18" s="1"/>
      <c r="AL18" s="1"/>
      <c r="AM18" s="1"/>
      <c r="AN18" s="1"/>
      <c r="AO18" s="1"/>
      <c r="AP18" s="1"/>
      <c r="AQ18" s="1"/>
      <c r="AR18" s="1"/>
      <c r="AS18" s="1"/>
      <c r="AT18" s="1"/>
      <c r="AU18" s="1"/>
      <c r="AV18" s="1"/>
      <c r="AW18" s="1"/>
      <c r="AX18" s="1"/>
      <c r="AY18" s="1"/>
      <c r="AZ18" s="1"/>
    </row>
    <row r="19">
      <c r="A19" s="2"/>
      <c r="B19" s="70" t="s">
        <v>70</v>
      </c>
      <c r="C19" s="2"/>
      <c r="D19" s="2"/>
      <c r="E19" s="2"/>
      <c r="F19" s="2"/>
      <c r="G19" s="72" t="s">
        <v>70</v>
      </c>
      <c r="H19" s="2"/>
      <c r="I19" s="2"/>
      <c r="J19" s="2"/>
      <c r="K19" s="2"/>
      <c r="L19" s="2"/>
      <c r="M19" s="1"/>
      <c r="N19" s="1"/>
      <c r="O19" s="1"/>
      <c r="P19" s="1"/>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c r="A20" s="2"/>
      <c r="B20" s="59" t="s">
        <v>72</v>
      </c>
      <c r="C20" s="59" t="s">
        <v>73</v>
      </c>
      <c r="D20" s="59" t="s">
        <v>74</v>
      </c>
      <c r="E20" s="59" t="s">
        <v>75</v>
      </c>
      <c r="F20" s="2"/>
      <c r="G20" s="75" t="s">
        <v>72</v>
      </c>
      <c r="H20" s="75" t="s">
        <v>73</v>
      </c>
      <c r="I20" s="75" t="s">
        <v>74</v>
      </c>
      <c r="J20" s="75" t="s">
        <v>75</v>
      </c>
      <c r="K20" s="2"/>
      <c r="L20" s="2"/>
      <c r="M20" s="1"/>
      <c r="N20" s="1"/>
      <c r="O20" s="1"/>
      <c r="P20" s="1"/>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c r="A21" s="2"/>
      <c r="B21" s="76"/>
      <c r="C21" s="77">
        <v>1.0</v>
      </c>
      <c r="D21" s="78"/>
      <c r="E21" s="79"/>
      <c r="F21" s="2"/>
      <c r="G21" s="76"/>
      <c r="H21" s="77"/>
      <c r="I21" s="78"/>
      <c r="J21" s="79"/>
      <c r="K21" s="1"/>
      <c r="L21" s="2"/>
      <c r="M21" s="1"/>
      <c r="N21" s="1"/>
      <c r="O21" s="1"/>
      <c r="P21" s="1"/>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1"/>
    </row>
    <row r="22">
      <c r="A22" s="2"/>
      <c r="B22" s="59" t="s">
        <v>76</v>
      </c>
      <c r="C22" s="59" t="s">
        <v>77</v>
      </c>
      <c r="D22" s="59" t="s">
        <v>78</v>
      </c>
      <c r="F22" s="2"/>
      <c r="G22" s="75" t="s">
        <v>76</v>
      </c>
      <c r="H22" s="75" t="s">
        <v>77</v>
      </c>
      <c r="I22" s="75" t="s">
        <v>78</v>
      </c>
      <c r="K22" s="2"/>
      <c r="L22" s="1"/>
      <c r="M22" s="1"/>
      <c r="N22" s="1"/>
      <c r="O22" s="1"/>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1"/>
    </row>
    <row r="23">
      <c r="A23" s="2"/>
      <c r="B23" s="76"/>
      <c r="C23" s="77"/>
      <c r="D23" s="78"/>
      <c r="F23" s="2"/>
      <c r="G23" s="76"/>
      <c r="H23" s="77"/>
      <c r="I23" s="80"/>
      <c r="K23" s="2"/>
      <c r="L23" s="1"/>
      <c r="M23" s="1"/>
      <c r="N23" s="1"/>
      <c r="O23" s="1"/>
      <c r="P23" s="1"/>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c r="A24" s="2"/>
      <c r="B24" s="2"/>
      <c r="C24" s="2"/>
      <c r="D24" s="2"/>
      <c r="E24" s="2"/>
      <c r="F24" s="2"/>
      <c r="G24" s="2"/>
      <c r="H24" s="2"/>
      <c r="I24" s="2"/>
      <c r="J24" s="2"/>
      <c r="K24" s="2"/>
      <c r="L24" s="1"/>
      <c r="M24" s="1"/>
      <c r="N24" s="1"/>
      <c r="O24" s="1"/>
      <c r="P24" s="1"/>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1"/>
    </row>
    <row r="25">
      <c r="A25" s="2"/>
      <c r="B25" s="70" t="s">
        <v>79</v>
      </c>
      <c r="C25" s="2"/>
      <c r="D25" s="2"/>
      <c r="E25" s="2"/>
      <c r="F25" s="2"/>
      <c r="G25" s="72" t="s">
        <v>79</v>
      </c>
      <c r="H25" s="2"/>
      <c r="I25" s="2"/>
      <c r="J25" s="2"/>
      <c r="K25" s="2"/>
      <c r="L25" s="1"/>
      <c r="M25" s="1"/>
      <c r="N25" s="1"/>
      <c r="O25" s="1"/>
      <c r="P25" s="2"/>
      <c r="Q25" s="2"/>
      <c r="R25" s="2"/>
      <c r="S25" s="2"/>
      <c r="T25" s="2"/>
      <c r="U25" s="2"/>
      <c r="V25" s="2"/>
      <c r="W25" s="2"/>
      <c r="X25" s="2"/>
      <c r="Y25" s="2"/>
      <c r="Z25" s="2"/>
      <c r="AA25" s="2"/>
      <c r="AB25" s="2"/>
      <c r="AC25" s="2"/>
      <c r="AD25" s="2"/>
      <c r="AE25" s="2"/>
      <c r="AF25" s="1"/>
      <c r="AG25" s="2"/>
      <c r="AH25" s="2"/>
      <c r="AI25" s="2"/>
      <c r="AJ25" s="2"/>
      <c r="AK25" s="2"/>
      <c r="AL25" s="2"/>
      <c r="AM25" s="2"/>
      <c r="AN25" s="2"/>
      <c r="AO25" s="2"/>
      <c r="AP25" s="2"/>
      <c r="AQ25" s="2"/>
      <c r="AR25" s="2"/>
      <c r="AS25" s="2"/>
      <c r="AT25" s="2"/>
      <c r="AU25" s="2"/>
      <c r="AV25" s="2"/>
      <c r="AW25" s="2"/>
      <c r="AX25" s="2"/>
      <c r="AY25" s="2"/>
      <c r="AZ25" s="1"/>
    </row>
    <row r="26">
      <c r="A26" s="2"/>
      <c r="B26" s="61" t="s">
        <v>80</v>
      </c>
      <c r="C26" s="81">
        <v>0.0</v>
      </c>
      <c r="D26" s="82" t="s">
        <v>81</v>
      </c>
      <c r="E26" s="81">
        <v>0.0</v>
      </c>
      <c r="F26" s="2"/>
      <c r="G26" s="66" t="s">
        <v>80</v>
      </c>
      <c r="H26" s="77"/>
      <c r="I26" s="83" t="s">
        <v>81</v>
      </c>
      <c r="J26" s="77"/>
      <c r="K26" s="2"/>
      <c r="L26" s="2"/>
      <c r="M26" s="2"/>
      <c r="N26" s="1"/>
      <c r="O26" s="1"/>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c r="A27" s="2"/>
      <c r="B27" s="61" t="s">
        <v>83</v>
      </c>
      <c r="C27" s="81">
        <v>0.0</v>
      </c>
      <c r="D27" s="82" t="s">
        <v>84</v>
      </c>
      <c r="E27" s="81">
        <v>0.0</v>
      </c>
      <c r="F27" s="2"/>
      <c r="G27" s="66" t="s">
        <v>83</v>
      </c>
      <c r="H27" s="77"/>
      <c r="I27" s="83" t="s">
        <v>84</v>
      </c>
      <c r="J27" s="77"/>
      <c r="K27" s="2"/>
      <c r="L27" s="1"/>
      <c r="M27" s="1"/>
      <c r="N27" s="1"/>
      <c r="O27" s="1"/>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1"/>
    </row>
    <row r="28">
      <c r="A28" s="2"/>
      <c r="B28" s="61" t="s">
        <v>85</v>
      </c>
      <c r="C28" s="81">
        <v>0.0</v>
      </c>
      <c r="D28" s="82" t="s">
        <v>86</v>
      </c>
      <c r="E28" s="77">
        <v>0.0</v>
      </c>
      <c r="F28" s="2"/>
      <c r="G28" s="66" t="s">
        <v>85</v>
      </c>
      <c r="H28" s="77"/>
      <c r="I28" s="83" t="s">
        <v>86</v>
      </c>
      <c r="J28" s="77"/>
      <c r="K28" s="2"/>
      <c r="L28" s="1"/>
      <c r="M28" s="1"/>
      <c r="N28" s="1"/>
      <c r="O28" s="1"/>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c r="A29" s="2"/>
      <c r="B29" s="61" t="s">
        <v>88</v>
      </c>
      <c r="C29" s="81">
        <v>0.0</v>
      </c>
      <c r="D29" s="82" t="s">
        <v>89</v>
      </c>
      <c r="E29" s="81">
        <v>0.0</v>
      </c>
      <c r="F29" s="2"/>
      <c r="G29" s="66" t="s">
        <v>88</v>
      </c>
      <c r="H29" s="77"/>
      <c r="I29" s="83" t="s">
        <v>89</v>
      </c>
      <c r="J29" s="77"/>
      <c r="K29" s="2"/>
      <c r="L29" s="1"/>
      <c r="M29" s="1"/>
      <c r="N29" s="1"/>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c r="A30" s="2"/>
      <c r="B30" s="61" t="s">
        <v>90</v>
      </c>
      <c r="C30" s="77">
        <v>0.0</v>
      </c>
      <c r="D30" s="82" t="s">
        <v>91</v>
      </c>
      <c r="E30" s="77">
        <v>0.0</v>
      </c>
      <c r="F30" s="2"/>
      <c r="G30" s="66" t="s">
        <v>90</v>
      </c>
      <c r="H30" s="77"/>
      <c r="I30" s="83" t="s">
        <v>91</v>
      </c>
      <c r="J30" s="77"/>
      <c r="K30" s="2"/>
      <c r="L30" s="1"/>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1"/>
    </row>
    <row r="31">
      <c r="A31" s="2"/>
      <c r="B31" s="61" t="s">
        <v>92</v>
      </c>
      <c r="C31" s="77">
        <v>0.0</v>
      </c>
      <c r="D31" s="82" t="s">
        <v>93</v>
      </c>
      <c r="E31" s="81">
        <v>0.0</v>
      </c>
      <c r="F31" s="2"/>
      <c r="G31" s="66" t="s">
        <v>92</v>
      </c>
      <c r="H31" s="77"/>
      <c r="I31" s="83" t="s">
        <v>93</v>
      </c>
      <c r="J31" s="77"/>
      <c r="K31" s="2"/>
      <c r="L31" s="1"/>
      <c r="M31" s="1"/>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c r="A32" s="2"/>
      <c r="B32" s="59" t="s">
        <v>94</v>
      </c>
      <c r="C32" s="77">
        <v>0.0</v>
      </c>
      <c r="D32" s="59" t="s">
        <v>95</v>
      </c>
      <c r="E32" s="77">
        <v>0.0</v>
      </c>
      <c r="F32" s="2"/>
      <c r="G32" s="75" t="s">
        <v>94</v>
      </c>
      <c r="H32" s="77"/>
      <c r="I32" s="75" t="s">
        <v>95</v>
      </c>
      <c r="J32" s="77"/>
      <c r="K32" s="2"/>
      <c r="L32" s="1"/>
      <c r="M32" s="1"/>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c r="A33" s="2"/>
      <c r="B33" s="59" t="s">
        <v>96</v>
      </c>
      <c r="C33" s="77">
        <v>0.0</v>
      </c>
      <c r="D33" s="59" t="s">
        <v>97</v>
      </c>
      <c r="E33" s="77">
        <v>0.0</v>
      </c>
      <c r="F33" s="2"/>
      <c r="G33" s="75" t="s">
        <v>96</v>
      </c>
      <c r="H33" s="77"/>
      <c r="I33" s="75" t="s">
        <v>97</v>
      </c>
      <c r="J33" s="77"/>
      <c r="K33" s="2"/>
      <c r="L33" s="1"/>
      <c r="M33" s="1"/>
      <c r="N33" s="1"/>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1"/>
    </row>
    <row r="34">
      <c r="A34" s="2"/>
      <c r="B34" s="59" t="s">
        <v>98</v>
      </c>
      <c r="C34" s="77">
        <v>0.0</v>
      </c>
      <c r="D34" s="59" t="s">
        <v>99</v>
      </c>
      <c r="E34" s="77">
        <v>0.0</v>
      </c>
      <c r="F34" s="2"/>
      <c r="G34" s="75" t="s">
        <v>98</v>
      </c>
      <c r="H34" s="77"/>
      <c r="I34" s="75" t="s">
        <v>99</v>
      </c>
      <c r="J34" s="77"/>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c r="A35" s="2"/>
      <c r="B35" s="59" t="s">
        <v>100</v>
      </c>
      <c r="C35" s="77">
        <v>0.0</v>
      </c>
      <c r="D35" s="59" t="s">
        <v>101</v>
      </c>
      <c r="E35" s="77">
        <v>0.0</v>
      </c>
      <c r="F35" s="2"/>
      <c r="G35" s="75" t="s">
        <v>100</v>
      </c>
      <c r="H35" s="77"/>
      <c r="I35" s="75" t="s">
        <v>101</v>
      </c>
      <c r="J35" s="77"/>
      <c r="K35" s="2"/>
      <c r="L35" s="1"/>
      <c r="M35" s="56"/>
      <c r="N35" s="1"/>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c r="A36" s="2"/>
      <c r="B36" s="59" t="s">
        <v>102</v>
      </c>
      <c r="C36" s="77">
        <v>0.0</v>
      </c>
      <c r="D36" s="59" t="s">
        <v>103</v>
      </c>
      <c r="E36" s="77">
        <v>0.0</v>
      </c>
      <c r="F36" s="2"/>
      <c r="G36" s="75" t="s">
        <v>102</v>
      </c>
      <c r="H36" s="77"/>
      <c r="I36" s="75" t="s">
        <v>103</v>
      </c>
      <c r="J36" s="77"/>
      <c r="K36" s="2"/>
      <c r="L36" s="1"/>
      <c r="M36" s="56"/>
      <c r="N36" s="1"/>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1"/>
    </row>
    <row r="37">
      <c r="A37" s="2"/>
      <c r="B37" s="59" t="s">
        <v>104</v>
      </c>
      <c r="C37" s="77">
        <v>0.0</v>
      </c>
      <c r="D37" s="59"/>
      <c r="E37" s="78"/>
      <c r="F37" s="2"/>
      <c r="G37" s="75" t="s">
        <v>104</v>
      </c>
      <c r="H37" s="77"/>
      <c r="I37" s="75"/>
      <c r="J37" s="78"/>
      <c r="K37" s="2" t="str">
        <f>K38</f>
        <v/>
      </c>
      <c r="L37" s="1"/>
      <c r="M37" s="56"/>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c r="A38" s="2"/>
      <c r="B38" s="2"/>
      <c r="C38" s="2"/>
      <c r="D38" s="2"/>
      <c r="E38" s="2"/>
      <c r="F38" s="2"/>
      <c r="G38" s="2"/>
      <c r="H38" s="2"/>
      <c r="I38" s="2"/>
      <c r="J38" s="2"/>
      <c r="K38" s="2"/>
      <c r="L38" s="1"/>
      <c r="M38" s="56"/>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c r="A39" s="2"/>
      <c r="B39" s="90" t="s">
        <v>105</v>
      </c>
      <c r="C39" s="91" t="s">
        <v>106</v>
      </c>
      <c r="D39" s="91" t="s">
        <v>107</v>
      </c>
      <c r="E39" s="2"/>
      <c r="F39" s="2"/>
      <c r="G39" s="92" t="s">
        <v>105</v>
      </c>
      <c r="H39" s="34" t="s">
        <v>106</v>
      </c>
      <c r="I39" s="34" t="s">
        <v>107</v>
      </c>
      <c r="J39" s="2"/>
      <c r="K39" s="2"/>
      <c r="L39" s="1"/>
      <c r="M39" s="56"/>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1"/>
    </row>
    <row r="40">
      <c r="A40" s="93" t="s">
        <v>108</v>
      </c>
      <c r="B40" s="59" t="s">
        <v>109</v>
      </c>
      <c r="C40" s="95">
        <v>1.0</v>
      </c>
      <c r="D40" s="78"/>
      <c r="E40" s="2"/>
      <c r="F40" s="96" t="s">
        <v>108</v>
      </c>
      <c r="G40" s="75" t="s">
        <v>109</v>
      </c>
      <c r="H40" s="95"/>
      <c r="I40" s="78"/>
      <c r="J40" s="2"/>
      <c r="K40" s="2"/>
      <c r="L40" s="1"/>
      <c r="M40" s="56"/>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c r="A41" s="97"/>
      <c r="B41" s="59" t="s">
        <v>110</v>
      </c>
      <c r="C41" s="95">
        <v>1.0</v>
      </c>
      <c r="D41" s="78"/>
      <c r="E41" s="2"/>
      <c r="F41" s="97"/>
      <c r="G41" s="75" t="s">
        <v>110</v>
      </c>
      <c r="H41" s="95"/>
      <c r="I41" s="78"/>
      <c r="J41" s="2"/>
      <c r="K41" s="2"/>
      <c r="L41" s="1"/>
      <c r="M41" s="56"/>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c r="A42" s="98"/>
      <c r="B42" s="59" t="s">
        <v>111</v>
      </c>
      <c r="C42" s="95">
        <v>1.0</v>
      </c>
      <c r="D42" s="78"/>
      <c r="E42" s="2"/>
      <c r="F42" s="98"/>
      <c r="G42" s="75" t="s">
        <v>111</v>
      </c>
      <c r="H42" s="95"/>
      <c r="I42" s="78"/>
      <c r="J42" s="2"/>
      <c r="K42" s="2"/>
      <c r="L42" s="1"/>
      <c r="M42" s="1"/>
      <c r="N42" s="1"/>
      <c r="O42" s="1"/>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c r="A43" s="93" t="s">
        <v>112</v>
      </c>
      <c r="B43" s="59" t="s">
        <v>113</v>
      </c>
      <c r="C43" s="95">
        <v>1.0</v>
      </c>
      <c r="D43" s="78"/>
      <c r="E43" s="2"/>
      <c r="F43" s="96" t="s">
        <v>112</v>
      </c>
      <c r="G43" s="75" t="s">
        <v>113</v>
      </c>
      <c r="H43" s="95"/>
      <c r="I43" s="78"/>
      <c r="J43" s="2"/>
      <c r="K43" s="2"/>
      <c r="L43" s="1"/>
      <c r="M43" s="56"/>
      <c r="N43" s="1"/>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c r="A44" s="97"/>
      <c r="B44" s="59" t="s">
        <v>114</v>
      </c>
      <c r="C44" s="95">
        <v>1.0</v>
      </c>
      <c r="D44" s="78"/>
      <c r="E44" s="2"/>
      <c r="F44" s="97"/>
      <c r="G44" s="75" t="s">
        <v>114</v>
      </c>
      <c r="H44" s="95"/>
      <c r="I44" s="78"/>
      <c r="J44" s="2"/>
      <c r="K44" s="2"/>
      <c r="L44" s="1"/>
      <c r="M44" s="1"/>
      <c r="N44" s="1"/>
      <c r="O44" s="1"/>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c r="A45" s="98"/>
      <c r="B45" s="59" t="s">
        <v>116</v>
      </c>
      <c r="C45" s="95">
        <v>1.0</v>
      </c>
      <c r="D45" s="78"/>
      <c r="E45" s="2"/>
      <c r="F45" s="98"/>
      <c r="G45" s="75" t="s">
        <v>116</v>
      </c>
      <c r="H45" s="95"/>
      <c r="I45" s="78"/>
      <c r="J45" s="2"/>
      <c r="K45" s="2"/>
      <c r="L45" s="1"/>
      <c r="M45" s="1"/>
      <c r="N45" s="1"/>
      <c r="O45" s="1"/>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c r="A46" s="93" t="s">
        <v>117</v>
      </c>
      <c r="B46" s="59" t="s">
        <v>118</v>
      </c>
      <c r="C46" s="95">
        <v>1.0</v>
      </c>
      <c r="D46" s="101">
        <v>0.0</v>
      </c>
      <c r="E46" s="2"/>
      <c r="F46" s="96" t="s">
        <v>117</v>
      </c>
      <c r="G46" s="75" t="s">
        <v>118</v>
      </c>
      <c r="H46" s="95"/>
      <c r="I46" s="101"/>
      <c r="J46" s="2"/>
      <c r="K46" s="2"/>
      <c r="L46" s="1"/>
      <c r="M46" s="56"/>
      <c r="N46" s="1"/>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c r="A47" s="97"/>
      <c r="B47" s="59" t="s">
        <v>119</v>
      </c>
      <c r="C47" s="95">
        <v>1.0</v>
      </c>
      <c r="D47" s="78"/>
      <c r="E47" s="1"/>
      <c r="F47" s="97"/>
      <c r="G47" s="75" t="s">
        <v>119</v>
      </c>
      <c r="H47" s="95"/>
      <c r="I47" s="78"/>
      <c r="J47" s="2"/>
      <c r="K47" s="2"/>
      <c r="L47" s="1"/>
      <c r="M47" s="56"/>
      <c r="N47" s="1"/>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c r="A48" s="97"/>
      <c r="B48" s="59" t="s">
        <v>120</v>
      </c>
      <c r="C48" s="95">
        <v>2.0</v>
      </c>
      <c r="D48" s="78"/>
      <c r="E48" s="2"/>
      <c r="F48" s="97"/>
      <c r="G48" s="75" t="s">
        <v>120</v>
      </c>
      <c r="H48" s="95"/>
      <c r="I48" s="78"/>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c r="A49" s="97"/>
      <c r="B49" s="59" t="s">
        <v>122</v>
      </c>
      <c r="C49" s="95">
        <v>0.0</v>
      </c>
      <c r="D49" s="78"/>
      <c r="E49" s="2"/>
      <c r="F49" s="97"/>
      <c r="G49" s="75" t="s">
        <v>122</v>
      </c>
      <c r="H49" s="95"/>
      <c r="I49" s="78"/>
      <c r="J49" s="2"/>
      <c r="K49" s="2"/>
      <c r="L49" s="1"/>
      <c r="M49" s="1"/>
      <c r="N49" s="1"/>
      <c r="O49" s="1"/>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c r="A50" s="97"/>
      <c r="B50" s="59" t="s">
        <v>123</v>
      </c>
      <c r="C50" s="95">
        <v>0.0</v>
      </c>
      <c r="D50" s="78"/>
      <c r="E50" s="2"/>
      <c r="F50" s="97"/>
      <c r="G50" s="75" t="s">
        <v>123</v>
      </c>
      <c r="H50" s="95"/>
      <c r="I50" s="78"/>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c r="A51" s="97"/>
      <c r="B51" s="59" t="s">
        <v>125</v>
      </c>
      <c r="C51" s="95">
        <v>2.0</v>
      </c>
      <c r="D51" s="78"/>
      <c r="E51" s="2"/>
      <c r="F51" s="97"/>
      <c r="G51" s="75" t="s">
        <v>125</v>
      </c>
      <c r="H51" s="95"/>
      <c r="I51" s="78"/>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c r="A52" s="97"/>
      <c r="B52" s="59" t="s">
        <v>126</v>
      </c>
      <c r="C52" s="95">
        <v>0.0</v>
      </c>
      <c r="D52" s="78"/>
      <c r="E52" s="2"/>
      <c r="F52" s="97"/>
      <c r="G52" s="75" t="s">
        <v>126</v>
      </c>
      <c r="H52" s="95"/>
      <c r="I52" s="78"/>
      <c r="J52" s="2"/>
      <c r="K52" s="2"/>
      <c r="L52" s="2"/>
      <c r="M52" s="2"/>
      <c r="N52" s="1"/>
      <c r="O52" s="1"/>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c r="A53" s="97"/>
      <c r="B53" s="59" t="s">
        <v>128</v>
      </c>
      <c r="C53" s="95">
        <v>1.0</v>
      </c>
      <c r="D53" s="78"/>
      <c r="E53" s="2"/>
      <c r="F53" s="97"/>
      <c r="G53" s="75" t="s">
        <v>128</v>
      </c>
      <c r="H53" s="95"/>
      <c r="I53" s="78"/>
      <c r="J53" s="2"/>
      <c r="K53" s="2"/>
      <c r="L53" s="2"/>
      <c r="M53" s="1"/>
      <c r="N53" s="1"/>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c r="A54" s="110" t="s">
        <v>129</v>
      </c>
      <c r="B54" s="59" t="s">
        <v>130</v>
      </c>
      <c r="C54" s="95">
        <v>1.0</v>
      </c>
      <c r="D54" s="78"/>
      <c r="E54" s="2"/>
      <c r="F54" s="112" t="s">
        <v>129</v>
      </c>
      <c r="G54" s="75" t="s">
        <v>130</v>
      </c>
      <c r="H54" s="95"/>
      <c r="I54" s="78"/>
      <c r="J54" s="2"/>
      <c r="K54" s="2"/>
      <c r="L54" s="2"/>
      <c r="M54" s="1"/>
      <c r="N54" s="1"/>
      <c r="O54" s="56"/>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c r="A55" s="97"/>
      <c r="B55" s="59" t="s">
        <v>132</v>
      </c>
      <c r="C55" s="95">
        <v>0.0</v>
      </c>
      <c r="D55" s="78"/>
      <c r="E55" s="2"/>
      <c r="F55" s="97"/>
      <c r="G55" s="75" t="s">
        <v>132</v>
      </c>
      <c r="H55" s="95"/>
      <c r="I55" s="78"/>
      <c r="J55" s="2"/>
      <c r="K55" s="2"/>
      <c r="L55" s="2"/>
      <c r="M55" s="1"/>
      <c r="N55" s="1"/>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c r="A56" s="97"/>
      <c r="B56" s="59" t="s">
        <v>133</v>
      </c>
      <c r="C56" s="95">
        <v>1.0</v>
      </c>
      <c r="D56" s="78"/>
      <c r="E56" s="2"/>
      <c r="F56" s="97"/>
      <c r="G56" s="75" t="s">
        <v>133</v>
      </c>
      <c r="H56" s="95"/>
      <c r="I56" s="78"/>
      <c r="J56" s="2"/>
      <c r="K56" s="2"/>
      <c r="L56" s="2"/>
      <c r="M56" s="1"/>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c r="A57" s="97"/>
      <c r="B57" s="59" t="s">
        <v>134</v>
      </c>
      <c r="C57" s="95">
        <v>1.0</v>
      </c>
      <c r="D57" s="78"/>
      <c r="E57" s="2"/>
      <c r="F57" s="97"/>
      <c r="G57" s="75" t="s">
        <v>134</v>
      </c>
      <c r="H57" s="95"/>
      <c r="I57" s="78"/>
      <c r="J57" s="2"/>
      <c r="K57" s="2"/>
      <c r="L57" s="2"/>
      <c r="M57" s="2"/>
      <c r="N57" s="1"/>
      <c r="O57" s="56"/>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c r="A58" s="97"/>
      <c r="B58" s="59" t="s">
        <v>135</v>
      </c>
      <c r="C58" s="95">
        <v>0.0</v>
      </c>
      <c r="D58" s="78"/>
      <c r="E58" s="2"/>
      <c r="F58" s="97"/>
      <c r="G58" s="75" t="s">
        <v>135</v>
      </c>
      <c r="H58" s="95"/>
      <c r="I58" s="78"/>
      <c r="J58" s="2"/>
      <c r="K58" s="2"/>
      <c r="M58" s="1"/>
      <c r="N58" s="1"/>
      <c r="O58" s="56"/>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c r="A59" s="97"/>
      <c r="B59" s="59" t="s">
        <v>136</v>
      </c>
      <c r="C59" s="95">
        <v>1.0</v>
      </c>
      <c r="D59" s="78"/>
      <c r="E59" s="2"/>
      <c r="F59" s="97"/>
      <c r="G59" s="75" t="s">
        <v>136</v>
      </c>
      <c r="H59" s="95"/>
      <c r="I59" s="78"/>
      <c r="J59" s="2"/>
      <c r="K59" s="2"/>
      <c r="L59" s="1"/>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c r="A60" s="97"/>
      <c r="B60" s="59" t="s">
        <v>137</v>
      </c>
      <c r="C60" s="95">
        <v>0.0</v>
      </c>
      <c r="D60" s="78"/>
      <c r="E60" s="2"/>
      <c r="F60" s="97"/>
      <c r="G60" s="75" t="s">
        <v>137</v>
      </c>
      <c r="H60" s="95"/>
      <c r="I60" s="78"/>
    </row>
    <row r="61">
      <c r="A61" s="110" t="s">
        <v>138</v>
      </c>
      <c r="B61" s="59" t="s">
        <v>139</v>
      </c>
      <c r="C61" s="95">
        <v>1.0</v>
      </c>
      <c r="D61" s="101">
        <v>0.9</v>
      </c>
      <c r="E61" s="2"/>
      <c r="F61" s="112" t="s">
        <v>138</v>
      </c>
      <c r="G61" s="75" t="s">
        <v>139</v>
      </c>
      <c r="H61" s="95"/>
      <c r="I61" s="101"/>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c r="A62" s="113"/>
      <c r="B62" s="59" t="s">
        <v>140</v>
      </c>
      <c r="C62" s="95">
        <v>1.0</v>
      </c>
      <c r="D62" s="78"/>
      <c r="E62" s="2"/>
      <c r="F62" s="114"/>
      <c r="G62" s="75" t="s">
        <v>140</v>
      </c>
      <c r="H62" s="95"/>
      <c r="I62" s="78"/>
    </row>
    <row r="63">
      <c r="A63" s="113"/>
      <c r="B63" s="59" t="s">
        <v>141</v>
      </c>
      <c r="C63" s="95">
        <v>1.0</v>
      </c>
      <c r="D63" s="101">
        <v>0.0</v>
      </c>
      <c r="E63" s="2"/>
      <c r="F63" s="114"/>
      <c r="G63" s="75" t="s">
        <v>141</v>
      </c>
      <c r="H63" s="95"/>
      <c r="I63" s="101"/>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c r="A64" s="113"/>
      <c r="B64" s="59" t="s">
        <v>142</v>
      </c>
      <c r="C64" s="95">
        <v>0.0</v>
      </c>
      <c r="D64" s="78"/>
      <c r="E64" s="2"/>
      <c r="F64" s="114"/>
      <c r="G64" s="75" t="s">
        <v>142</v>
      </c>
      <c r="H64" s="95"/>
      <c r="I64" s="78"/>
    </row>
    <row r="65">
      <c r="A65" s="113"/>
      <c r="B65" s="59" t="s">
        <v>143</v>
      </c>
      <c r="C65" s="95">
        <v>1.0</v>
      </c>
      <c r="D65" s="78"/>
      <c r="E65" s="2"/>
      <c r="F65" s="114"/>
      <c r="G65" s="75" t="s">
        <v>143</v>
      </c>
      <c r="H65" s="95"/>
      <c r="I65" s="78"/>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c r="A66" s="110" t="s">
        <v>144</v>
      </c>
      <c r="B66" s="59" t="s">
        <v>145</v>
      </c>
      <c r="C66" s="95">
        <v>0.0</v>
      </c>
      <c r="D66" s="78"/>
      <c r="E66" s="2"/>
      <c r="F66" s="112" t="s">
        <v>144</v>
      </c>
      <c r="G66" s="75" t="s">
        <v>145</v>
      </c>
      <c r="H66" s="95"/>
      <c r="I66" s="78"/>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c r="A67" s="97"/>
      <c r="B67" s="59" t="s">
        <v>146</v>
      </c>
      <c r="C67" s="95">
        <v>0.0</v>
      </c>
      <c r="D67" s="78"/>
      <c r="E67" s="2"/>
      <c r="F67" s="97"/>
      <c r="G67" s="75" t="s">
        <v>146</v>
      </c>
      <c r="H67" s="95"/>
      <c r="I67" s="78"/>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c r="A68" s="97"/>
      <c r="B68" s="59" t="s">
        <v>147</v>
      </c>
      <c r="C68" s="95">
        <v>1.0</v>
      </c>
      <c r="D68" s="78"/>
      <c r="E68" s="2"/>
      <c r="F68" s="97"/>
      <c r="G68" s="75" t="s">
        <v>147</v>
      </c>
      <c r="H68" s="95"/>
      <c r="I68" s="78"/>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c r="A69" s="97"/>
      <c r="B69" s="59" t="s">
        <v>148</v>
      </c>
      <c r="C69" s="95">
        <v>1.0</v>
      </c>
      <c r="D69" s="78"/>
      <c r="E69" s="2"/>
      <c r="F69" s="97"/>
      <c r="G69" s="75" t="s">
        <v>148</v>
      </c>
      <c r="H69" s="95"/>
      <c r="I69" s="78"/>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c r="A70" s="97"/>
      <c r="B70" s="59" t="s">
        <v>149</v>
      </c>
      <c r="C70" s="95">
        <v>1.0</v>
      </c>
      <c r="D70" s="78"/>
      <c r="E70" s="2"/>
      <c r="F70" s="97"/>
      <c r="G70" s="75" t="s">
        <v>149</v>
      </c>
      <c r="H70" s="95"/>
      <c r="I70" s="78"/>
      <c r="J70" s="2"/>
      <c r="K70" s="2"/>
      <c r="L70" s="1"/>
      <c r="M70" s="1"/>
      <c r="N70" s="2"/>
      <c r="O70" s="1"/>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c r="A71" s="97"/>
      <c r="B71" s="59" t="s">
        <v>151</v>
      </c>
      <c r="C71" s="95">
        <v>1.0</v>
      </c>
      <c r="D71" s="78"/>
      <c r="E71" s="2"/>
      <c r="F71" s="97"/>
      <c r="G71" s="75" t="s">
        <v>151</v>
      </c>
      <c r="H71" s="95"/>
      <c r="I71" s="78"/>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c r="A72" s="110" t="s">
        <v>152</v>
      </c>
      <c r="B72" s="59" t="s">
        <v>153</v>
      </c>
      <c r="C72" s="95">
        <v>0.0</v>
      </c>
      <c r="D72" s="78"/>
      <c r="E72" s="2"/>
      <c r="F72" s="112" t="s">
        <v>152</v>
      </c>
      <c r="G72" s="75" t="s">
        <v>153</v>
      </c>
      <c r="H72" s="95"/>
      <c r="I72" s="78"/>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c r="A73" s="97"/>
      <c r="B73" s="59" t="s">
        <v>154</v>
      </c>
      <c r="C73" s="95">
        <v>1.0</v>
      </c>
      <c r="D73" s="78"/>
      <c r="E73" s="2"/>
      <c r="F73" s="97"/>
      <c r="G73" s="75" t="s">
        <v>154</v>
      </c>
      <c r="H73" s="95"/>
      <c r="I73" s="78"/>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c r="A74" s="98"/>
      <c r="B74" s="59" t="s">
        <v>155</v>
      </c>
      <c r="C74" s="95">
        <v>0.0</v>
      </c>
      <c r="D74" s="78"/>
      <c r="E74" s="2"/>
      <c r="F74" s="98"/>
      <c r="G74" s="75" t="s">
        <v>155</v>
      </c>
      <c r="H74" s="95"/>
      <c r="I74" s="78"/>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c r="A75" s="110" t="s">
        <v>156</v>
      </c>
      <c r="B75" s="59" t="s">
        <v>157</v>
      </c>
      <c r="C75" s="95">
        <v>0.0</v>
      </c>
      <c r="D75" s="78"/>
      <c r="E75" s="2"/>
      <c r="F75" s="112" t="s">
        <v>156</v>
      </c>
      <c r="G75" s="75" t="s">
        <v>157</v>
      </c>
      <c r="H75" s="95"/>
      <c r="I75" s="78"/>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c r="A76" s="97"/>
      <c r="B76" s="59" t="s">
        <v>158</v>
      </c>
      <c r="C76" s="95">
        <v>1.0</v>
      </c>
      <c r="D76" s="78"/>
      <c r="E76" s="2"/>
      <c r="F76" s="97"/>
      <c r="G76" s="75" t="s">
        <v>158</v>
      </c>
      <c r="H76" s="95"/>
      <c r="I76" s="78"/>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c r="A77" s="97"/>
      <c r="B77" s="59" t="s">
        <v>160</v>
      </c>
      <c r="C77" s="95">
        <v>1.0</v>
      </c>
      <c r="D77" s="78"/>
      <c r="E77" s="2"/>
      <c r="F77" s="97"/>
      <c r="G77" s="75" t="s">
        <v>160</v>
      </c>
      <c r="H77" s="95"/>
      <c r="I77" s="78"/>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c r="A78" s="98"/>
      <c r="B78" s="59" t="s">
        <v>161</v>
      </c>
      <c r="C78" s="95">
        <v>0.0</v>
      </c>
      <c r="D78" s="78"/>
      <c r="E78" s="2"/>
      <c r="F78" s="98"/>
      <c r="G78" s="75" t="s">
        <v>161</v>
      </c>
      <c r="H78" s="95"/>
      <c r="I78" s="78"/>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c r="A79" s="110" t="s">
        <v>162</v>
      </c>
      <c r="B79" s="59" t="s">
        <v>163</v>
      </c>
      <c r="C79" s="95">
        <v>2.0</v>
      </c>
      <c r="D79" s="78"/>
      <c r="E79" s="2"/>
      <c r="F79" s="112" t="s">
        <v>162</v>
      </c>
      <c r="G79" s="75" t="s">
        <v>163</v>
      </c>
      <c r="H79" s="95"/>
      <c r="I79" s="78"/>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c r="A80" s="97"/>
      <c r="B80" s="59" t="s">
        <v>165</v>
      </c>
      <c r="C80" s="95">
        <v>0.0</v>
      </c>
      <c r="D80" s="78"/>
      <c r="E80" s="1"/>
      <c r="F80" s="97"/>
      <c r="G80" s="75" t="s">
        <v>165</v>
      </c>
      <c r="H80" s="95"/>
      <c r="I80" s="78"/>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c r="A81" s="98"/>
      <c r="B81" s="59" t="s">
        <v>166</v>
      </c>
      <c r="C81" s="95">
        <v>2.0</v>
      </c>
      <c r="D81" s="78"/>
      <c r="E81" s="2"/>
      <c r="F81" s="98"/>
      <c r="G81" s="75" t="s">
        <v>166</v>
      </c>
      <c r="H81" s="95"/>
      <c r="I81" s="78"/>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c r="A82" s="120" t="s">
        <v>168</v>
      </c>
      <c r="B82" s="59" t="s">
        <v>169</v>
      </c>
      <c r="C82" s="95">
        <v>1.0</v>
      </c>
      <c r="D82" s="78"/>
      <c r="E82" s="2"/>
      <c r="F82" s="121" t="s">
        <v>168</v>
      </c>
      <c r="G82" s="75" t="s">
        <v>169</v>
      </c>
      <c r="H82" s="95"/>
      <c r="I82" s="78"/>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c r="A83" s="122"/>
      <c r="B83" s="59" t="s">
        <v>171</v>
      </c>
      <c r="C83" s="95">
        <v>0.0</v>
      </c>
      <c r="D83" s="78"/>
      <c r="E83" s="2"/>
      <c r="F83" s="122"/>
      <c r="G83" s="75" t="s">
        <v>171</v>
      </c>
      <c r="H83" s="95"/>
      <c r="I83" s="78"/>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c r="A84" s="122"/>
      <c r="B84" s="59" t="s">
        <v>172</v>
      </c>
      <c r="C84" s="95">
        <v>1.0</v>
      </c>
      <c r="D84" s="78"/>
      <c r="E84" s="2"/>
      <c r="F84" s="122"/>
      <c r="G84" s="75" t="s">
        <v>172</v>
      </c>
      <c r="H84" s="95"/>
      <c r="I84" s="78"/>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c r="A85" s="123"/>
      <c r="B85" s="59" t="s">
        <v>173</v>
      </c>
      <c r="C85" s="95">
        <v>0.0</v>
      </c>
      <c r="D85" s="78"/>
      <c r="E85" s="2"/>
      <c r="F85" s="123"/>
      <c r="G85" s="75" t="s">
        <v>173</v>
      </c>
      <c r="H85" s="95"/>
      <c r="I85" s="78"/>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c r="A86" s="2"/>
      <c r="B86" s="2"/>
      <c r="C86" s="124">
        <f>SUM(C40:C85)</f>
        <v>34</v>
      </c>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c r="A87" s="2"/>
      <c r="B87" s="90" t="s">
        <v>174</v>
      </c>
      <c r="C87" s="91" t="s">
        <v>106</v>
      </c>
      <c r="D87" s="91" t="s">
        <v>107</v>
      </c>
      <c r="E87" s="2"/>
      <c r="F87" s="2"/>
      <c r="G87" s="92" t="s">
        <v>174</v>
      </c>
      <c r="H87" s="34" t="s">
        <v>106</v>
      </c>
      <c r="I87" s="34" t="s">
        <v>107</v>
      </c>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c r="A88" s="125" t="s">
        <v>108</v>
      </c>
      <c r="B88" s="59" t="s">
        <v>175</v>
      </c>
      <c r="C88" s="95">
        <v>1.0</v>
      </c>
      <c r="D88" s="78"/>
      <c r="E88" s="2"/>
      <c r="F88" s="126" t="s">
        <v>108</v>
      </c>
      <c r="G88" s="75" t="s">
        <v>175</v>
      </c>
      <c r="H88" s="127"/>
      <c r="I88" s="78"/>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c r="A89" s="93" t="s">
        <v>112</v>
      </c>
      <c r="B89" s="59" t="s">
        <v>176</v>
      </c>
      <c r="C89" s="95">
        <v>1.0</v>
      </c>
      <c r="D89" s="95">
        <v>0.0</v>
      </c>
      <c r="E89" s="2"/>
      <c r="F89" s="96" t="s">
        <v>112</v>
      </c>
      <c r="G89" s="75" t="s">
        <v>176</v>
      </c>
      <c r="H89" s="127"/>
      <c r="I89" s="95"/>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c r="A90" s="98"/>
      <c r="B90" s="59" t="s">
        <v>177</v>
      </c>
      <c r="C90" s="95">
        <v>1.0</v>
      </c>
      <c r="D90" s="78"/>
      <c r="E90" s="2"/>
      <c r="F90" s="98"/>
      <c r="G90" s="75" t="s">
        <v>177</v>
      </c>
      <c r="H90" s="127"/>
      <c r="I90" s="78"/>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c r="A91" s="110" t="s">
        <v>117</v>
      </c>
      <c r="B91" s="59" t="s">
        <v>179</v>
      </c>
      <c r="C91" s="95">
        <v>1.0</v>
      </c>
      <c r="D91" s="78"/>
      <c r="E91" s="2"/>
      <c r="F91" s="112" t="s">
        <v>117</v>
      </c>
      <c r="G91" s="75" t="s">
        <v>179</v>
      </c>
      <c r="H91" s="128"/>
      <c r="I91" s="78"/>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c r="A92" s="98"/>
      <c r="B92" s="59" t="s">
        <v>180</v>
      </c>
      <c r="C92" s="95">
        <v>1.0</v>
      </c>
      <c r="D92" s="78"/>
      <c r="E92" s="2"/>
      <c r="F92" s="98"/>
      <c r="G92" s="75" t="s">
        <v>180</v>
      </c>
      <c r="H92" s="127"/>
      <c r="I92" s="78"/>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c r="A93" s="110" t="s">
        <v>129</v>
      </c>
      <c r="B93" s="59" t="s">
        <v>181</v>
      </c>
      <c r="C93" s="95">
        <v>1.0</v>
      </c>
      <c r="D93" s="78"/>
      <c r="E93" s="2"/>
      <c r="F93" s="112" t="s">
        <v>129</v>
      </c>
      <c r="G93" s="75" t="s">
        <v>181</v>
      </c>
      <c r="H93" s="128"/>
      <c r="I93" s="78"/>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c r="A94" s="97"/>
      <c r="B94" s="59" t="s">
        <v>182</v>
      </c>
      <c r="C94" s="95">
        <v>2.0</v>
      </c>
      <c r="D94" s="78"/>
      <c r="E94" s="2"/>
      <c r="F94" s="97"/>
      <c r="G94" s="75" t="s">
        <v>182</v>
      </c>
      <c r="H94" s="131"/>
      <c r="I94" s="78"/>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c r="A95" s="97"/>
      <c r="B95" s="59" t="s">
        <v>184</v>
      </c>
      <c r="C95" s="95">
        <v>0.0</v>
      </c>
      <c r="D95" s="78"/>
      <c r="E95" s="2"/>
      <c r="F95" s="97"/>
      <c r="G95" s="75" t="s">
        <v>184</v>
      </c>
      <c r="H95" s="131"/>
      <c r="I95" s="78"/>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c r="A96" s="98"/>
      <c r="B96" s="59" t="s">
        <v>185</v>
      </c>
      <c r="C96" s="95">
        <v>1.0</v>
      </c>
      <c r="D96" s="78"/>
      <c r="E96" s="2"/>
      <c r="F96" s="98"/>
      <c r="G96" s="75" t="s">
        <v>185</v>
      </c>
      <c r="H96" s="131"/>
      <c r="I96" s="78"/>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c r="A97" s="110" t="s">
        <v>138</v>
      </c>
      <c r="B97" s="59" t="s">
        <v>186</v>
      </c>
      <c r="C97" s="95">
        <v>0.0</v>
      </c>
      <c r="D97" s="78"/>
      <c r="E97" s="2"/>
      <c r="F97" s="112" t="s">
        <v>138</v>
      </c>
      <c r="G97" s="75" t="s">
        <v>186</v>
      </c>
      <c r="H97" s="128"/>
      <c r="I97" s="78"/>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c r="A98" s="97"/>
      <c r="B98" s="59" t="s">
        <v>187</v>
      </c>
      <c r="C98" s="95">
        <v>1.0</v>
      </c>
      <c r="D98" s="78"/>
      <c r="E98" s="2"/>
      <c r="F98" s="97"/>
      <c r="G98" s="75" t="s">
        <v>187</v>
      </c>
      <c r="H98" s="128"/>
      <c r="I98" s="78"/>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c r="A99" s="97"/>
      <c r="B99" s="59" t="s">
        <v>188</v>
      </c>
      <c r="C99" s="95">
        <v>1.0</v>
      </c>
      <c r="D99" s="95">
        <v>7.0</v>
      </c>
      <c r="E99" s="2"/>
      <c r="F99" s="97"/>
      <c r="G99" s="75" t="s">
        <v>188</v>
      </c>
      <c r="H99" s="128"/>
      <c r="I99" s="95"/>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c r="A100" s="97"/>
      <c r="B100" s="59" t="s">
        <v>189</v>
      </c>
      <c r="C100" s="95">
        <v>1.0</v>
      </c>
      <c r="D100" s="78"/>
      <c r="E100" s="2"/>
      <c r="F100" s="97"/>
      <c r="G100" s="75" t="s">
        <v>189</v>
      </c>
      <c r="H100" s="128"/>
      <c r="I100" s="78"/>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c r="A101" s="97"/>
      <c r="B101" s="59" t="s">
        <v>190</v>
      </c>
      <c r="C101" s="95">
        <v>1.0</v>
      </c>
      <c r="D101" s="78"/>
      <c r="E101" s="2"/>
      <c r="F101" s="97"/>
      <c r="G101" s="75" t="s">
        <v>190</v>
      </c>
      <c r="H101" s="131"/>
      <c r="I101" s="78"/>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c r="A102" s="97"/>
      <c r="B102" s="59" t="s">
        <v>191</v>
      </c>
      <c r="C102" s="95">
        <v>0.0</v>
      </c>
      <c r="D102" s="95">
        <v>0.0</v>
      </c>
      <c r="E102" s="2"/>
      <c r="F102" s="97"/>
      <c r="G102" s="75" t="s">
        <v>191</v>
      </c>
      <c r="H102" s="131"/>
      <c r="I102" s="95"/>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c r="A103" s="98"/>
      <c r="B103" s="59" t="s">
        <v>193</v>
      </c>
      <c r="C103" s="95">
        <v>0.0</v>
      </c>
      <c r="D103" s="95">
        <v>10.0</v>
      </c>
      <c r="E103" s="2"/>
      <c r="F103" s="98"/>
      <c r="G103" s="75" t="s">
        <v>193</v>
      </c>
      <c r="H103" s="128"/>
      <c r="I103" s="95"/>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c r="A104" s="110" t="s">
        <v>144</v>
      </c>
      <c r="B104" s="59" t="s">
        <v>195</v>
      </c>
      <c r="C104" s="95">
        <v>0.0</v>
      </c>
      <c r="D104" s="101">
        <v>0.0</v>
      </c>
      <c r="E104" s="2"/>
      <c r="F104" s="112" t="s">
        <v>144</v>
      </c>
      <c r="G104" s="75" t="s">
        <v>195</v>
      </c>
      <c r="H104" s="128"/>
      <c r="I104" s="101"/>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c r="A105" s="97"/>
      <c r="B105" s="59" t="s">
        <v>196</v>
      </c>
      <c r="C105" s="95">
        <v>1.0</v>
      </c>
      <c r="D105" s="101">
        <v>0.0</v>
      </c>
      <c r="E105" s="2"/>
      <c r="F105" s="97"/>
      <c r="G105" s="75" t="s">
        <v>196</v>
      </c>
      <c r="H105" s="128"/>
      <c r="I105" s="101"/>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c r="A106" s="97"/>
      <c r="B106" s="59" t="s">
        <v>197</v>
      </c>
      <c r="C106" s="95">
        <v>1.0</v>
      </c>
      <c r="D106" s="78"/>
      <c r="E106" s="2"/>
      <c r="F106" s="97"/>
      <c r="G106" s="75" t="s">
        <v>197</v>
      </c>
      <c r="H106" s="128"/>
      <c r="I106" s="78"/>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c r="A107" s="97"/>
      <c r="B107" s="59" t="s">
        <v>199</v>
      </c>
      <c r="C107" s="95">
        <v>1.0</v>
      </c>
      <c r="D107" s="95">
        <v>5.0</v>
      </c>
      <c r="E107" s="2"/>
      <c r="F107" s="97"/>
      <c r="G107" s="75" t="s">
        <v>199</v>
      </c>
      <c r="H107" s="128"/>
      <c r="I107" s="95"/>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c r="A108" s="97"/>
      <c r="B108" s="59" t="s">
        <v>201</v>
      </c>
      <c r="C108" s="95">
        <v>1.0</v>
      </c>
      <c r="D108" s="78"/>
      <c r="E108" s="2"/>
      <c r="F108" s="97"/>
      <c r="G108" s="75" t="s">
        <v>201</v>
      </c>
      <c r="H108" s="128"/>
      <c r="I108" s="78"/>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c r="A109" s="97"/>
      <c r="B109" s="59" t="s">
        <v>202</v>
      </c>
      <c r="C109" s="95">
        <v>1.0</v>
      </c>
      <c r="D109" s="78"/>
      <c r="E109" s="2"/>
      <c r="F109" s="97"/>
      <c r="G109" s="75" t="s">
        <v>202</v>
      </c>
      <c r="H109" s="131"/>
      <c r="I109" s="78"/>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c r="A110" s="110" t="s">
        <v>152</v>
      </c>
      <c r="B110" s="59" t="s">
        <v>203</v>
      </c>
      <c r="C110" s="95">
        <v>1.0</v>
      </c>
      <c r="D110" s="78"/>
      <c r="E110" s="2"/>
      <c r="F110" s="112" t="s">
        <v>152</v>
      </c>
      <c r="G110" s="75" t="s">
        <v>203</v>
      </c>
      <c r="H110" s="128"/>
      <c r="I110" s="78"/>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c r="A111" s="97"/>
      <c r="B111" s="59" t="s">
        <v>204</v>
      </c>
      <c r="C111" s="95">
        <v>1.0</v>
      </c>
      <c r="D111" s="78"/>
      <c r="E111" s="2"/>
      <c r="F111" s="97"/>
      <c r="G111" s="75" t="s">
        <v>204</v>
      </c>
      <c r="H111" s="128"/>
      <c r="I111" s="78"/>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c r="A112" s="97"/>
      <c r="B112" s="59" t="s">
        <v>205</v>
      </c>
      <c r="C112" s="95">
        <v>1.0</v>
      </c>
      <c r="D112" s="78"/>
      <c r="E112" s="2"/>
      <c r="F112" s="97"/>
      <c r="G112" s="75" t="s">
        <v>205</v>
      </c>
      <c r="H112" s="128"/>
      <c r="I112" s="78"/>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c r="A113" s="97"/>
      <c r="B113" s="59" t="s">
        <v>207</v>
      </c>
      <c r="C113" s="95">
        <v>1.0</v>
      </c>
      <c r="D113" s="78"/>
      <c r="E113" s="2"/>
      <c r="F113" s="97"/>
      <c r="G113" s="75" t="s">
        <v>207</v>
      </c>
      <c r="H113" s="128"/>
      <c r="I113" s="78"/>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c r="A114" s="97"/>
      <c r="B114" s="59" t="s">
        <v>208</v>
      </c>
      <c r="C114" s="95">
        <v>0.0</v>
      </c>
      <c r="D114" s="78"/>
      <c r="E114" s="2"/>
      <c r="F114" s="97"/>
      <c r="G114" s="75" t="s">
        <v>208</v>
      </c>
      <c r="H114" s="128"/>
      <c r="I114" s="78"/>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c r="A115" s="110" t="s">
        <v>156</v>
      </c>
      <c r="B115" s="59" t="s">
        <v>209</v>
      </c>
      <c r="C115" s="95">
        <v>0.0</v>
      </c>
      <c r="D115" s="78"/>
      <c r="E115" s="2"/>
      <c r="F115" s="112" t="s">
        <v>156</v>
      </c>
      <c r="G115" s="75" t="s">
        <v>209</v>
      </c>
      <c r="H115" s="128"/>
      <c r="I115" s="78"/>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c r="A116" s="97"/>
      <c r="B116" s="59" t="s">
        <v>211</v>
      </c>
      <c r="C116" s="95">
        <v>0.0</v>
      </c>
      <c r="D116" s="78"/>
      <c r="E116" s="2"/>
      <c r="F116" s="97"/>
      <c r="G116" s="75" t="s">
        <v>211</v>
      </c>
      <c r="H116" s="128"/>
      <c r="I116" s="78"/>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c r="A117" s="97"/>
      <c r="B117" s="59" t="s">
        <v>212</v>
      </c>
      <c r="C117" s="95">
        <v>1.0</v>
      </c>
      <c r="D117" s="78"/>
      <c r="E117" s="2"/>
      <c r="F117" s="97"/>
      <c r="G117" s="75" t="s">
        <v>212</v>
      </c>
      <c r="H117" s="131"/>
      <c r="I117" s="78"/>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c r="A118" s="97"/>
      <c r="B118" s="59" t="s">
        <v>213</v>
      </c>
      <c r="C118" s="95">
        <v>1.0</v>
      </c>
      <c r="D118" s="78"/>
      <c r="E118" s="2"/>
      <c r="F118" s="97"/>
      <c r="G118" s="75" t="s">
        <v>213</v>
      </c>
      <c r="H118" s="131"/>
      <c r="I118" s="78"/>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c r="A119" s="97"/>
      <c r="B119" s="59" t="s">
        <v>214</v>
      </c>
      <c r="C119" s="95">
        <v>1.0</v>
      </c>
      <c r="D119" s="101">
        <v>0.8</v>
      </c>
      <c r="E119" s="2"/>
      <c r="F119" s="97"/>
      <c r="G119" s="75" t="s">
        <v>214</v>
      </c>
      <c r="H119" s="128"/>
      <c r="I119" s="101"/>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c r="A120" s="110" t="s">
        <v>162</v>
      </c>
      <c r="B120" s="59" t="s">
        <v>215</v>
      </c>
      <c r="C120" s="95">
        <v>0.0</v>
      </c>
      <c r="D120" s="78"/>
      <c r="E120" s="2"/>
      <c r="F120" s="112" t="s">
        <v>162</v>
      </c>
      <c r="G120" s="75" t="s">
        <v>215</v>
      </c>
      <c r="H120" s="128"/>
      <c r="I120" s="78"/>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c r="A121" s="97"/>
      <c r="B121" s="59" t="s">
        <v>216</v>
      </c>
      <c r="C121" s="95">
        <v>1.0</v>
      </c>
      <c r="D121" s="78"/>
      <c r="E121" s="2"/>
      <c r="F121" s="97"/>
      <c r="G121" s="75" t="s">
        <v>216</v>
      </c>
      <c r="H121" s="131"/>
      <c r="I121" s="78"/>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row>
    <row r="122">
      <c r="A122" s="97"/>
      <c r="B122" s="59" t="s">
        <v>217</v>
      </c>
      <c r="C122" s="95">
        <v>1.0</v>
      </c>
      <c r="D122" s="101">
        <v>0.4</v>
      </c>
      <c r="E122" s="2"/>
      <c r="F122" s="97"/>
      <c r="G122" s="75" t="s">
        <v>217</v>
      </c>
      <c r="H122" s="131"/>
      <c r="I122" s="101"/>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c r="A123" s="97"/>
      <c r="B123" s="59" t="s">
        <v>218</v>
      </c>
      <c r="C123" s="95">
        <v>0.0</v>
      </c>
      <c r="D123" s="95">
        <v>1.0</v>
      </c>
      <c r="E123" s="2"/>
      <c r="F123" s="97"/>
      <c r="G123" s="75" t="s">
        <v>218</v>
      </c>
      <c r="H123" s="131">
        <v>1.0</v>
      </c>
      <c r="I123" s="95"/>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c r="A124" s="97"/>
      <c r="B124" s="59" t="s">
        <v>219</v>
      </c>
      <c r="C124" s="95">
        <v>1.0</v>
      </c>
      <c r="D124" s="78"/>
      <c r="E124" s="2"/>
      <c r="F124" s="97"/>
      <c r="G124" s="75" t="s">
        <v>219</v>
      </c>
      <c r="H124" s="128"/>
      <c r="I124" s="78"/>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c r="A125" s="110" t="s">
        <v>168</v>
      </c>
      <c r="B125" s="59" t="s">
        <v>220</v>
      </c>
      <c r="C125" s="95">
        <v>0.0</v>
      </c>
      <c r="D125" s="78"/>
      <c r="E125" s="2"/>
      <c r="F125" s="112" t="s">
        <v>168</v>
      </c>
      <c r="G125" s="75" t="s">
        <v>220</v>
      </c>
      <c r="H125" s="128"/>
      <c r="I125" s="78"/>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c r="A126" s="97"/>
      <c r="B126" s="59" t="s">
        <v>221</v>
      </c>
      <c r="C126" s="95">
        <v>1.0</v>
      </c>
      <c r="D126" s="78"/>
      <c r="E126" s="2"/>
      <c r="F126" s="97"/>
      <c r="G126" s="75" t="s">
        <v>221</v>
      </c>
      <c r="H126" s="127"/>
      <c r="I126" s="78"/>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c r="A127" s="97"/>
      <c r="B127" s="59" t="s">
        <v>222</v>
      </c>
      <c r="C127" s="95">
        <v>0.0</v>
      </c>
      <c r="D127" s="78"/>
      <c r="E127" s="2"/>
      <c r="F127" s="97"/>
      <c r="G127" s="75" t="s">
        <v>222</v>
      </c>
      <c r="H127" s="128"/>
      <c r="I127" s="78"/>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c r="A128" s="97"/>
      <c r="B128" s="59" t="s">
        <v>223</v>
      </c>
      <c r="C128" s="95">
        <v>1.0</v>
      </c>
      <c r="D128" s="78"/>
      <c r="E128" s="2"/>
      <c r="F128" s="97"/>
      <c r="G128" s="75" t="s">
        <v>223</v>
      </c>
      <c r="H128" s="128"/>
      <c r="I128" s="78"/>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c r="A129" s="110" t="s">
        <v>224</v>
      </c>
      <c r="B129" s="59" t="s">
        <v>225</v>
      </c>
      <c r="C129" s="95">
        <v>4.0</v>
      </c>
      <c r="D129" s="78"/>
      <c r="E129" s="2"/>
      <c r="F129" s="137" t="s">
        <v>224</v>
      </c>
      <c r="G129" s="75" t="s">
        <v>225</v>
      </c>
      <c r="H129" s="95"/>
      <c r="I129" s="78"/>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c r="A130" s="2"/>
      <c r="B130" s="2"/>
      <c r="C130" s="124">
        <f>sum(C88:C129)</f>
        <v>34</v>
      </c>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c r="A131" s="2"/>
      <c r="B131" s="90" t="s">
        <v>229</v>
      </c>
      <c r="C131" s="2"/>
      <c r="D131" s="2"/>
      <c r="E131" s="2"/>
      <c r="F131" s="2"/>
      <c r="G131" s="92" t="s">
        <v>229</v>
      </c>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c r="A132" s="2"/>
      <c r="B132" s="139" t="s">
        <v>231</v>
      </c>
      <c r="C132" s="95">
        <v>0.0</v>
      </c>
      <c r="D132" s="101">
        <v>0.6</v>
      </c>
      <c r="E132" s="2"/>
      <c r="F132" s="2"/>
      <c r="G132" s="141" t="s">
        <v>231</v>
      </c>
      <c r="H132" s="95"/>
      <c r="I132" s="101"/>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c r="A133" s="2"/>
      <c r="B133" s="139" t="s">
        <v>233</v>
      </c>
      <c r="C133" s="95">
        <v>1.0</v>
      </c>
      <c r="D133" s="101">
        <v>0.85</v>
      </c>
      <c r="E133" s="2"/>
      <c r="F133" s="2"/>
      <c r="G133" s="141" t="s">
        <v>233</v>
      </c>
      <c r="H133" s="95"/>
      <c r="I133" s="101"/>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c r="A134" s="2"/>
      <c r="B134" s="2"/>
      <c r="C134" s="2"/>
      <c r="D134" s="1"/>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c r="A135" s="2"/>
      <c r="B135" s="143" t="s">
        <v>234</v>
      </c>
      <c r="C135" s="144"/>
      <c r="D135" s="145" t="s">
        <v>235</v>
      </c>
      <c r="E135" s="145"/>
      <c r="F135" s="2"/>
      <c r="G135" s="146" t="s">
        <v>234</v>
      </c>
      <c r="H135" s="147"/>
      <c r="I135" s="148" t="s">
        <v>235</v>
      </c>
      <c r="J135" s="148"/>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c r="A136" s="2"/>
      <c r="B136" s="149" t="s">
        <v>236</v>
      </c>
      <c r="C136" s="150"/>
      <c r="D136" s="139" t="s">
        <v>237</v>
      </c>
      <c r="E136" s="150"/>
      <c r="F136" s="2"/>
      <c r="G136" s="151" t="s">
        <v>236</v>
      </c>
      <c r="H136" s="150"/>
      <c r="I136" s="141" t="s">
        <v>237</v>
      </c>
      <c r="J136" s="95"/>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c r="A137" s="2"/>
      <c r="B137" s="149" t="s">
        <v>238</v>
      </c>
      <c r="C137" s="95">
        <v>1.0</v>
      </c>
      <c r="D137" s="139" t="s">
        <v>239</v>
      </c>
      <c r="E137" s="150"/>
      <c r="F137" s="2"/>
      <c r="G137" s="151" t="s">
        <v>238</v>
      </c>
      <c r="H137" s="95"/>
      <c r="I137" s="141" t="s">
        <v>239</v>
      </c>
      <c r="J137" s="95"/>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c r="A138" s="2"/>
      <c r="B138" s="149" t="s">
        <v>240</v>
      </c>
      <c r="C138" s="95">
        <v>1.0</v>
      </c>
      <c r="D138" s="139" t="s">
        <v>241</v>
      </c>
      <c r="E138" s="95">
        <v>1.0</v>
      </c>
      <c r="F138" s="2"/>
      <c r="G138" s="151" t="s">
        <v>240</v>
      </c>
      <c r="H138" s="95"/>
      <c r="I138" s="141" t="s">
        <v>241</v>
      </c>
      <c r="J138" s="95"/>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c r="A139" s="2"/>
      <c r="B139" s="149" t="s">
        <v>242</v>
      </c>
      <c r="C139" s="95">
        <v>0.0</v>
      </c>
      <c r="D139" s="139" t="s">
        <v>243</v>
      </c>
      <c r="E139" s="95">
        <v>0.0</v>
      </c>
      <c r="F139" s="2"/>
      <c r="G139" s="151" t="s">
        <v>242</v>
      </c>
      <c r="H139" s="95"/>
      <c r="I139" s="141" t="s">
        <v>243</v>
      </c>
      <c r="J139" s="95"/>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c r="A140" s="2"/>
      <c r="B140" s="149" t="s">
        <v>244</v>
      </c>
      <c r="C140" s="95">
        <v>1.0</v>
      </c>
      <c r="D140" s="139" t="s">
        <v>245</v>
      </c>
      <c r="E140" s="95">
        <v>0.0</v>
      </c>
      <c r="F140" s="2"/>
      <c r="G140" s="151" t="s">
        <v>244</v>
      </c>
      <c r="H140" s="95"/>
      <c r="I140" s="141" t="s">
        <v>245</v>
      </c>
      <c r="J140" s="95"/>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c r="A141" s="2"/>
      <c r="B141" s="149" t="s">
        <v>246</v>
      </c>
      <c r="C141" s="150"/>
      <c r="D141" s="139" t="s">
        <v>247</v>
      </c>
      <c r="E141" s="95">
        <v>1.0</v>
      </c>
      <c r="F141" s="2"/>
      <c r="G141" s="151" t="s">
        <v>246</v>
      </c>
      <c r="H141" s="150"/>
      <c r="I141" s="141" t="s">
        <v>247</v>
      </c>
      <c r="J141" s="95"/>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c r="A142" s="2"/>
      <c r="B142" s="2"/>
      <c r="C142" s="2"/>
      <c r="D142" s="139" t="s">
        <v>248</v>
      </c>
      <c r="E142" s="95">
        <v>0.0</v>
      </c>
      <c r="F142" s="2"/>
      <c r="G142" s="2"/>
      <c r="H142" s="2"/>
      <c r="I142" s="141" t="s">
        <v>248</v>
      </c>
      <c r="J142" s="95"/>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c r="A143" s="2"/>
      <c r="B143" s="2"/>
      <c r="C143" s="2"/>
      <c r="D143" s="139" t="s">
        <v>249</v>
      </c>
      <c r="E143" s="95">
        <v>1.0</v>
      </c>
      <c r="F143" s="2"/>
      <c r="G143" s="2"/>
      <c r="H143" s="2"/>
      <c r="I143" s="141" t="s">
        <v>249</v>
      </c>
      <c r="J143" s="95"/>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c r="A145" s="2"/>
      <c r="B145" s="70" t="s">
        <v>250</v>
      </c>
      <c r="C145" s="2"/>
      <c r="D145" s="2"/>
      <c r="E145" s="2"/>
      <c r="F145" s="2"/>
      <c r="G145" s="72" t="s">
        <v>250</v>
      </c>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c r="A146" s="2"/>
      <c r="B146" s="61" t="s">
        <v>251</v>
      </c>
      <c r="C146" s="153">
        <v>0.2</v>
      </c>
      <c r="D146" s="1"/>
      <c r="E146" s="2"/>
      <c r="F146" s="2"/>
      <c r="G146" s="66" t="s">
        <v>251</v>
      </c>
      <c r="H146" s="154"/>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c r="A147" s="2"/>
      <c r="B147" s="59" t="s">
        <v>252</v>
      </c>
      <c r="C147" s="155">
        <v>400000.0</v>
      </c>
      <c r="D147" s="2"/>
      <c r="E147" s="2"/>
      <c r="F147" s="2"/>
      <c r="G147" s="75" t="s">
        <v>252</v>
      </c>
      <c r="H147" s="156"/>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c r="A148" s="2"/>
      <c r="B148" s="61" t="s">
        <v>254</v>
      </c>
      <c r="C148" s="153">
        <v>0.2</v>
      </c>
      <c r="D148" s="2"/>
      <c r="E148" s="2"/>
      <c r="F148" s="2"/>
      <c r="G148" s="66" t="s">
        <v>254</v>
      </c>
      <c r="H148" s="154"/>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c r="A149" s="2"/>
      <c r="B149" s="61" t="s">
        <v>257</v>
      </c>
      <c r="C149" s="154">
        <v>0.0</v>
      </c>
      <c r="D149" s="2"/>
      <c r="E149" s="2"/>
      <c r="F149" s="2"/>
      <c r="G149" s="66" t="s">
        <v>257</v>
      </c>
      <c r="H149" s="154"/>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c r="A150" s="2"/>
      <c r="B150" s="61" t="s">
        <v>258</v>
      </c>
      <c r="C150" s="153">
        <v>0.0</v>
      </c>
      <c r="D150" s="2"/>
      <c r="E150" s="2"/>
      <c r="F150" s="2"/>
      <c r="G150" s="66" t="s">
        <v>258</v>
      </c>
      <c r="H150" s="154"/>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c r="A151" s="2"/>
      <c r="B151" s="61" t="s">
        <v>259</v>
      </c>
      <c r="C151" s="153">
        <v>1.0</v>
      </c>
      <c r="D151" s="2"/>
      <c r="E151" s="2"/>
      <c r="F151" s="2"/>
      <c r="G151" s="66" t="s">
        <v>259</v>
      </c>
      <c r="H151" s="15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c r="A152" s="2"/>
      <c r="B152" s="59" t="s">
        <v>260</v>
      </c>
      <c r="C152" s="153">
        <v>0.4</v>
      </c>
      <c r="D152" s="2"/>
      <c r="E152" s="2"/>
      <c r="F152" s="2"/>
      <c r="G152" s="75" t="s">
        <v>260</v>
      </c>
      <c r="H152" s="158"/>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c r="A153" s="2"/>
      <c r="B153" s="59" t="s">
        <v>261</v>
      </c>
      <c r="C153" s="158">
        <v>0.8</v>
      </c>
      <c r="D153" s="2"/>
      <c r="E153" s="2"/>
      <c r="F153" s="2"/>
      <c r="G153" s="75" t="s">
        <v>261</v>
      </c>
      <c r="H153" s="158"/>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c r="A154" s="2"/>
      <c r="B154" s="61" t="s">
        <v>262</v>
      </c>
      <c r="C154" s="155">
        <v>5.0</v>
      </c>
      <c r="D154" s="2"/>
      <c r="E154" s="2"/>
      <c r="F154" s="2"/>
      <c r="G154" s="66" t="s">
        <v>262</v>
      </c>
      <c r="H154" s="155"/>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c r="A155" s="2"/>
      <c r="B155" s="59" t="s">
        <v>263</v>
      </c>
      <c r="C155" s="155">
        <v>90.0</v>
      </c>
      <c r="D155" s="1"/>
      <c r="E155" s="2"/>
      <c r="F155" s="2"/>
      <c r="G155" s="75" t="s">
        <v>263</v>
      </c>
      <c r="H155" s="155"/>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c r="A156" s="2"/>
      <c r="B156" s="61" t="s">
        <v>265</v>
      </c>
      <c r="C156" s="160">
        <v>3966.55</v>
      </c>
      <c r="D156" s="2"/>
      <c r="E156" s="2"/>
      <c r="F156" s="2"/>
      <c r="G156" s="66" t="s">
        <v>265</v>
      </c>
      <c r="H156" s="161"/>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c r="A158" s="2"/>
      <c r="B158" s="162" t="s">
        <v>267</v>
      </c>
      <c r="C158" s="163" t="s">
        <v>268</v>
      </c>
      <c r="D158" s="2"/>
      <c r="E158" s="1"/>
      <c r="F158" s="2"/>
      <c r="G158" s="164" t="s">
        <v>267</v>
      </c>
      <c r="H158" s="165" t="s">
        <v>268</v>
      </c>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c r="A159" s="2"/>
      <c r="B159" s="166" t="s">
        <v>269</v>
      </c>
      <c r="C159" s="167">
        <v>1.0</v>
      </c>
      <c r="D159" s="1"/>
      <c r="E159" s="2"/>
      <c r="F159" s="2"/>
      <c r="G159" s="168" t="s">
        <v>269</v>
      </c>
      <c r="H159" s="167"/>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c r="A160" s="2"/>
      <c r="B160" s="166" t="s">
        <v>271</v>
      </c>
      <c r="C160" s="167">
        <v>1.0</v>
      </c>
      <c r="D160" s="2"/>
      <c r="E160" s="2"/>
      <c r="F160" s="169"/>
      <c r="G160" s="168" t="s">
        <v>271</v>
      </c>
      <c r="H160" s="167"/>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c r="A161" s="2"/>
      <c r="B161" s="2"/>
      <c r="C161" s="1"/>
      <c r="D161" s="2"/>
      <c r="E161" s="2"/>
      <c r="F161" s="17"/>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c r="A162" s="2"/>
      <c r="B162" s="30" t="s">
        <v>274</v>
      </c>
      <c r="C162" s="2"/>
      <c r="D162" s="17"/>
      <c r="E162" s="17"/>
      <c r="F162" s="17"/>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c r="A163" s="2"/>
      <c r="B163" s="61" t="s">
        <v>275</v>
      </c>
      <c r="C163" s="16"/>
      <c r="D163" s="17"/>
      <c r="E163" s="17"/>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c r="A164" s="2"/>
      <c r="B164" s="61" t="s">
        <v>276</v>
      </c>
      <c r="C164" s="173"/>
      <c r="D164" s="17"/>
      <c r="E164" s="17"/>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c r="A165" s="2"/>
      <c r="B165" s="61" t="s">
        <v>278</v>
      </c>
      <c r="C165" s="175"/>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c r="A166" s="2"/>
      <c r="B166" s="61" t="s">
        <v>280</v>
      </c>
      <c r="C166" s="27"/>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row>
    <row r="1044">
      <c r="A1044" s="2"/>
      <c r="D1044" s="2"/>
      <c r="E1044" s="2"/>
      <c r="F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row>
    <row r="1045">
      <c r="A1045" s="2"/>
      <c r="D1045" s="2"/>
      <c r="E1045" s="2"/>
      <c r="F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row>
    <row r="1046">
      <c r="D1046" s="2"/>
      <c r="E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row>
    <row r="1047">
      <c r="D1047" s="2"/>
      <c r="E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row>
  </sheetData>
  <mergeCells count="37">
    <mergeCell ref="B2:O2"/>
    <mergeCell ref="A40:A42"/>
    <mergeCell ref="F40:F42"/>
    <mergeCell ref="A43:A45"/>
    <mergeCell ref="F43:F45"/>
    <mergeCell ref="A46:A53"/>
    <mergeCell ref="A54:A60"/>
    <mergeCell ref="F46:F53"/>
    <mergeCell ref="F54:F60"/>
    <mergeCell ref="A66:A71"/>
    <mergeCell ref="F66:F71"/>
    <mergeCell ref="A72:A74"/>
    <mergeCell ref="F72:F74"/>
    <mergeCell ref="F75:F78"/>
    <mergeCell ref="A104:A109"/>
    <mergeCell ref="A110:A114"/>
    <mergeCell ref="A115:A119"/>
    <mergeCell ref="A120:A124"/>
    <mergeCell ref="A125:A128"/>
    <mergeCell ref="A75:A78"/>
    <mergeCell ref="A79:A81"/>
    <mergeCell ref="A82:A85"/>
    <mergeCell ref="A89:A90"/>
    <mergeCell ref="A91:A92"/>
    <mergeCell ref="A93:A96"/>
    <mergeCell ref="A97:A103"/>
    <mergeCell ref="F110:F114"/>
    <mergeCell ref="F115:F119"/>
    <mergeCell ref="F120:F124"/>
    <mergeCell ref="F125:F128"/>
    <mergeCell ref="F79:F81"/>
    <mergeCell ref="F82:F85"/>
    <mergeCell ref="F89:F90"/>
    <mergeCell ref="F91:F92"/>
    <mergeCell ref="F93:F96"/>
    <mergeCell ref="F97:F103"/>
    <mergeCell ref="F104:F109"/>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outlinePr summaryBelow="0" summaryRight="0"/>
  </sheetPr>
  <sheetViews>
    <sheetView workbookViewId="0"/>
  </sheetViews>
  <sheetFormatPr customHeight="1" defaultColWidth="12.63" defaultRowHeight="15.75"/>
  <cols>
    <col customWidth="1" min="2" max="2" width="35.38"/>
    <col customWidth="1" min="6" max="6" width="34.5"/>
    <col customWidth="1" min="7" max="7" width="19.63"/>
    <col customWidth="1" min="8" max="8" width="19.88"/>
    <col customWidth="1" min="18" max="18" width="13.75"/>
    <col customWidth="1" min="19" max="19" width="22.75"/>
  </cols>
  <sheetData>
    <row r="1">
      <c r="A1" s="1"/>
      <c r="B1" s="2"/>
      <c r="C1" s="2"/>
      <c r="D1" s="2"/>
      <c r="E1" s="2"/>
      <c r="F1" s="2"/>
      <c r="G1" s="2"/>
      <c r="H1" s="2"/>
      <c r="I1" s="2"/>
      <c r="J1" s="2"/>
      <c r="K1" s="2"/>
      <c r="L1" s="1"/>
      <c r="M1" s="1"/>
      <c r="N1" s="1"/>
      <c r="O1" s="1"/>
      <c r="P1" s="2"/>
      <c r="Q1" s="2"/>
      <c r="R1" s="2"/>
      <c r="S1" s="2"/>
      <c r="T1" s="2"/>
      <c r="U1" s="2"/>
      <c r="V1" s="2"/>
      <c r="W1" s="2"/>
      <c r="X1" s="2"/>
      <c r="Y1" s="2"/>
      <c r="Z1" s="2"/>
      <c r="AA1" s="2"/>
      <c r="AB1" s="2"/>
      <c r="AC1" s="2"/>
      <c r="AD1" s="2"/>
    </row>
    <row r="2">
      <c r="A2" s="2"/>
      <c r="B2" s="11" t="s">
        <v>4</v>
      </c>
      <c r="Q2" s="2"/>
      <c r="R2" s="2"/>
      <c r="S2" s="2"/>
      <c r="T2" s="2"/>
      <c r="U2" s="2"/>
      <c r="V2" s="2"/>
      <c r="W2" s="2"/>
      <c r="X2" s="2"/>
      <c r="Y2" s="2"/>
      <c r="Z2" s="2"/>
      <c r="AA2" s="2"/>
      <c r="AB2" s="2"/>
      <c r="AC2" s="2"/>
      <c r="AD2" s="2"/>
    </row>
    <row r="3">
      <c r="A3" s="2"/>
      <c r="B3" s="2"/>
      <c r="C3" s="2"/>
      <c r="D3" s="1"/>
      <c r="E3" s="2"/>
      <c r="F3" s="2"/>
      <c r="G3" s="2"/>
      <c r="H3" s="2"/>
      <c r="I3" s="2"/>
      <c r="J3" s="2"/>
      <c r="K3" s="2"/>
      <c r="L3" s="1"/>
      <c r="M3" s="1"/>
      <c r="N3" s="1"/>
      <c r="O3" s="2"/>
      <c r="P3" s="2"/>
      <c r="Q3" s="2"/>
      <c r="R3" s="2"/>
      <c r="S3" s="2"/>
      <c r="T3" s="15"/>
      <c r="U3" s="15"/>
      <c r="V3" s="15"/>
      <c r="W3" s="2"/>
      <c r="X3" s="2"/>
      <c r="Y3" s="1"/>
      <c r="Z3" s="1"/>
      <c r="AA3" s="2"/>
      <c r="AB3" s="2"/>
      <c r="AC3" s="2"/>
      <c r="AD3" s="2"/>
    </row>
    <row r="4">
      <c r="A4" s="2"/>
      <c r="B4" s="18" t="s">
        <v>13</v>
      </c>
      <c r="E4" s="2"/>
      <c r="F4" s="19" t="s">
        <v>14</v>
      </c>
      <c r="G4" s="2"/>
      <c r="H4" s="2"/>
      <c r="I4" s="2"/>
      <c r="J4" s="2"/>
      <c r="K4" s="2"/>
      <c r="L4" s="1"/>
      <c r="M4" s="1"/>
      <c r="N4" s="1"/>
      <c r="O4" s="2"/>
      <c r="P4" s="2"/>
      <c r="Q4" s="2"/>
      <c r="R4" s="2"/>
      <c r="S4" s="2"/>
      <c r="T4" s="15"/>
      <c r="U4" s="1"/>
      <c r="V4" s="1"/>
      <c r="W4" s="2"/>
      <c r="X4" s="2"/>
      <c r="Y4" s="1"/>
      <c r="Z4" s="1"/>
      <c r="AA4" s="2"/>
      <c r="AB4" s="2"/>
      <c r="AC4" s="2"/>
      <c r="AD4" s="2"/>
    </row>
    <row r="5">
      <c r="A5" s="2"/>
      <c r="B5" s="2"/>
      <c r="C5" s="2"/>
      <c r="D5" s="2"/>
      <c r="E5" s="2"/>
      <c r="F5" s="2"/>
      <c r="G5" s="2"/>
      <c r="H5" s="2"/>
      <c r="I5" s="2"/>
      <c r="J5" s="2"/>
      <c r="K5" s="2"/>
      <c r="L5" s="1"/>
      <c r="M5" s="1"/>
      <c r="N5" s="1"/>
      <c r="O5" s="2"/>
      <c r="P5" s="2"/>
      <c r="Q5" s="2"/>
      <c r="R5" s="2"/>
      <c r="S5" s="2"/>
      <c r="T5" s="2"/>
      <c r="U5" s="2"/>
      <c r="V5" s="2"/>
      <c r="W5" s="2"/>
      <c r="X5" s="2"/>
      <c r="Y5" s="2"/>
      <c r="Z5" s="2"/>
      <c r="AA5" s="2"/>
      <c r="AB5" s="1"/>
      <c r="AC5" s="23"/>
      <c r="AD5" s="1"/>
    </row>
    <row r="6">
      <c r="A6" s="2"/>
      <c r="B6" s="26" t="s">
        <v>19</v>
      </c>
      <c r="C6" s="28" t="s">
        <v>20</v>
      </c>
      <c r="D6" s="28" t="s">
        <v>23</v>
      </c>
      <c r="E6" s="2"/>
      <c r="F6" s="26" t="s">
        <v>24</v>
      </c>
      <c r="G6" s="29" t="s">
        <v>16</v>
      </c>
      <c r="H6" s="29" t="s">
        <v>17</v>
      </c>
      <c r="I6" s="29" t="s">
        <v>26</v>
      </c>
      <c r="J6" s="1"/>
      <c r="K6" s="1"/>
      <c r="L6" s="1"/>
      <c r="M6" s="1"/>
      <c r="N6" s="1"/>
      <c r="O6" s="2"/>
      <c r="P6" s="2"/>
      <c r="Q6" s="2"/>
      <c r="R6" s="17"/>
      <c r="S6" s="17"/>
      <c r="T6" s="31"/>
      <c r="U6" s="31"/>
      <c r="V6" s="17"/>
      <c r="W6" s="31"/>
      <c r="X6" s="2"/>
      <c r="Y6" s="2"/>
      <c r="Z6" s="2"/>
      <c r="AA6" s="2"/>
      <c r="AB6" s="2"/>
      <c r="AC6" s="1"/>
      <c r="AD6" s="1"/>
    </row>
    <row r="7">
      <c r="A7" s="2"/>
      <c r="B7" s="28" t="s">
        <v>12</v>
      </c>
      <c r="C7" s="69">
        <f>IF(OR(N('+Armor'!$N$15)=0,N(Baseline!$N$15)=0),((1-(('+Armor'!T10-'+Armor'!U10-'+Armor'!V10-'+Armor'!W10)*(1-'+Armor'!$T$76*(10+2*'+Armor'!C92))+('+Armor'!T10-'+Armor'!U10-'+Armor'!V10-'+Armor'!W10*(1.3+0.05*'+Armor'!C92))*'+Armor'!$T$76*(10+2*'+Armor'!C92))/'+Armor'!O10*Baseline!T10/'+Armor'!T10)-(1-((Baseline!T10-Baseline!U10-Baseline!V10-Baseline!W10)*(1-Baseline!$T$76*(10+2*Baseline!C92))+(Baseline!T10-Baseline!U10-Baseline!V10-Baseline!W10*(1.3+0.05*Baseline!C92))*Baseline!$T$76*(10+2*Baseline!C92))/Baseline!O10))/(1-((Baseline!T10-Baseline!U10-Baseline!V10-Baseline!W10)*(1-Baseline!$T$76*(10+2*Baseline!C92))+(Baseline!T10-Baseline!U10-Baseline!V10-Baseline!W10*(1.3+0.05*Baseline!C92))*Baseline!$T$76*(10+2*Baseline!C92))/Baseline!O10)/10,('+Armor'!$N$15-Baseline!$N$15)/10)</f>
        <v>0.000001026716233</v>
      </c>
      <c r="D7" s="71">
        <f t="shared" ref="D7:D16" si="1">C7/MAX($C$7:$C$16)</f>
        <v>0.1077316918</v>
      </c>
      <c r="E7" s="73"/>
      <c r="F7" s="28" t="s">
        <v>71</v>
      </c>
      <c r="G7" s="74">
        <f>Baseline!N15</f>
        <v>0.9996620211</v>
      </c>
      <c r="H7" s="74">
        <f>Comparison!N15</f>
        <v>0.9998094195</v>
      </c>
      <c r="I7" s="85" t="str">
        <f>"("&amp;ROUND(((1-((Comparison!T10-Comparison!U10-Comparison!V10-Comparison!W10)*(1-Comparison!$T$76*(10+2*Comparison!C92))+(Comparison!T10-Comparison!U10-Comparison!V10-Comparison!W10*(1.3+0.05*Comparison!C92))*(Comparison!$T$76*(10+2*Comparison!C92)))/Comparison!O10*Baseline!T10/Comparison!T10)-(1-((Baseline!T10-Baseline!U10-Baseline!V10-Baseline!W10)*(1-Baseline!$T$76*(10+2*Baseline!C92))+(Baseline!T10-Baseline!U10-Baseline!V10-Baseline!W10*(1.3+0.05*Baseline!C92))*(Baseline!$T$76*(10+2*Baseline!C92)))/Baseline!O10))/(1-((Baseline!T10-Baseline!U10-Baseline!V10-Baseline!W10)*(1-Baseline!$T$76*(10+2*Baseline!C92))+(Baseline!T10-Baseline!U10-Baseline!V10-Baseline!W10*(1.3+0.05*Baseline!C92))*(Baseline!$T$76*(10+2*Baseline!C92)))/Baseline!O10)%,2)&amp;"%)"</f>
        <v>(0.01%)</v>
      </c>
      <c r="J7" s="73"/>
      <c r="K7" s="2"/>
      <c r="L7" s="1"/>
      <c r="M7" s="1"/>
      <c r="N7" s="1"/>
      <c r="O7" s="1"/>
      <c r="P7" s="2"/>
      <c r="Q7" s="1"/>
      <c r="R7" s="86"/>
      <c r="S7" s="86"/>
      <c r="T7" s="87"/>
      <c r="U7" s="88"/>
      <c r="V7" s="89"/>
      <c r="W7" s="88"/>
      <c r="X7" s="1"/>
      <c r="Y7" s="1"/>
      <c r="Z7" s="2"/>
      <c r="AA7" s="2"/>
      <c r="AB7" s="2"/>
      <c r="AC7" s="1"/>
      <c r="AD7" s="1"/>
    </row>
    <row r="8">
      <c r="A8" s="2"/>
      <c r="B8" s="28" t="s">
        <v>36</v>
      </c>
      <c r="C8" s="69">
        <f>IF(OR(N('+Strength'!$N$15)=0,N(Baseline!$N$15)=0),((1-(('+Strength'!T10-'+Strength'!U10-'+Strength'!V10-'+Strength'!W10)*(1-'+Strength'!$T$76*(10+2*'+Strength'!C92))+('+Strength'!T10-'+Strength'!U10-'+Strength'!V10-'+Strength'!W10*(1.3+0.05*'+Strength'!C92))*'+Strength'!$T$76*(10+2*'+Strength'!C92))/'+Strength'!O10*Baseline!T10/'+Strength'!T10)-(1-((Baseline!T10-Baseline!U10-Baseline!V10-Baseline!W10)*(1-Baseline!$T$76*(10+2*Baseline!C92))+(Baseline!T10-Baseline!U10-Baseline!V10-Baseline!W10*(1.3+0.05*Baseline!C92))*Baseline!$T$76*(10+2*Baseline!C92))/Baseline!O10))/(1-((Baseline!T10-Baseline!U10-Baseline!V10-Baseline!W10)*(1-Baseline!$T$76*(10+2*Baseline!C92))+(Baseline!T10-Baseline!U10-Baseline!V10-Baseline!W10*(1.3+0.05*Baseline!C92))*Baseline!$T$76*(10+2*Baseline!C92))/Baseline!O10)/10,('+Strength'!$N$15-Baseline!$N$15)/10)</f>
        <v>0.000005589159526</v>
      </c>
      <c r="D8" s="71">
        <f t="shared" si="1"/>
        <v>0.5864615671</v>
      </c>
      <c r="E8" s="73"/>
      <c r="F8" s="29" t="s">
        <v>115</v>
      </c>
      <c r="G8" s="100">
        <f>Baseline!O15</f>
        <v>324430.9328</v>
      </c>
      <c r="H8" s="100">
        <f>Comparison!O15</f>
        <v>326198.0464</v>
      </c>
      <c r="I8" s="103">
        <f t="shared" ref="I8:I12" si="2">(H8-G8)/G8</f>
        <v>0.005446809761</v>
      </c>
      <c r="J8" s="104"/>
      <c r="K8" s="105"/>
      <c r="L8" s="1"/>
      <c r="M8" s="1"/>
      <c r="N8" s="1"/>
      <c r="O8" s="1"/>
      <c r="P8" s="2"/>
      <c r="Q8" s="1"/>
      <c r="R8" s="31"/>
      <c r="S8" s="31"/>
      <c r="T8" s="106"/>
      <c r="U8" s="88"/>
      <c r="W8" s="88"/>
      <c r="X8" s="1"/>
      <c r="Y8" s="1"/>
      <c r="Z8" s="1"/>
      <c r="AA8" s="2"/>
      <c r="AB8" s="1"/>
      <c r="AC8" s="1"/>
      <c r="AD8" s="1"/>
    </row>
    <row r="9">
      <c r="A9" s="2"/>
      <c r="B9" s="28" t="s">
        <v>40</v>
      </c>
      <c r="C9" s="69">
        <f>IF(OR(N('+Stamina'!$N$15)=0,N(Baseline!$N$15)=0),((1-(('+Stamina'!T10-'+Stamina'!U10-'+Stamina'!V10-'+Stamina'!W10)*(1-'+Stamina'!$T$76*(10+2*'+Stamina'!C92))+('+Stamina'!T10-'+Stamina'!U10-'+Stamina'!V10-'+Stamina'!W10*(1.3+0.05*'+Stamina'!C92))*'+Stamina'!$T$76*(10+2*'+Stamina'!C92))/'+Stamina'!O10*Baseline!T10/'+Stamina'!T10)-(1-((Baseline!T10-Baseline!U10-Baseline!V10-Baseline!W10)*(1-Baseline!$T$76*(10+2*Baseline!C92))+(Baseline!T10-Baseline!U10-Baseline!V10-Baseline!W10*(1.3+0.05*Baseline!C92))*Baseline!$T$76*(10+2*Baseline!C92))/Baseline!O10))/(1-((Baseline!T10-Baseline!U10-Baseline!V10-Baseline!W10)*(1-Baseline!$T$76*(10+2*Baseline!C92))+(Baseline!T10-Baseline!U10-Baseline!V10-Baseline!W10*(1.3+0.05*Baseline!C92))*Baseline!$T$76*(10+2*Baseline!C92))/Baseline!O10)/10,('+Stamina'!$N$15-Baseline!$N$15)/10)</f>
        <v>0.00000004186155151</v>
      </c>
      <c r="D9" s="71">
        <f t="shared" si="1"/>
        <v>0.004392465627</v>
      </c>
      <c r="E9" s="73"/>
      <c r="F9" s="29" t="s">
        <v>150</v>
      </c>
      <c r="G9" s="100">
        <f>Baseline!P15</f>
        <v>112067.4741</v>
      </c>
      <c r="H9" s="100">
        <f>Comparison!P15</f>
        <v>111420.2122</v>
      </c>
      <c r="I9" s="103">
        <f t="shared" si="2"/>
        <v>-0.005775644309</v>
      </c>
      <c r="J9" s="104"/>
      <c r="K9" s="116"/>
      <c r="L9" s="1"/>
      <c r="M9" s="1"/>
      <c r="N9" s="1"/>
      <c r="O9" s="1"/>
      <c r="P9" s="2"/>
      <c r="Q9" s="1"/>
      <c r="R9" s="31"/>
      <c r="S9" s="31"/>
      <c r="T9" s="106"/>
      <c r="U9" s="88"/>
      <c r="W9" s="88"/>
      <c r="X9" s="1"/>
      <c r="Y9" s="1"/>
      <c r="Z9" s="1"/>
      <c r="AA9" s="117"/>
      <c r="AB9" s="1"/>
      <c r="AC9" s="1"/>
      <c r="AD9" s="1"/>
    </row>
    <row r="10">
      <c r="A10" s="2"/>
      <c r="B10" s="28" t="s">
        <v>159</v>
      </c>
      <c r="C10" s="69">
        <f>IF(OR(N('+Critical Strike'!$N$15)=0,N(Baseline!$N$15)=0),((1-(('+Critical Strike'!T10-'+Critical Strike'!U10-'+Critical Strike'!V10-'+Critical Strike'!W10)*(1-'+Critical Strike'!$T$76*(10+2*'+Critical Strike'!C92))+('+Critical Strike'!T10-'+Critical Strike'!U10-'+Critical Strike'!V10-'+Critical Strike'!W10*(1.3+0.05*'+Critical Strike'!C92))*'+Critical Strike'!$T$76*(10+2*'+Critical Strike'!C92))/'+Critical Strike'!O10*Baseline!T10/'+Critical Strike'!T10)-(1-((Baseline!T10-Baseline!U10-Baseline!V10-Baseline!W10)*(1-Baseline!$T$76*(10+2*Baseline!C92))+(Baseline!T10-Baseline!U10-Baseline!V10-Baseline!W10*(1.3+0.05*Baseline!C92))*Baseline!$T$76*(10+2*Baseline!C92))/Baseline!O10))/(1-((Baseline!T10-Baseline!U10-Baseline!V10-Baseline!W10)*(1-Baseline!$T$76*(10+2*Baseline!C92))+(Baseline!T10-Baseline!U10-Baseline!V10-Baseline!W10*(1.3+0.05*Baseline!C92))*Baseline!$T$76*(10+2*Baseline!C92))/Baseline!O10)/10,('+Critical Strike'!$N$15-Baseline!$N$15)/10)</f>
        <v>0.000004465804755</v>
      </c>
      <c r="D10" s="71">
        <f t="shared" si="1"/>
        <v>0.4685897482</v>
      </c>
      <c r="E10" s="73"/>
      <c r="F10" s="29" t="s">
        <v>178</v>
      </c>
      <c r="G10" s="129">
        <f>Baseline!Q15</f>
        <v>9369364.527</v>
      </c>
      <c r="H10" s="129">
        <f>Comparison!Q15</f>
        <v>9364180.238</v>
      </c>
      <c r="I10" s="130">
        <f t="shared" si="2"/>
        <v>-0.0005533234639</v>
      </c>
      <c r="J10" s="104"/>
      <c r="K10" s="116"/>
      <c r="L10" s="1"/>
      <c r="M10" s="1"/>
      <c r="N10" s="1"/>
      <c r="O10" s="1"/>
      <c r="P10" s="2"/>
      <c r="Q10" s="1"/>
      <c r="R10" s="86"/>
      <c r="S10" s="31"/>
      <c r="T10" s="87"/>
      <c r="U10" s="88"/>
      <c r="V10" s="89"/>
      <c r="W10" s="88"/>
      <c r="X10" s="1"/>
      <c r="Y10" s="1"/>
      <c r="Z10" s="117"/>
      <c r="AA10" s="2"/>
      <c r="AB10" s="1"/>
      <c r="AC10" s="2"/>
      <c r="AD10" s="2"/>
    </row>
    <row r="11">
      <c r="A11" s="2"/>
      <c r="B11" s="28" t="s">
        <v>183</v>
      </c>
      <c r="C11" s="69">
        <f>IF(OR(N('+Haste'!$N$15)=0,N(Baseline!$N$15)=0),((1-(('+Haste'!T10-'+Haste'!U10-'+Haste'!V10-'+Haste'!W10)*(1-'+Haste'!$T$76*(10+2*'+Haste'!C92))+('+Haste'!T10-'+Haste'!U10-'+Haste'!V10-'+Haste'!W10*(1.3+0.05*'+Haste'!C92))*'+Haste'!$T$76*(10+2*'+Haste'!C92))/'+Haste'!O10*Baseline!T10/'+Haste'!T10)-(1-((Baseline!T10-Baseline!U10-Baseline!V10-Baseline!W10)*(1-Baseline!$T$76*(10+2*Baseline!C92))+(Baseline!T10-Baseline!U10-Baseline!V10-Baseline!W10*(1.3+0.05*Baseline!C92))*Baseline!$T$76*(10+2*Baseline!C92))/Baseline!O10))/(1-((Baseline!T10-Baseline!U10-Baseline!V10-Baseline!W10)*(1-Baseline!$T$76*(10+2*Baseline!C92))+(Baseline!T10-Baseline!U10-Baseline!V10-Baseline!W10*(1.3+0.05*Baseline!C92))*Baseline!$T$76*(10+2*Baseline!C92))/Baseline!O10)/10,('+Haste'!$N$15-Baseline!$N$15)/10)</f>
        <v>0.000003117498909</v>
      </c>
      <c r="D11" s="71">
        <f t="shared" si="1"/>
        <v>0.3271141729</v>
      </c>
      <c r="E11" s="73"/>
      <c r="F11" s="29" t="s">
        <v>206</v>
      </c>
      <c r="G11" s="129">
        <f>Baseline!R15</f>
        <v>11517616.61</v>
      </c>
      <c r="H11" s="129">
        <f>Comparison!R15</f>
        <v>11592261.46</v>
      </c>
      <c r="I11" s="130">
        <f t="shared" si="2"/>
        <v>0.006480928958</v>
      </c>
      <c r="J11" s="104"/>
      <c r="K11" s="105"/>
      <c r="L11" s="1"/>
      <c r="M11" s="1"/>
      <c r="N11" s="1"/>
      <c r="O11" s="1"/>
      <c r="P11" s="1"/>
      <c r="Q11" s="1"/>
      <c r="R11" s="86"/>
      <c r="S11" s="31"/>
      <c r="T11" s="106"/>
      <c r="U11" s="88"/>
      <c r="W11" s="88"/>
      <c r="X11" s="1"/>
      <c r="Y11" s="1"/>
      <c r="Z11" s="2"/>
      <c r="AA11" s="2"/>
      <c r="AB11" s="1"/>
      <c r="AC11" s="1"/>
      <c r="AD11" s="1"/>
    </row>
    <row r="12">
      <c r="A12" s="2"/>
      <c r="B12" s="28" t="s">
        <v>210</v>
      </c>
      <c r="C12" s="69">
        <f>IF(OR(N('+Versatility'!$N$15)=0,N(Baseline!$N$15)=0),((1-(('+Versatility'!T10-'+Versatility'!U10-'+Versatility'!V10-'+Versatility'!W10)*(1-'+Versatility'!$T$76*(10+2*'+Versatility'!C92))+('+Versatility'!T10-'+Versatility'!U10-'+Versatility'!V10-'+Versatility'!W10*(1.3+0.05*'+Versatility'!C92))*'+Versatility'!$T$76*(10+2*'+Versatility'!C92))/'+Versatility'!O10*Baseline!T10/'+Versatility'!T10)-(1-((Baseline!T10-Baseline!U10-Baseline!V10-Baseline!W10)*(1-Baseline!$T$76*(10+2*Baseline!C92))+(Baseline!T10-Baseline!U10-Baseline!V10-Baseline!W10*(1.3+0.05*Baseline!C92))*Baseline!$T$76*(10+2*Baseline!C92))/Baseline!O10))/(1-((Baseline!T10-Baseline!U10-Baseline!V10-Baseline!W10)*(1-Baseline!$T$76*(10+2*Baseline!C92))+(Baseline!T10-Baseline!U10-Baseline!V10-Baseline!W10*(1.3+0.05*Baseline!C92))*Baseline!$T$76*(10+2*Baseline!C92))/Baseline!O10)/10,('+Versatility'!$N$15-Baseline!$N$15)/10)</f>
        <v>0.000007453921807</v>
      </c>
      <c r="D12" s="71">
        <f t="shared" si="1"/>
        <v>0.7821280899</v>
      </c>
      <c r="E12" s="73"/>
      <c r="F12" s="29" t="s">
        <v>227</v>
      </c>
      <c r="G12" s="129">
        <f>Baseline!S15</f>
        <v>21754755.47</v>
      </c>
      <c r="H12" s="129">
        <f>Comparison!S15</f>
        <v>21816642.73</v>
      </c>
      <c r="I12" s="130">
        <f t="shared" si="2"/>
        <v>0.002844769706</v>
      </c>
      <c r="J12" s="104"/>
      <c r="K12" s="2"/>
      <c r="L12" s="1"/>
      <c r="M12" s="1"/>
      <c r="N12" s="15"/>
      <c r="O12" s="15"/>
      <c r="P12" s="1"/>
      <c r="Q12" s="1"/>
      <c r="R12" s="86"/>
      <c r="S12" s="31"/>
      <c r="T12" s="106"/>
      <c r="U12" s="88"/>
      <c r="W12" s="88"/>
      <c r="X12" s="1"/>
      <c r="Y12" s="1"/>
      <c r="Z12" s="2"/>
      <c r="AA12" s="117"/>
      <c r="AB12" s="2"/>
      <c r="AC12" s="1"/>
      <c r="AD12" s="1"/>
    </row>
    <row r="13">
      <c r="A13" s="2"/>
      <c r="B13" s="28" t="s">
        <v>232</v>
      </c>
      <c r="C13" s="69">
        <f>IF(OR(N('+Mastery'!$N$15)=0,N(Baseline!$N$15)=0),((1-(('+Mastery'!T10-'+Mastery'!U10-'+Mastery'!V10-'+Mastery'!W10)*(1-'+Mastery'!$T$76*(10+2*'+Mastery'!C92))+('+Mastery'!T10-'+Mastery'!U10-'+Mastery'!V10-'+Mastery'!W10*(1.3+0.05*'+Mastery'!C92))*'+Mastery'!$T$76*(10+2*'+Mastery'!C92))/'+Mastery'!O10*Baseline!T10/'+Mastery'!T10)-(1-((Baseline!T10-Baseline!U10-Baseline!V10-Baseline!W10)*(1-Baseline!$T$76*(10+2*Baseline!C92))+(Baseline!T10-Baseline!U10-Baseline!V10-Baseline!W10*(1.3+0.05*Baseline!C92))*Baseline!$T$76*(10+2*Baseline!C92))/Baseline!O10))/(1-((Baseline!T10-Baseline!U10-Baseline!V10-Baseline!W10)*(1-Baseline!$T$76*(10+2*Baseline!C92))+(Baseline!T10-Baseline!U10-Baseline!V10-Baseline!W10*(1.3+0.05*Baseline!C92))*Baseline!$T$76*(10+2*Baseline!C92))/Baseline!O10)/10,('+Mastery'!$N$15-Baseline!$N$15)/10)</f>
        <v>0.000009530308276</v>
      </c>
      <c r="D13" s="71">
        <f t="shared" si="1"/>
        <v>1</v>
      </c>
      <c r="E13" s="73"/>
      <c r="F13" s="2"/>
      <c r="G13" s="157"/>
      <c r="H13" s="105"/>
      <c r="I13" s="105"/>
      <c r="J13" s="105"/>
      <c r="K13" s="1"/>
      <c r="L13" s="1"/>
      <c r="M13" s="1"/>
      <c r="N13" s="15"/>
      <c r="O13" s="15"/>
      <c r="P13" s="1"/>
      <c r="Q13" s="1"/>
      <c r="R13" s="2"/>
      <c r="S13" s="2"/>
      <c r="T13" s="2"/>
      <c r="U13" s="2"/>
      <c r="V13" s="2"/>
      <c r="W13" s="2"/>
      <c r="X13" s="2"/>
      <c r="Y13" s="2"/>
      <c r="Z13" s="2"/>
      <c r="AA13" s="2"/>
      <c r="AB13" s="2"/>
      <c r="AC13" s="1"/>
      <c r="AD13" s="1"/>
    </row>
    <row r="14">
      <c r="A14" s="2"/>
      <c r="B14" s="28" t="s">
        <v>256</v>
      </c>
      <c r="C14" s="69">
        <f>IF(OR(N('+Leech'!$N$15)=0,N(Baseline!$N$15)=0),((1-(('+Leech'!T10-'+Leech'!U10-'+Leech'!V10-'+Leech'!W10)*(1-'+Leech'!$T$76*(10+2*'+Leech'!C92))+('+Leech'!T10-'+Leech'!U10-'+Leech'!V10-'+Leech'!W10*(1.3+0.05*'+Leech'!C92))*'+Leech'!$T$76*(10+2*'+Leech'!C92))/'+Leech'!O10*Baseline!T10/'+Leech'!T10)-(1-((Baseline!T10-Baseline!U10-Baseline!V10-Baseline!W10)*(1-Baseline!$T$76*(10+2*Baseline!C92))+(Baseline!T10-Baseline!U10-Baseline!V10-Baseline!W10*(1.3+0.05*Baseline!C92))*Baseline!$T$76*(10+2*Baseline!C92))/Baseline!O10))/(1-((Baseline!T10-Baseline!U10-Baseline!V10-Baseline!W10)*(1-Baseline!$T$76*(10+2*Baseline!C92))+(Baseline!T10-Baseline!U10-Baseline!V10-Baseline!W10*(1.3+0.05*Baseline!C92))*Baseline!$T$76*(10+2*Baseline!C92))/Baseline!O10)/10,('+Leech'!$N$15-Baseline!$N$15)/10)</f>
        <v>0.000001812731255</v>
      </c>
      <c r="D14" s="71">
        <f t="shared" si="1"/>
        <v>0.1902069905</v>
      </c>
      <c r="E14" s="73"/>
      <c r="F14" s="1"/>
      <c r="G14" s="172"/>
      <c r="H14" s="106"/>
      <c r="I14" s="106"/>
      <c r="J14" s="106"/>
      <c r="K14" s="2"/>
      <c r="L14" s="2"/>
      <c r="M14" s="1"/>
      <c r="N14" s="15"/>
      <c r="O14" s="15"/>
      <c r="P14" s="2"/>
      <c r="Q14" s="2"/>
      <c r="R14" s="14"/>
      <c r="S14" s="14"/>
      <c r="T14" s="31"/>
      <c r="U14" s="31"/>
      <c r="V14" s="31"/>
      <c r="W14" s="31"/>
      <c r="X14" s="31"/>
      <c r="Y14" s="31"/>
      <c r="Z14" s="31"/>
      <c r="AA14" s="31"/>
      <c r="AB14" s="2"/>
      <c r="AC14" s="1"/>
      <c r="AD14" s="1"/>
    </row>
    <row r="15">
      <c r="A15" s="2"/>
      <c r="B15" s="28" t="s">
        <v>270</v>
      </c>
      <c r="C15" s="69">
        <f>IF(OR(N('+Avoidance'!$N$15)=0,N(Baseline!$N$15)=0),((1-(('+Avoidance'!T10-'+Avoidance'!U10-'+Avoidance'!V10-'+Avoidance'!W10)*(1-'+Avoidance'!$T$76*(10+2*'+Avoidance'!C92))+('+Avoidance'!T10-'+Avoidance'!U10-'+Avoidance'!V10-'+Avoidance'!W10*(1.3+0.05*'+Avoidance'!C92))*'+Avoidance'!$T$76*(10+2*'+Avoidance'!C92))/'+Avoidance'!O10*Baseline!T10/'+Avoidance'!T10)-(1-((Baseline!T10-Baseline!U10-Baseline!V10-Baseline!W10)*(1-Baseline!$T$76*(10+2*Baseline!C92))+(Baseline!T10-Baseline!U10-Baseline!V10-Baseline!W10*(1.3+0.05*Baseline!C92))*Baseline!$T$76*(10+2*Baseline!C92))/Baseline!O10))/(1-((Baseline!T10-Baseline!U10-Baseline!V10-Baseline!W10)*(1-Baseline!$T$76*(10+2*Baseline!C92))+(Baseline!T10-Baseline!U10-Baseline!V10-Baseline!W10*(1.3+0.05*Baseline!C92))*Baseline!$T$76*(10+2*Baseline!C92))/Baseline!O10)/10,('+Avoidance'!$N$15-Baseline!$N$15)/10)</f>
        <v>0</v>
      </c>
      <c r="D15" s="71">
        <f t="shared" si="1"/>
        <v>0</v>
      </c>
      <c r="E15" s="73"/>
      <c r="F15" s="177"/>
      <c r="G15" s="172"/>
      <c r="H15" s="106"/>
      <c r="I15" s="106"/>
      <c r="J15" s="106"/>
      <c r="K15" s="105"/>
      <c r="L15" s="105"/>
      <c r="M15" s="172"/>
      <c r="N15" s="106"/>
      <c r="O15" s="106"/>
      <c r="P15" s="106"/>
      <c r="Q15" s="105"/>
      <c r="R15" s="105"/>
      <c r="S15" s="179"/>
      <c r="T15" s="87"/>
      <c r="U15" s="106"/>
      <c r="V15" s="106"/>
      <c r="W15" s="180"/>
      <c r="X15" s="87"/>
      <c r="Y15" s="106"/>
      <c r="Z15" s="106"/>
      <c r="AA15" s="180"/>
      <c r="AB15" s="2"/>
      <c r="AC15" s="105"/>
      <c r="AD15" s="2"/>
    </row>
    <row r="16">
      <c r="A16" s="2"/>
      <c r="B16" s="28" t="s">
        <v>287</v>
      </c>
      <c r="C16" s="69">
        <f>IF(OR(N('+Weapon DPS'!$N$15)=0,N(Baseline!$N$15)=0),((1-(('+Weapon DPS'!T10-'+Weapon DPS'!U10-'+Weapon DPS'!V10-'+Weapon DPS'!W10)*(1-'+Weapon DPS'!$T$76*(10+2*'+Weapon DPS'!C92))+('+Weapon DPS'!T10-'+Weapon DPS'!U10-'+Weapon DPS'!V10-'+Weapon DPS'!W10*(1.3+0.05*'+Weapon DPS'!C92))*'+Weapon DPS'!$T$76*(10+2*'+Weapon DPS'!C92))/'+Weapon DPS'!O10*Baseline!T10/'+Weapon DPS'!T10)-(1-((Baseline!T10-Baseline!U10-Baseline!V10-Baseline!W10)*(1-Baseline!$T$76*(10+2*Baseline!C92))+(Baseline!T10-Baseline!U10-Baseline!V10-Baseline!W10*(1.3+0.05*Baseline!C92))*Baseline!$T$76*(10+2*Baseline!C92))/Baseline!O10))/(1-((Baseline!T10-Baseline!U10-Baseline!V10-Baseline!W10)*(1-Baseline!$T$76*(10+2*Baseline!C92))+(Baseline!T10-Baseline!U10-Baseline!V10-Baseline!W10*(1.3+0.05*Baseline!C92))*Baseline!$T$76*(10+2*Baseline!C92))/Baseline!O10)/10,('+Weapon DPS'!$N$15-Baseline!$N$15)/10)</f>
        <v>0.000001630741296</v>
      </c>
      <c r="D16" s="71">
        <f t="shared" si="1"/>
        <v>0.1711110753</v>
      </c>
      <c r="E16" s="73"/>
      <c r="F16" s="177"/>
      <c r="G16" s="157"/>
      <c r="H16" s="1"/>
      <c r="I16" s="183"/>
      <c r="J16" s="2"/>
      <c r="K16" s="2"/>
      <c r="L16" s="1"/>
      <c r="M16" s="157"/>
      <c r="N16" s="1"/>
      <c r="O16" s="183"/>
      <c r="P16" s="2"/>
      <c r="Q16" s="2"/>
      <c r="R16" s="1"/>
      <c r="S16" s="31"/>
      <c r="T16" s="87"/>
      <c r="U16" s="106"/>
      <c r="V16" s="106"/>
      <c r="W16" s="180"/>
      <c r="X16" s="87"/>
      <c r="Y16" s="106"/>
      <c r="Z16" s="106"/>
      <c r="AA16" s="180"/>
      <c r="AB16" s="2"/>
      <c r="AC16" s="2"/>
      <c r="AD16" s="2"/>
    </row>
    <row r="17">
      <c r="A17" s="2"/>
      <c r="B17" s="184" t="s">
        <v>289</v>
      </c>
      <c r="C17" s="185" t="str">
        <f>"( Pawn: v1: ""BDK Mitigation"": Leech="&amp;D14&amp;", CritRating="&amp;D10&amp;", Dps="&amp;D16&amp;", Strength="&amp;D8&amp;", HasteRating="&amp;D11&amp;", MasteryRating="&amp;D13&amp;", Stamina="&amp;D9&amp;", Armor="&amp;D7&amp;", Versatility="&amp;D12&amp;" )"</f>
        <v>( Pawn: v1: "BDK Mitigation": Leech=0.190206990482102, CritRating=0.468589748233894, Dps=0.171111075250752, Strength=0.586461567124541, HasteRating=0.327114172927727, MasteryRating=1, Stamina=0.00439246562690173, Armor=0.107731691752119, Versatility=0.782128089867699 )</v>
      </c>
      <c r="D17" s="186"/>
      <c r="E17" s="2"/>
      <c r="F17" s="177"/>
      <c r="G17" s="172"/>
      <c r="H17" s="106"/>
      <c r="I17" s="106"/>
      <c r="J17" s="106"/>
      <c r="K17" s="105"/>
      <c r="L17" s="105"/>
      <c r="M17" s="172"/>
      <c r="N17" s="106"/>
      <c r="O17" s="106"/>
      <c r="P17" s="106"/>
      <c r="Q17" s="105"/>
      <c r="R17" s="105"/>
      <c r="S17" s="31"/>
      <c r="T17" s="87"/>
      <c r="U17" s="106"/>
      <c r="V17" s="106"/>
      <c r="W17" s="180"/>
      <c r="X17" s="87"/>
      <c r="Y17" s="106"/>
      <c r="Z17" s="106"/>
      <c r="AA17" s="180"/>
      <c r="AB17" s="1"/>
      <c r="AC17" s="187"/>
      <c r="AD17" s="187"/>
    </row>
    <row r="18">
      <c r="A18" s="2"/>
      <c r="B18" s="2"/>
      <c r="C18" s="2"/>
      <c r="D18" s="2"/>
      <c r="E18" s="2"/>
      <c r="F18" s="177"/>
      <c r="G18" s="172"/>
      <c r="H18" s="106"/>
      <c r="I18" s="106"/>
      <c r="J18" s="106"/>
      <c r="K18" s="105"/>
      <c r="L18" s="105"/>
      <c r="M18" s="172"/>
      <c r="N18" s="106"/>
      <c r="O18" s="106"/>
      <c r="P18" s="106"/>
      <c r="Q18" s="105"/>
      <c r="R18" s="105"/>
      <c r="S18" s="86"/>
      <c r="T18" s="188"/>
      <c r="U18" s="189"/>
      <c r="V18" s="189"/>
      <c r="W18" s="180"/>
      <c r="X18" s="188"/>
      <c r="Y18" s="189"/>
      <c r="Z18" s="189"/>
      <c r="AA18" s="180"/>
      <c r="AB18" s="2"/>
      <c r="AC18" s="105"/>
      <c r="AD18" s="105"/>
    </row>
    <row r="19">
      <c r="A19" s="2"/>
      <c r="B19" s="190" t="s">
        <v>290</v>
      </c>
      <c r="C19" s="28" t="s">
        <v>20</v>
      </c>
      <c r="D19" s="28" t="s">
        <v>23</v>
      </c>
      <c r="E19" s="2"/>
      <c r="F19" s="177"/>
      <c r="G19" s="172"/>
      <c r="H19" s="106"/>
      <c r="I19" s="106"/>
      <c r="J19" s="106"/>
      <c r="K19" s="105"/>
      <c r="L19" s="105"/>
      <c r="M19" s="172"/>
      <c r="N19" s="106"/>
      <c r="O19" s="106"/>
      <c r="P19" s="106"/>
      <c r="Q19" s="105"/>
      <c r="R19" s="105"/>
      <c r="S19" s="31"/>
      <c r="T19" s="188"/>
      <c r="U19" s="189"/>
      <c r="V19" s="189"/>
      <c r="W19" s="180"/>
      <c r="X19" s="188"/>
      <c r="Y19" s="189"/>
      <c r="Z19" s="189"/>
      <c r="AA19" s="180"/>
      <c r="AB19" s="2"/>
      <c r="AC19" s="105"/>
      <c r="AD19" s="105"/>
    </row>
    <row r="20">
      <c r="A20" s="2"/>
      <c r="B20" s="28" t="s">
        <v>12</v>
      </c>
      <c r="C20" s="69">
        <f>('+Armor'!$O$15-Baseline!$O$15)/10</f>
        <v>0</v>
      </c>
      <c r="D20" s="71">
        <f t="shared" ref="D20:D29" si="3">C20/MAX($C$20:$C$29)</f>
        <v>0</v>
      </c>
      <c r="E20" s="73"/>
      <c r="F20" s="177"/>
      <c r="G20" s="105"/>
      <c r="H20" s="1"/>
      <c r="I20" s="183"/>
      <c r="J20" s="2"/>
      <c r="K20" s="2"/>
      <c r="L20" s="172"/>
      <c r="M20" s="172"/>
      <c r="N20" s="106"/>
      <c r="O20" s="106"/>
      <c r="P20" s="106"/>
      <c r="Q20" s="105"/>
      <c r="R20" s="105"/>
      <c r="S20" s="86"/>
      <c r="T20" s="188"/>
      <c r="U20" s="189"/>
      <c r="V20" s="189"/>
      <c r="W20" s="180"/>
      <c r="X20" s="188"/>
      <c r="Y20" s="189"/>
      <c r="Z20" s="189"/>
      <c r="AA20" s="180"/>
      <c r="AB20" s="2"/>
      <c r="AC20" s="2"/>
      <c r="AD20" s="2"/>
    </row>
    <row r="21">
      <c r="A21" s="2"/>
      <c r="B21" s="28" t="s">
        <v>36</v>
      </c>
      <c r="C21" s="69">
        <f>('+Strength'!$O$15-Baseline!$O$15)/10</f>
        <v>96.2118052</v>
      </c>
      <c r="D21" s="71">
        <f t="shared" si="3"/>
        <v>0.2044038687</v>
      </c>
      <c r="E21" s="73"/>
      <c r="F21" s="177"/>
      <c r="G21" s="157"/>
      <c r="H21" s="105"/>
      <c r="I21" s="105"/>
      <c r="J21" s="105"/>
      <c r="K21" s="2"/>
      <c r="L21" s="1"/>
      <c r="M21" s="1"/>
      <c r="N21" s="105"/>
      <c r="O21" s="105"/>
      <c r="P21" s="105"/>
      <c r="Q21" s="2"/>
      <c r="R21" s="31"/>
      <c r="S21" s="86"/>
      <c r="T21" s="188"/>
      <c r="U21" s="189"/>
      <c r="V21" s="189"/>
      <c r="W21" s="180"/>
      <c r="X21" s="188"/>
      <c r="Y21" s="189"/>
      <c r="Z21" s="189"/>
      <c r="AA21" s="180"/>
      <c r="AB21" s="2"/>
      <c r="AC21" s="2"/>
      <c r="AD21" s="2"/>
    </row>
    <row r="22">
      <c r="A22" s="2"/>
      <c r="B22" s="28" t="s">
        <v>40</v>
      </c>
      <c r="C22" s="69">
        <f>('+Stamina'!$O$15-Baseline!$O$15)/10</f>
        <v>0</v>
      </c>
      <c r="D22" s="71">
        <f t="shared" si="3"/>
        <v>0</v>
      </c>
      <c r="E22" s="73"/>
      <c r="F22" s="177"/>
      <c r="G22" s="157"/>
      <c r="H22" s="105"/>
      <c r="I22" s="105"/>
      <c r="J22" s="105"/>
      <c r="K22" s="191"/>
      <c r="L22" s="157"/>
      <c r="M22" s="157"/>
      <c r="N22" s="105"/>
      <c r="O22" s="105"/>
      <c r="P22" s="105"/>
      <c r="Q22" s="105"/>
      <c r="R22" s="86"/>
      <c r="S22" s="86"/>
      <c r="T22" s="188"/>
      <c r="U22" s="189"/>
      <c r="V22" s="189"/>
      <c r="W22" s="180"/>
      <c r="X22" s="188"/>
      <c r="Y22" s="189"/>
      <c r="Z22" s="105"/>
      <c r="AA22" s="180"/>
      <c r="AB22" s="2"/>
      <c r="AC22" s="2"/>
      <c r="AD22" s="2"/>
    </row>
    <row r="23">
      <c r="A23" s="2"/>
      <c r="B23" s="28" t="s">
        <v>159</v>
      </c>
      <c r="C23" s="69">
        <f>('+Critical Strike'!$O$15-Baseline!$O$15)/10</f>
        <v>63.01636127</v>
      </c>
      <c r="D23" s="71">
        <f t="shared" si="3"/>
        <v>0.1338794965</v>
      </c>
      <c r="E23" s="73"/>
      <c r="F23" s="177"/>
      <c r="G23" s="172"/>
      <c r="H23" s="106"/>
      <c r="I23" s="106"/>
      <c r="J23" s="106"/>
      <c r="K23" s="105"/>
      <c r="L23" s="105"/>
      <c r="M23" s="172"/>
      <c r="N23" s="106"/>
      <c r="O23" s="106"/>
      <c r="P23" s="106"/>
      <c r="Q23" s="105"/>
      <c r="R23" s="105"/>
      <c r="S23" s="86"/>
      <c r="T23" s="188"/>
      <c r="U23" s="189"/>
      <c r="V23" s="189"/>
      <c r="W23" s="180"/>
      <c r="X23" s="188"/>
      <c r="Y23" s="189"/>
      <c r="Z23" s="189"/>
      <c r="AA23" s="180"/>
      <c r="AB23" s="2"/>
      <c r="AC23" s="116"/>
      <c r="AD23" s="116"/>
    </row>
    <row r="24">
      <c r="A24" s="2"/>
      <c r="B24" s="28" t="s">
        <v>183</v>
      </c>
      <c r="C24" s="69">
        <f>('+Haste'!$O$15-Baseline!$O$15)/10</f>
        <v>71.46146243</v>
      </c>
      <c r="D24" s="71">
        <f t="shared" si="3"/>
        <v>0.1518212797</v>
      </c>
      <c r="E24" s="73"/>
      <c r="F24" s="177"/>
      <c r="G24" s="157"/>
      <c r="H24" s="105"/>
      <c r="I24" s="105"/>
      <c r="J24" s="105"/>
      <c r="K24" s="191"/>
      <c r="L24" s="157"/>
      <c r="M24" s="157"/>
      <c r="N24" s="105"/>
      <c r="O24" s="105"/>
      <c r="P24" s="105"/>
      <c r="Q24" s="2"/>
      <c r="R24" s="86"/>
      <c r="S24" s="86"/>
      <c r="T24" s="188"/>
      <c r="U24" s="189"/>
      <c r="V24" s="189"/>
      <c r="W24" s="180"/>
      <c r="X24" s="188"/>
      <c r="Y24" s="189"/>
      <c r="Z24" s="189"/>
      <c r="AA24" s="180"/>
      <c r="AB24" s="2"/>
      <c r="AC24" s="105"/>
      <c r="AD24" s="105"/>
    </row>
    <row r="25">
      <c r="A25" s="2"/>
      <c r="B25" s="28" t="s">
        <v>210</v>
      </c>
      <c r="C25" s="69">
        <f>('+Versatility'!$O$15-Baseline!$O$15)/10</f>
        <v>47.66498413</v>
      </c>
      <c r="D25" s="71">
        <f t="shared" si="3"/>
        <v>0.1012651944</v>
      </c>
      <c r="E25" s="73"/>
      <c r="F25" s="177"/>
      <c r="G25" s="157"/>
      <c r="H25" s="105"/>
      <c r="I25" s="105"/>
      <c r="J25" s="105"/>
      <c r="K25" s="191"/>
      <c r="L25" s="157"/>
      <c r="M25" s="157"/>
      <c r="N25" s="105"/>
      <c r="O25" s="105"/>
      <c r="P25" s="105"/>
      <c r="Q25" s="2"/>
      <c r="R25" s="86"/>
      <c r="S25" s="86"/>
      <c r="T25" s="188"/>
      <c r="U25" s="189"/>
      <c r="V25" s="189"/>
      <c r="W25" s="180"/>
      <c r="X25" s="188"/>
      <c r="Y25" s="189"/>
      <c r="Z25" s="189"/>
      <c r="AA25" s="180"/>
      <c r="AB25" s="2"/>
      <c r="AC25" s="105"/>
      <c r="AD25" s="105"/>
    </row>
    <row r="26">
      <c r="A26" s="2"/>
      <c r="B26" s="28" t="s">
        <v>232</v>
      </c>
      <c r="C26" s="69">
        <f>('+Mastery'!$O$15-Baseline!$O$15)/10</f>
        <v>59.1799994</v>
      </c>
      <c r="D26" s="71">
        <f t="shared" si="3"/>
        <v>0.1257290704</v>
      </c>
      <c r="E26" s="73"/>
      <c r="F26" s="177"/>
      <c r="G26" s="172"/>
      <c r="H26" s="106"/>
      <c r="I26" s="106"/>
      <c r="J26" s="106"/>
      <c r="K26" s="105"/>
      <c r="L26" s="105"/>
      <c r="M26" s="172"/>
      <c r="N26" s="106"/>
      <c r="O26" s="106"/>
      <c r="P26" s="106"/>
      <c r="Q26" s="105"/>
      <c r="R26" s="105"/>
      <c r="S26" s="86"/>
      <c r="T26" s="188"/>
      <c r="U26" s="189"/>
      <c r="V26" s="189"/>
      <c r="W26" s="180"/>
      <c r="X26" s="188"/>
      <c r="Y26" s="189"/>
      <c r="Z26" s="189"/>
      <c r="AA26" s="180"/>
      <c r="AB26" s="2"/>
      <c r="AC26" s="2"/>
      <c r="AD26" s="2"/>
    </row>
    <row r="27">
      <c r="A27" s="2"/>
      <c r="B27" s="28" t="s">
        <v>256</v>
      </c>
      <c r="C27" s="69">
        <f>('+Leech'!$O$15-Baseline!$O$15)/10</f>
        <v>0</v>
      </c>
      <c r="D27" s="71">
        <f t="shared" si="3"/>
        <v>0</v>
      </c>
      <c r="E27" s="73"/>
      <c r="F27" s="177"/>
      <c r="G27" s="157"/>
      <c r="H27" s="105"/>
      <c r="I27" s="105"/>
      <c r="J27" s="105"/>
      <c r="K27" s="191"/>
      <c r="L27" s="157"/>
      <c r="M27" s="157"/>
      <c r="N27" s="105"/>
      <c r="O27" s="105"/>
      <c r="P27" s="105"/>
      <c r="Q27" s="191"/>
      <c r="R27" s="157"/>
      <c r="S27" s="86"/>
      <c r="T27" s="188"/>
      <c r="U27" s="189"/>
      <c r="V27" s="189"/>
      <c r="W27" s="180"/>
      <c r="X27" s="188"/>
      <c r="Y27" s="189"/>
      <c r="Z27" s="189"/>
      <c r="AA27" s="180"/>
      <c r="AB27" s="2"/>
      <c r="AC27" s="116"/>
      <c r="AD27" s="116"/>
    </row>
    <row r="28">
      <c r="A28" s="2"/>
      <c r="B28" s="28" t="s">
        <v>270</v>
      </c>
      <c r="C28" s="69">
        <f>('+Avoidance'!$O$15-Baseline!$O$15)/10</f>
        <v>0</v>
      </c>
      <c r="D28" s="71">
        <f t="shared" si="3"/>
        <v>0</v>
      </c>
      <c r="E28" s="73"/>
      <c r="F28" s="177"/>
      <c r="G28" s="157"/>
      <c r="H28" s="105"/>
      <c r="I28" s="105"/>
      <c r="J28" s="105"/>
      <c r="K28" s="105"/>
      <c r="L28" s="105"/>
      <c r="M28" s="157"/>
      <c r="N28" s="105"/>
      <c r="O28" s="105"/>
      <c r="P28" s="105"/>
      <c r="Q28" s="105"/>
      <c r="R28" s="105"/>
      <c r="S28" s="86"/>
      <c r="T28" s="188"/>
      <c r="U28" s="189"/>
      <c r="V28" s="189"/>
      <c r="W28" s="180"/>
      <c r="X28" s="188"/>
      <c r="Y28" s="189"/>
      <c r="Z28" s="189"/>
      <c r="AA28" s="180"/>
      <c r="AB28" s="2"/>
      <c r="AC28" s="2"/>
      <c r="AD28" s="2"/>
    </row>
    <row r="29">
      <c r="A29" s="2"/>
      <c r="B29" s="28" t="s">
        <v>287</v>
      </c>
      <c r="C29" s="69">
        <f>'+Weapon DPS'!$O$15-Baseline!$O$15</f>
        <v>470.694639</v>
      </c>
      <c r="D29" s="71">
        <f t="shared" si="3"/>
        <v>1</v>
      </c>
      <c r="E29" s="73"/>
      <c r="F29" s="177"/>
      <c r="G29" s="157"/>
      <c r="H29" s="105"/>
      <c r="I29" s="105"/>
      <c r="J29" s="105"/>
      <c r="K29" s="23"/>
      <c r="L29" s="23"/>
      <c r="M29" s="157"/>
      <c r="N29" s="105"/>
      <c r="O29" s="105"/>
      <c r="P29" s="105"/>
      <c r="Q29" s="23"/>
      <c r="R29" s="23"/>
      <c r="S29" s="31"/>
      <c r="T29" s="188"/>
      <c r="U29" s="189"/>
      <c r="V29" s="189"/>
      <c r="W29" s="180"/>
      <c r="X29" s="188"/>
      <c r="Y29" s="189"/>
      <c r="Z29" s="189"/>
      <c r="AA29" s="180"/>
      <c r="AB29" s="1"/>
      <c r="AC29" s="1"/>
      <c r="AD29" s="187"/>
    </row>
    <row r="30">
      <c r="A30" s="2"/>
      <c r="B30" s="184" t="s">
        <v>289</v>
      </c>
      <c r="C30" s="185" t="str">
        <f>"( Pawn: v1: ""BDK Overall DPS"": Leech="&amp;D27&amp;", CritRating="&amp;D23&amp;", Dps="&amp;D29&amp;", Strength="&amp;D21&amp;", HasteRating="&amp;D24&amp;", MasteryRating="&amp;D26&amp;", Stamina="&amp;D22&amp;", Armor="&amp;D20&amp;", Versatility="&amp;D25&amp;" )"</f>
        <v>( Pawn: v1: "BDK Overall DPS": Leech=0, CritRating=0.133879496504267, Dps=1, Strength=0.204403868746095, HasteRating=0.151821279689373, MasteryRating=0.125729070391317, Stamina=0, Armor=0, Versatility=0.101265194419826 )</v>
      </c>
      <c r="D30" s="186"/>
      <c r="E30" s="2"/>
      <c r="F30" s="177"/>
      <c r="G30" s="157"/>
      <c r="H30" s="105"/>
      <c r="I30" s="105"/>
      <c r="J30" s="105"/>
      <c r="K30" s="191"/>
      <c r="L30" s="157"/>
      <c r="M30" s="157"/>
      <c r="N30" s="105"/>
      <c r="O30" s="105"/>
      <c r="P30" s="105"/>
      <c r="Q30" s="191"/>
      <c r="R30" s="157"/>
      <c r="S30" s="31"/>
      <c r="T30" s="188"/>
      <c r="U30" s="189"/>
      <c r="V30" s="189"/>
      <c r="W30" s="180"/>
      <c r="X30" s="188"/>
      <c r="Y30" s="189"/>
      <c r="Z30" s="189"/>
      <c r="AA30" s="180"/>
      <c r="AB30" s="2"/>
      <c r="AC30" s="2"/>
      <c r="AD30" s="2"/>
    </row>
    <row r="31">
      <c r="A31" s="2"/>
      <c r="B31" s="2"/>
      <c r="C31" s="2"/>
      <c r="D31" s="2"/>
      <c r="E31" s="2"/>
      <c r="F31" s="177"/>
      <c r="G31" s="172"/>
      <c r="H31" s="106"/>
      <c r="I31" s="106"/>
      <c r="J31" s="106"/>
      <c r="K31" s="23"/>
      <c r="L31" s="23"/>
      <c r="M31" s="172"/>
      <c r="N31" s="106"/>
      <c r="O31" s="106"/>
      <c r="P31" s="106"/>
      <c r="Q31" s="23"/>
      <c r="R31" s="23"/>
      <c r="S31" s="31"/>
      <c r="T31" s="188"/>
      <c r="U31" s="189"/>
      <c r="V31" s="189"/>
      <c r="W31" s="180"/>
      <c r="X31" s="188"/>
      <c r="Y31" s="189"/>
      <c r="Z31" s="189"/>
      <c r="AA31" s="180"/>
      <c r="AB31" s="2"/>
      <c r="AC31" s="116"/>
      <c r="AD31" s="116"/>
    </row>
    <row r="32">
      <c r="A32" s="2"/>
      <c r="B32" s="190" t="s">
        <v>291</v>
      </c>
      <c r="C32" s="28" t="s">
        <v>20</v>
      </c>
      <c r="D32" s="28" t="s">
        <v>23</v>
      </c>
      <c r="E32" s="2"/>
      <c r="F32" s="177"/>
      <c r="G32" s="157"/>
      <c r="H32" s="105"/>
      <c r="I32" s="105"/>
      <c r="J32" s="105"/>
      <c r="K32" s="105"/>
      <c r="L32" s="105"/>
      <c r="M32" s="157"/>
      <c r="N32" s="105"/>
      <c r="O32" s="105"/>
      <c r="P32" s="105"/>
      <c r="Q32" s="105"/>
      <c r="R32" s="105"/>
      <c r="S32" s="86"/>
      <c r="T32" s="188"/>
      <c r="U32" s="189"/>
      <c r="V32" s="189"/>
      <c r="W32" s="180"/>
      <c r="X32" s="188"/>
      <c r="Y32" s="189"/>
      <c r="Z32" s="189"/>
      <c r="AA32" s="180"/>
      <c r="AB32" s="2"/>
      <c r="AC32" s="2"/>
      <c r="AD32" s="2"/>
    </row>
    <row r="33">
      <c r="A33" s="2"/>
      <c r="B33" s="28" t="s">
        <v>12</v>
      </c>
      <c r="C33" s="69">
        <f>('+Armor'!$P$15-Baseline!$P$15)/10</f>
        <v>0</v>
      </c>
      <c r="D33" s="71">
        <f t="shared" ref="D33:D42" si="4">C33/MAX($C$33:$C$42)</f>
        <v>0</v>
      </c>
      <c r="E33" s="2"/>
      <c r="F33" s="177"/>
      <c r="G33" s="172"/>
      <c r="H33" s="106"/>
      <c r="I33" s="106"/>
      <c r="J33" s="106"/>
      <c r="K33" s="23"/>
      <c r="L33" s="23"/>
      <c r="M33" s="172"/>
      <c r="N33" s="106"/>
      <c r="O33" s="106"/>
      <c r="P33" s="106"/>
      <c r="Q33" s="23"/>
      <c r="R33" s="23"/>
      <c r="S33" s="86"/>
      <c r="T33" s="188"/>
      <c r="U33" s="189"/>
      <c r="V33" s="189"/>
      <c r="W33" s="180"/>
      <c r="X33" s="188"/>
      <c r="Y33" s="189"/>
      <c r="Z33" s="189"/>
      <c r="AA33" s="180"/>
      <c r="AB33" s="2"/>
      <c r="AC33" s="116"/>
      <c r="AD33" s="116"/>
    </row>
    <row r="34">
      <c r="A34" s="2"/>
      <c r="B34" s="28" t="s">
        <v>36</v>
      </c>
      <c r="C34" s="69">
        <f>('+Strength'!$P$15-Baseline!$P$15)/10</f>
        <v>33.07550358</v>
      </c>
      <c r="D34" s="71">
        <f t="shared" si="4"/>
        <v>0.2034276045</v>
      </c>
      <c r="E34" s="2"/>
      <c r="F34" s="177"/>
      <c r="G34" s="172"/>
      <c r="H34" s="106"/>
      <c r="I34" s="106"/>
      <c r="J34" s="106"/>
      <c r="K34" s="105"/>
      <c r="L34" s="105"/>
      <c r="M34" s="172"/>
      <c r="N34" s="106"/>
      <c r="O34" s="106"/>
      <c r="P34" s="106"/>
      <c r="Q34" s="105"/>
      <c r="R34" s="105"/>
      <c r="S34" s="31"/>
      <c r="T34" s="188"/>
      <c r="U34" s="189"/>
      <c r="V34" s="189"/>
      <c r="W34" s="180"/>
      <c r="X34" s="188"/>
      <c r="Y34" s="189"/>
      <c r="Z34" s="189"/>
      <c r="AA34" s="180"/>
      <c r="AB34" s="2"/>
      <c r="AC34" s="2"/>
      <c r="AD34" s="2"/>
    </row>
    <row r="35">
      <c r="A35" s="2"/>
      <c r="B35" s="28" t="s">
        <v>40</v>
      </c>
      <c r="C35" s="69">
        <f>('+Stamina'!$P$15-Baseline!$P$15)/10</f>
        <v>0</v>
      </c>
      <c r="D35" s="71">
        <f t="shared" si="4"/>
        <v>0</v>
      </c>
      <c r="E35" s="2"/>
      <c r="F35" s="177"/>
      <c r="G35" s="157"/>
      <c r="H35" s="105"/>
      <c r="I35" s="105"/>
      <c r="J35" s="105"/>
      <c r="K35" s="105"/>
      <c r="L35" s="157"/>
      <c r="M35" s="157"/>
      <c r="N35" s="105"/>
      <c r="O35" s="105"/>
      <c r="P35" s="105"/>
      <c r="Q35" s="2"/>
      <c r="R35" s="1"/>
      <c r="S35" s="86"/>
      <c r="T35" s="188"/>
      <c r="U35" s="189"/>
      <c r="V35" s="189"/>
      <c r="W35" s="180"/>
      <c r="X35" s="188"/>
      <c r="Y35" s="189"/>
      <c r="Z35" s="189"/>
      <c r="AA35" s="180"/>
      <c r="AB35" s="2"/>
      <c r="AC35" s="2"/>
      <c r="AD35" s="2"/>
    </row>
    <row r="36">
      <c r="A36" s="2"/>
      <c r="B36" s="28" t="s">
        <v>159</v>
      </c>
      <c r="C36" s="69">
        <f>('+Critical Strike'!$P$15-Baseline!$P$15)/10</f>
        <v>21.20339726</v>
      </c>
      <c r="D36" s="71">
        <f t="shared" si="4"/>
        <v>0.130409392</v>
      </c>
      <c r="E36" s="2"/>
      <c r="F36" s="177"/>
      <c r="G36" s="172"/>
      <c r="H36" s="106"/>
      <c r="I36" s="106"/>
      <c r="J36" s="106"/>
      <c r="K36" s="105"/>
      <c r="L36" s="105"/>
      <c r="M36" s="172"/>
      <c r="N36" s="106"/>
      <c r="O36" s="106"/>
      <c r="P36" s="106"/>
      <c r="Q36" s="105"/>
      <c r="R36" s="105"/>
      <c r="S36" s="86"/>
      <c r="T36" s="188"/>
      <c r="U36" s="189"/>
      <c r="V36" s="189"/>
      <c r="W36" s="180"/>
      <c r="X36" s="188"/>
      <c r="Y36" s="189"/>
      <c r="Z36" s="189"/>
      <c r="AA36" s="180"/>
      <c r="AB36" s="2"/>
      <c r="AC36" s="116"/>
      <c r="AD36" s="116"/>
    </row>
    <row r="37">
      <c r="A37" s="2"/>
      <c r="B37" s="28" t="s">
        <v>183</v>
      </c>
      <c r="C37" s="69">
        <f>('+Haste'!$P$15-Baseline!$P$15)/10</f>
        <v>25.26964795</v>
      </c>
      <c r="D37" s="71">
        <f t="shared" si="4"/>
        <v>0.1554184636</v>
      </c>
      <c r="E37" s="2"/>
      <c r="F37" s="177"/>
      <c r="G37" s="157"/>
      <c r="H37" s="105"/>
      <c r="I37" s="105"/>
      <c r="J37" s="105"/>
      <c r="K37" s="105"/>
      <c r="L37" s="157"/>
      <c r="M37" s="157"/>
      <c r="N37" s="105"/>
      <c r="O37" s="105"/>
      <c r="P37" s="105"/>
      <c r="Q37" s="2"/>
      <c r="R37" s="1"/>
      <c r="S37" s="86"/>
      <c r="T37" s="188"/>
      <c r="U37" s="189"/>
      <c r="V37" s="189"/>
      <c r="W37" s="180"/>
      <c r="X37" s="188"/>
      <c r="Y37" s="189"/>
      <c r="Z37" s="189"/>
      <c r="AA37" s="180"/>
      <c r="AB37" s="2"/>
      <c r="AC37" s="105"/>
      <c r="AD37" s="105"/>
    </row>
    <row r="38">
      <c r="A38" s="2"/>
      <c r="B38" s="28" t="s">
        <v>210</v>
      </c>
      <c r="C38" s="69">
        <f>('+Versatility'!$P$15-Baseline!$P$15)/10</f>
        <v>16.40383426</v>
      </c>
      <c r="D38" s="71">
        <f t="shared" si="4"/>
        <v>0.1008901557</v>
      </c>
      <c r="E38" s="2"/>
      <c r="F38" s="177"/>
      <c r="G38" s="172"/>
      <c r="H38" s="106"/>
      <c r="I38" s="106"/>
      <c r="J38" s="106"/>
      <c r="K38" s="23"/>
      <c r="L38" s="23"/>
      <c r="M38" s="172"/>
      <c r="N38" s="106"/>
      <c r="O38" s="106"/>
      <c r="P38" s="106"/>
      <c r="Q38" s="105"/>
      <c r="R38" s="105"/>
      <c r="S38" s="2"/>
      <c r="T38" s="2"/>
      <c r="U38" s="2"/>
      <c r="V38" s="2"/>
      <c r="W38" s="2"/>
      <c r="X38" s="2"/>
      <c r="Y38" s="2"/>
      <c r="Z38" s="2"/>
      <c r="AA38" s="2"/>
      <c r="AB38" s="2"/>
      <c r="AC38" s="105"/>
      <c r="AD38" s="105"/>
    </row>
    <row r="39">
      <c r="A39" s="2"/>
      <c r="B39" s="28" t="s">
        <v>232</v>
      </c>
      <c r="C39" s="69">
        <f>('+Mastery'!$P$15-Baseline!$P$15)/10</f>
        <v>20.44241895</v>
      </c>
      <c r="D39" s="71">
        <f t="shared" si="4"/>
        <v>0.1257290704</v>
      </c>
      <c r="E39" s="2"/>
      <c r="F39" s="177"/>
      <c r="G39" s="172"/>
      <c r="H39" s="106"/>
      <c r="I39" s="106"/>
      <c r="J39" s="106"/>
      <c r="K39" s="23"/>
      <c r="L39" s="23"/>
      <c r="M39" s="172"/>
      <c r="N39" s="106"/>
      <c r="O39" s="106"/>
      <c r="P39" s="106"/>
      <c r="Q39" s="23"/>
      <c r="R39" s="23"/>
      <c r="S39" s="1"/>
      <c r="T39" s="1"/>
      <c r="U39" s="2"/>
      <c r="V39" s="2"/>
      <c r="W39" s="2"/>
      <c r="X39" s="2"/>
      <c r="Y39" s="2"/>
      <c r="Z39" s="2"/>
      <c r="AA39" s="2"/>
      <c r="AB39" s="2"/>
      <c r="AC39" s="105"/>
      <c r="AD39" s="105"/>
    </row>
    <row r="40">
      <c r="A40" s="2"/>
      <c r="B40" s="28" t="s">
        <v>256</v>
      </c>
      <c r="C40" s="69">
        <f>('+Leech'!$P$15-Baseline!$P$15)/10</f>
        <v>0</v>
      </c>
      <c r="D40" s="71">
        <f t="shared" si="4"/>
        <v>0</v>
      </c>
      <c r="E40" s="2"/>
      <c r="F40" s="177"/>
      <c r="G40" s="172"/>
      <c r="H40" s="106"/>
      <c r="I40" s="106"/>
      <c r="J40" s="106"/>
      <c r="K40" s="105"/>
      <c r="L40" s="105"/>
      <c r="M40" s="172"/>
      <c r="N40" s="106"/>
      <c r="O40" s="106"/>
      <c r="P40" s="106"/>
      <c r="Q40" s="105"/>
      <c r="R40" s="105"/>
      <c r="S40" s="1"/>
      <c r="T40" s="1"/>
      <c r="U40" s="2"/>
      <c r="V40" s="2"/>
      <c r="W40" s="2"/>
      <c r="X40" s="2"/>
      <c r="Y40" s="2"/>
      <c r="Z40" s="2"/>
      <c r="AA40" s="2"/>
      <c r="AB40" s="2"/>
      <c r="AC40" s="2"/>
      <c r="AD40" s="2"/>
    </row>
    <row r="41">
      <c r="A41" s="2"/>
      <c r="B41" s="28" t="s">
        <v>270</v>
      </c>
      <c r="C41" s="69">
        <f>('+Avoidance'!$P$15-Baseline!$P$15)/10</f>
        <v>0</v>
      </c>
      <c r="D41" s="71">
        <f t="shared" si="4"/>
        <v>0</v>
      </c>
      <c r="E41" s="2"/>
      <c r="F41" s="177"/>
      <c r="G41" s="200"/>
      <c r="H41" s="23"/>
      <c r="I41" s="23"/>
      <c r="J41" s="202"/>
      <c r="K41" s="157"/>
      <c r="L41" s="157"/>
      <c r="M41" s="157"/>
      <c r="N41" s="105"/>
      <c r="O41" s="105"/>
      <c r="P41" s="105"/>
      <c r="Q41" s="2"/>
      <c r="R41" s="1"/>
      <c r="S41" s="2"/>
      <c r="T41" s="2"/>
      <c r="U41" s="2"/>
      <c r="V41" s="2"/>
      <c r="W41" s="2"/>
      <c r="X41" s="2"/>
      <c r="Y41" s="2"/>
      <c r="Z41" s="2"/>
      <c r="AA41" s="2"/>
      <c r="AB41" s="1"/>
      <c r="AC41" s="23"/>
      <c r="AD41" s="23"/>
    </row>
    <row r="42">
      <c r="A42" s="2"/>
      <c r="B42" s="28" t="s">
        <v>287</v>
      </c>
      <c r="C42" s="69">
        <f>'+Weapon DPS'!$P$15-Baseline!$P$15</f>
        <v>162.5910292</v>
      </c>
      <c r="D42" s="71">
        <f t="shared" si="4"/>
        <v>1</v>
      </c>
      <c r="E42" s="2"/>
      <c r="F42" s="177"/>
      <c r="G42" s="157"/>
      <c r="H42" s="105"/>
      <c r="I42" s="105"/>
      <c r="J42" s="105"/>
      <c r="K42" s="105"/>
      <c r="L42" s="157"/>
      <c r="M42" s="157"/>
      <c r="N42" s="105"/>
      <c r="O42" s="105"/>
      <c r="P42" s="105"/>
      <c r="Q42" s="105"/>
      <c r="R42" s="1"/>
      <c r="S42" s="1"/>
      <c r="T42" s="1"/>
      <c r="U42" s="2"/>
      <c r="V42" s="2"/>
      <c r="W42" s="2"/>
      <c r="X42" s="2"/>
      <c r="Y42" s="2"/>
      <c r="Z42" s="2"/>
      <c r="AA42" s="2"/>
      <c r="AB42" s="2"/>
      <c r="AC42" s="105"/>
      <c r="AD42" s="105"/>
    </row>
    <row r="43">
      <c r="A43" s="2"/>
      <c r="B43" s="184" t="s">
        <v>289</v>
      </c>
      <c r="C43" s="185" t="str">
        <f>"( Pawn: v1: ""BDK Priority DPS"": Leech="&amp;D40&amp;", CritRating="&amp;D36&amp;", Dps="&amp;D42&amp;", Strength="&amp;D34&amp;", HasteRating="&amp;D37&amp;", MasteryRating="&amp;D39&amp;", Stamina="&amp;D35&amp;", Armor="&amp;D33&amp;", Versatility="&amp;D38&amp;" )"</f>
        <v>( Pawn: v1: "BDK Priority DPS": Leech=0, CritRating=0.13040939201827, Dps=1, Strength=0.203427604503727, HasteRating=0.155418463575789, MasteryRating=0.125729070391337, Stamina=0, Armor=0, Versatility=0.100890155742055 )</v>
      </c>
      <c r="D43" s="186"/>
      <c r="E43" s="2"/>
      <c r="F43" s="177"/>
      <c r="G43" s="157"/>
      <c r="H43" s="105"/>
      <c r="I43" s="105"/>
      <c r="J43" s="105"/>
      <c r="K43" s="105"/>
      <c r="L43" s="157"/>
      <c r="M43" s="157"/>
      <c r="N43" s="105"/>
      <c r="O43" s="105"/>
      <c r="P43" s="105"/>
      <c r="Q43" s="105"/>
      <c r="R43" s="2"/>
      <c r="S43" s="1"/>
      <c r="T43" s="1"/>
      <c r="U43" s="2"/>
      <c r="V43" s="2"/>
      <c r="W43" s="2"/>
      <c r="X43" s="2"/>
      <c r="Y43" s="2"/>
      <c r="Z43" s="2"/>
      <c r="AA43" s="2"/>
      <c r="AB43" s="2"/>
      <c r="AC43" s="105"/>
      <c r="AD43" s="105"/>
    </row>
    <row r="44">
      <c r="A44" s="2"/>
      <c r="B44" s="2"/>
      <c r="C44" s="2"/>
      <c r="D44" s="2"/>
      <c r="E44" s="2"/>
      <c r="F44" s="177"/>
      <c r="G44" s="172"/>
      <c r="H44" s="106"/>
      <c r="I44" s="106"/>
      <c r="J44" s="106"/>
      <c r="K44" s="105"/>
      <c r="L44" s="105"/>
      <c r="M44" s="172"/>
      <c r="N44" s="106"/>
      <c r="O44" s="106"/>
      <c r="P44" s="106"/>
      <c r="Q44" s="105"/>
      <c r="R44" s="105"/>
      <c r="S44" s="2"/>
      <c r="T44" s="1"/>
      <c r="U44" s="1"/>
      <c r="V44" s="1"/>
      <c r="W44" s="2"/>
      <c r="X44" s="2"/>
      <c r="Y44" s="2"/>
      <c r="Z44" s="1"/>
      <c r="AA44" s="1"/>
      <c r="AB44" s="1"/>
      <c r="AC44" s="2"/>
      <c r="AD44" s="105"/>
    </row>
    <row r="45">
      <c r="A45" s="2"/>
      <c r="B45" s="190" t="s">
        <v>312</v>
      </c>
      <c r="C45" s="28" t="s">
        <v>20</v>
      </c>
      <c r="D45" s="28" t="s">
        <v>23</v>
      </c>
      <c r="E45" s="2"/>
      <c r="F45" s="177"/>
      <c r="G45" s="172"/>
      <c r="H45" s="106"/>
      <c r="I45" s="106"/>
      <c r="J45" s="106"/>
      <c r="K45" s="105"/>
      <c r="L45" s="105"/>
      <c r="M45" s="172"/>
      <c r="N45" s="106"/>
      <c r="O45" s="106"/>
      <c r="P45" s="106"/>
      <c r="Q45" s="105"/>
      <c r="R45" s="105"/>
      <c r="S45" s="1"/>
      <c r="T45" s="15"/>
      <c r="U45" s="15"/>
      <c r="V45" s="15"/>
      <c r="W45" s="2"/>
      <c r="X45" s="1"/>
      <c r="Y45" s="1"/>
      <c r="Z45" s="1"/>
      <c r="AA45" s="15"/>
      <c r="AB45" s="15"/>
      <c r="AC45" s="2"/>
      <c r="AD45" s="105"/>
    </row>
    <row r="46">
      <c r="A46" s="2"/>
      <c r="B46" s="28" t="s">
        <v>12</v>
      </c>
      <c r="C46" s="69">
        <f>('+Armor'!$Q$15-Baseline!$Q$15)/10</f>
        <v>794.2529832</v>
      </c>
      <c r="D46" s="71">
        <f t="shared" ref="D46:D55" si="5">C46/MAX($C$46:$C$55)</f>
        <v>0.6653282098</v>
      </c>
      <c r="E46" s="2"/>
      <c r="F46" s="177"/>
      <c r="G46" s="157"/>
      <c r="H46" s="105"/>
      <c r="I46" s="105"/>
      <c r="J46" s="105"/>
      <c r="K46" s="105"/>
      <c r="L46" s="157"/>
      <c r="M46" s="157"/>
      <c r="N46" s="105"/>
      <c r="O46" s="105"/>
      <c r="P46" s="105"/>
      <c r="Q46" s="105"/>
      <c r="R46" s="2"/>
      <c r="S46" s="1"/>
      <c r="T46" s="15"/>
      <c r="U46" s="15"/>
      <c r="V46" s="15"/>
      <c r="W46" s="2"/>
      <c r="X46" s="1"/>
      <c r="Y46" s="1"/>
      <c r="Z46" s="1"/>
      <c r="AA46" s="1"/>
      <c r="AB46" s="1"/>
      <c r="AC46" s="2"/>
      <c r="AD46" s="2"/>
    </row>
    <row r="47">
      <c r="A47" s="2"/>
      <c r="B47" s="28" t="s">
        <v>36</v>
      </c>
      <c r="C47" s="69">
        <f>('+Strength'!$Q$15-Baseline!$Q$15)/10</f>
        <v>1193.776202</v>
      </c>
      <c r="D47" s="71">
        <f t="shared" si="5"/>
        <v>1</v>
      </c>
      <c r="E47" s="2"/>
      <c r="F47" s="177"/>
      <c r="G47" s="157"/>
      <c r="H47" s="105"/>
      <c r="I47" s="105"/>
      <c r="J47" s="105"/>
      <c r="K47" s="105"/>
      <c r="L47" s="157"/>
      <c r="M47" s="157"/>
      <c r="N47" s="105"/>
      <c r="O47" s="105"/>
      <c r="P47" s="105"/>
      <c r="Q47" s="105"/>
      <c r="R47" s="2"/>
      <c r="S47" s="1"/>
      <c r="T47" s="15"/>
      <c r="U47" s="15"/>
      <c r="V47" s="15"/>
      <c r="W47" s="2"/>
      <c r="X47" s="208"/>
      <c r="Y47" s="1"/>
      <c r="Z47" s="1"/>
      <c r="AA47" s="1"/>
      <c r="AB47" s="1"/>
      <c r="AC47" s="2"/>
      <c r="AD47" s="2"/>
    </row>
    <row r="48">
      <c r="A48" s="2"/>
      <c r="B48" s="28" t="s">
        <v>40</v>
      </c>
      <c r="C48" s="69">
        <f>('+Stamina'!$Q$15-Baseline!$Q$15)/10</f>
        <v>214.0958719</v>
      </c>
      <c r="D48" s="71">
        <f t="shared" si="5"/>
        <v>0.1793433909</v>
      </c>
      <c r="E48" s="2"/>
      <c r="F48" s="177"/>
      <c r="G48" s="157"/>
      <c r="H48" s="105"/>
      <c r="I48" s="105"/>
      <c r="J48" s="105"/>
      <c r="K48" s="105"/>
      <c r="L48" s="105"/>
      <c r="M48" s="157"/>
      <c r="N48" s="105"/>
      <c r="O48" s="105"/>
      <c r="P48" s="105"/>
      <c r="Q48" s="105"/>
      <c r="R48" s="105"/>
      <c r="S48" s="1"/>
      <c r="T48" s="15"/>
      <c r="U48" s="15"/>
      <c r="V48" s="15"/>
      <c r="W48" s="2"/>
      <c r="X48" s="86"/>
      <c r="Y48" s="1"/>
      <c r="Z48" s="15"/>
      <c r="AA48" s="15"/>
      <c r="AB48" s="1"/>
      <c r="AC48" s="2"/>
      <c r="AD48" s="2"/>
    </row>
    <row r="49">
      <c r="A49" s="2"/>
      <c r="B49" s="28" t="s">
        <v>159</v>
      </c>
      <c r="C49" s="69">
        <f>('+Critical Strike'!$Q$15-Baseline!$Q$15)/10</f>
        <v>21.84192482</v>
      </c>
      <c r="D49" s="71">
        <f t="shared" si="5"/>
        <v>0.01829649879</v>
      </c>
      <c r="E49" s="2"/>
      <c r="F49" s="177"/>
      <c r="G49" s="172"/>
      <c r="H49" s="106"/>
      <c r="I49" s="106"/>
      <c r="J49" s="106"/>
      <c r="K49" s="105"/>
      <c r="L49" s="105"/>
      <c r="M49" s="172"/>
      <c r="N49" s="106"/>
      <c r="O49" s="106"/>
      <c r="P49" s="106"/>
      <c r="Q49" s="105"/>
      <c r="R49" s="105"/>
      <c r="S49" s="1"/>
      <c r="T49" s="15"/>
      <c r="U49" s="15"/>
      <c r="V49" s="15"/>
      <c r="W49" s="210"/>
      <c r="X49" s="208"/>
      <c r="Y49" s="1"/>
      <c r="Z49" s="15"/>
      <c r="AA49" s="15"/>
      <c r="AB49" s="15"/>
      <c r="AC49" s="2"/>
      <c r="AD49" s="2"/>
    </row>
    <row r="50">
      <c r="A50" s="2"/>
      <c r="B50" s="28" t="s">
        <v>183</v>
      </c>
      <c r="C50" s="69">
        <f>('+Haste'!$Q$15-Baseline!$Q$15)/10</f>
        <v>70.91959956</v>
      </c>
      <c r="D50" s="71">
        <f t="shared" si="5"/>
        <v>0.05940778469</v>
      </c>
      <c r="E50" s="2"/>
      <c r="F50" s="177"/>
      <c r="G50" s="172"/>
      <c r="H50" s="106"/>
      <c r="I50" s="106"/>
      <c r="J50" s="106"/>
      <c r="K50" s="23"/>
      <c r="L50" s="23"/>
      <c r="M50" s="172"/>
      <c r="N50" s="106"/>
      <c r="O50" s="106"/>
      <c r="P50" s="106"/>
      <c r="Q50" s="23"/>
      <c r="R50" s="23"/>
      <c r="S50" s="1"/>
      <c r="T50" s="1"/>
      <c r="U50" s="1"/>
      <c r="V50" s="1"/>
      <c r="W50" s="2"/>
      <c r="X50" s="31"/>
      <c r="Y50" s="1"/>
      <c r="Z50" s="15"/>
      <c r="AA50" s="15"/>
      <c r="AB50" s="1"/>
      <c r="AC50" s="2"/>
      <c r="AD50" s="2"/>
    </row>
    <row r="51">
      <c r="A51" s="2"/>
      <c r="B51" s="28" t="s">
        <v>210</v>
      </c>
      <c r="C51" s="69">
        <f>('+Versatility'!$Q$15-Baseline!$Q$15)/10</f>
        <v>1010.24463</v>
      </c>
      <c r="D51" s="71">
        <f t="shared" si="5"/>
        <v>0.8462596496</v>
      </c>
      <c r="E51" s="2"/>
      <c r="F51" s="177"/>
      <c r="G51" s="157"/>
      <c r="H51" s="105"/>
      <c r="I51" s="105"/>
      <c r="J51" s="105"/>
      <c r="K51" s="105"/>
      <c r="L51" s="105"/>
      <c r="M51" s="157"/>
      <c r="N51" s="105"/>
      <c r="O51" s="105"/>
      <c r="P51" s="105"/>
      <c r="Q51" s="105"/>
      <c r="R51" s="105"/>
      <c r="S51" s="1"/>
      <c r="T51" s="15"/>
      <c r="U51" s="15"/>
      <c r="V51" s="15"/>
      <c r="W51" s="2"/>
      <c r="X51" s="1"/>
      <c r="Y51" s="1"/>
      <c r="Z51" s="15"/>
      <c r="AA51" s="15"/>
      <c r="AB51" s="1"/>
      <c r="AC51" s="2"/>
      <c r="AD51" s="2"/>
    </row>
    <row r="52">
      <c r="A52" s="2"/>
      <c r="B52" s="28" t="s">
        <v>232</v>
      </c>
      <c r="C52" s="69">
        <f>('+Mastery'!$Q$15-Baseline!$Q$15)/10</f>
        <v>0</v>
      </c>
      <c r="D52" s="71">
        <f t="shared" si="5"/>
        <v>0</v>
      </c>
      <c r="E52" s="2"/>
      <c r="F52" s="177"/>
      <c r="G52" s="172"/>
      <c r="H52" s="106"/>
      <c r="I52" s="106"/>
      <c r="J52" s="106"/>
      <c r="K52" s="105"/>
      <c r="L52" s="105"/>
      <c r="M52" s="172"/>
      <c r="N52" s="106"/>
      <c r="O52" s="106"/>
      <c r="P52" s="106"/>
      <c r="Q52" s="105"/>
      <c r="R52" s="105"/>
      <c r="S52" s="1"/>
      <c r="T52" s="213"/>
      <c r="U52" s="213"/>
      <c r="V52" s="213"/>
      <c r="W52" s="2"/>
      <c r="X52" s="1"/>
      <c r="Y52" s="1"/>
      <c r="Z52" s="214"/>
      <c r="AA52" s="214"/>
      <c r="AB52" s="214"/>
      <c r="AC52" s="2"/>
      <c r="AD52" s="2"/>
    </row>
    <row r="53">
      <c r="A53" s="2"/>
      <c r="B53" s="28" t="s">
        <v>256</v>
      </c>
      <c r="C53" s="69">
        <f>('+Leech'!$Q$15-Baseline!$Q$15)/10</f>
        <v>0</v>
      </c>
      <c r="D53" s="71">
        <f t="shared" si="5"/>
        <v>0</v>
      </c>
      <c r="E53" s="2"/>
      <c r="F53" s="177"/>
      <c r="G53" s="172"/>
      <c r="H53" s="106"/>
      <c r="I53" s="106"/>
      <c r="J53" s="106"/>
      <c r="K53" s="105"/>
      <c r="L53" s="105"/>
      <c r="M53" s="172"/>
      <c r="N53" s="106"/>
      <c r="O53" s="106"/>
      <c r="P53" s="106"/>
      <c r="Q53" s="105"/>
      <c r="R53" s="105"/>
      <c r="S53" s="1"/>
      <c r="T53" s="213"/>
      <c r="U53" s="213"/>
      <c r="V53" s="213"/>
      <c r="W53" s="2"/>
      <c r="X53" s="1"/>
      <c r="Y53" s="1"/>
      <c r="Z53" s="15"/>
      <c r="AA53" s="15"/>
      <c r="AB53" s="1"/>
      <c r="AC53" s="2"/>
      <c r="AD53" s="2"/>
    </row>
    <row r="54">
      <c r="A54" s="2"/>
      <c r="B54" s="28" t="s">
        <v>270</v>
      </c>
      <c r="C54" s="69">
        <f>('+Avoidance'!$Q$15-Baseline!$Q$15)/10</f>
        <v>0</v>
      </c>
      <c r="D54" s="71">
        <f t="shared" si="5"/>
        <v>0</v>
      </c>
      <c r="E54" s="2"/>
      <c r="F54" s="177"/>
      <c r="G54" s="172"/>
      <c r="H54" s="106"/>
      <c r="I54" s="106"/>
      <c r="J54" s="106"/>
      <c r="K54" s="105"/>
      <c r="L54" s="105"/>
      <c r="M54" s="172"/>
      <c r="N54" s="106"/>
      <c r="O54" s="106"/>
      <c r="P54" s="106"/>
      <c r="Q54" s="105"/>
      <c r="R54" s="105"/>
      <c r="S54" s="1"/>
      <c r="T54" s="15"/>
      <c r="U54" s="15"/>
      <c r="V54" s="15"/>
      <c r="W54" s="2"/>
      <c r="X54" s="2"/>
      <c r="Y54" s="1"/>
      <c r="Z54" s="1"/>
      <c r="AA54" s="1"/>
      <c r="AB54" s="1"/>
      <c r="AC54" s="2"/>
      <c r="AD54" s="2"/>
    </row>
    <row r="55">
      <c r="A55" s="2"/>
      <c r="B55" s="28" t="s">
        <v>287</v>
      </c>
      <c r="C55" s="69">
        <f>'+Weapon DPS'!$Q$15-Baseline!$Q$15</f>
        <v>0</v>
      </c>
      <c r="D55" s="71">
        <f t="shared" si="5"/>
        <v>0</v>
      </c>
      <c r="E55" s="2"/>
      <c r="F55" s="177"/>
      <c r="G55" s="157"/>
      <c r="H55" s="105"/>
      <c r="I55" s="105"/>
      <c r="J55" s="105"/>
      <c r="K55" s="105"/>
      <c r="L55" s="157"/>
      <c r="M55" s="157"/>
      <c r="N55" s="105"/>
      <c r="O55" s="105"/>
      <c r="P55" s="105"/>
      <c r="Q55" s="105"/>
      <c r="R55" s="1"/>
      <c r="S55" s="1"/>
      <c r="T55" s="15"/>
      <c r="U55" s="15"/>
      <c r="V55" s="15"/>
      <c r="W55" s="2"/>
      <c r="X55" s="1"/>
      <c r="Y55" s="1"/>
      <c r="Z55" s="1"/>
      <c r="AA55" s="1"/>
      <c r="AB55" s="1"/>
      <c r="AC55" s="2"/>
      <c r="AD55" s="2"/>
    </row>
    <row r="56">
      <c r="A56" s="2"/>
      <c r="B56" s="184" t="s">
        <v>289</v>
      </c>
      <c r="C56" s="185" t="str">
        <f>"( Pawn: v1: ""BDK EHP(r)"": Leech="&amp;D53&amp;", CritRating="&amp;D49&amp;", Dps="&amp;D55&amp;", Strength="&amp;D47&amp;", HasteRating="&amp;D50&amp;", MasteryRating="&amp;D52&amp;", Stamina="&amp;D48&amp;", Armor="&amp;D46&amp;", Versatility="&amp;D51&amp;" )"</f>
        <v>( Pawn: v1: "BDK EHP(r)": Leech=0, CritRating=0.0182964987851181, Dps=0, Strength=1, HasteRating=0.0594077846857155, MasteryRating=0, Stamina=0.179343390852802, Armor=0.665328209760102, Versatility=0.846259649575452 )</v>
      </c>
      <c r="D56" s="186"/>
      <c r="E56" s="2"/>
      <c r="F56" s="177"/>
      <c r="G56" s="172"/>
      <c r="H56" s="106"/>
      <c r="I56" s="106"/>
      <c r="J56" s="106"/>
      <c r="K56" s="105"/>
      <c r="L56" s="105"/>
      <c r="M56" s="172"/>
      <c r="N56" s="106"/>
      <c r="O56" s="106"/>
      <c r="P56" s="106"/>
      <c r="Q56" s="105"/>
      <c r="R56" s="105"/>
      <c r="S56" s="1"/>
      <c r="T56" s="15"/>
      <c r="U56" s="15"/>
      <c r="V56" s="15"/>
      <c r="W56" s="2"/>
      <c r="X56" s="1"/>
      <c r="Y56" s="1"/>
      <c r="Z56" s="15"/>
      <c r="AA56" s="15"/>
      <c r="AB56" s="1"/>
      <c r="AC56" s="2"/>
      <c r="AD56" s="2"/>
    </row>
    <row r="57">
      <c r="A57" s="2"/>
      <c r="B57" s="2"/>
      <c r="C57" s="2"/>
      <c r="D57" s="2"/>
      <c r="E57" s="2"/>
      <c r="F57" s="177"/>
      <c r="G57" s="172"/>
      <c r="H57" s="106"/>
      <c r="I57" s="106"/>
      <c r="J57" s="106"/>
      <c r="K57" s="105"/>
      <c r="L57" s="105"/>
      <c r="M57" s="172"/>
      <c r="N57" s="106"/>
      <c r="O57" s="106"/>
      <c r="P57" s="106"/>
      <c r="Q57" s="105"/>
      <c r="R57" s="105"/>
      <c r="S57" s="1"/>
      <c r="T57" s="15"/>
      <c r="U57" s="15"/>
      <c r="V57" s="15"/>
      <c r="W57" s="2"/>
      <c r="X57" s="2"/>
      <c r="Z57" s="15"/>
      <c r="AA57" s="15"/>
      <c r="AB57" s="1"/>
      <c r="AC57" s="2"/>
      <c r="AD57" s="2"/>
    </row>
    <row r="58">
      <c r="A58" s="2"/>
      <c r="B58" s="190" t="s">
        <v>317</v>
      </c>
      <c r="C58" s="28" t="s">
        <v>20</v>
      </c>
      <c r="D58" s="28" t="s">
        <v>23</v>
      </c>
      <c r="E58" s="2"/>
      <c r="F58" s="177"/>
      <c r="G58" s="157"/>
      <c r="H58" s="105"/>
      <c r="I58" s="105"/>
      <c r="J58" s="105"/>
      <c r="K58" s="105"/>
      <c r="L58" s="157"/>
      <c r="M58" s="157"/>
      <c r="N58" s="105"/>
      <c r="O58" s="105"/>
      <c r="P58" s="105"/>
      <c r="Q58" s="105"/>
      <c r="R58" s="2"/>
      <c r="S58" s="1"/>
      <c r="T58" s="15"/>
      <c r="U58" s="15"/>
      <c r="V58" s="15"/>
      <c r="W58" s="2"/>
      <c r="X58" s="2"/>
      <c r="Y58" s="1"/>
      <c r="Z58" s="1"/>
      <c r="AA58" s="1"/>
      <c r="AB58" s="1"/>
      <c r="AC58" s="2"/>
      <c r="AD58" s="2"/>
    </row>
    <row r="59">
      <c r="A59" s="2"/>
      <c r="B59" s="28" t="s">
        <v>12</v>
      </c>
      <c r="C59" s="69">
        <f>('+Armor'!$R$15-Baseline!$R$15)/10</f>
        <v>976.3630523</v>
      </c>
      <c r="D59" s="71">
        <f t="shared" ref="D59:D68" si="6">C59/MAX($C$59:$C$68)</f>
        <v>0.665091915</v>
      </c>
      <c r="E59" s="73"/>
      <c r="F59" s="177"/>
      <c r="G59" s="172"/>
      <c r="H59" s="106"/>
      <c r="I59" s="106"/>
      <c r="J59" s="106"/>
      <c r="K59" s="105"/>
      <c r="L59" s="105"/>
      <c r="M59" s="172"/>
      <c r="N59" s="106"/>
      <c r="O59" s="106"/>
      <c r="P59" s="106"/>
      <c r="Q59" s="105"/>
      <c r="R59" s="105"/>
      <c r="S59" s="1"/>
      <c r="T59" s="15"/>
      <c r="U59" s="15"/>
      <c r="V59" s="15"/>
      <c r="W59" s="2"/>
      <c r="X59" s="2"/>
      <c r="Y59" s="1"/>
      <c r="Z59" s="1"/>
      <c r="AA59" s="15"/>
      <c r="AB59" s="1"/>
      <c r="AC59" s="2"/>
      <c r="AD59" s="2"/>
    </row>
    <row r="60">
      <c r="A60" s="2"/>
      <c r="B60" s="28" t="s">
        <v>36</v>
      </c>
      <c r="C60" s="69">
        <f>('+Strength'!$R$15-Baseline!$R$15)/10</f>
        <v>1468.012211</v>
      </c>
      <c r="D60" s="71">
        <f t="shared" si="6"/>
        <v>1</v>
      </c>
      <c r="E60" s="73"/>
      <c r="F60" s="177"/>
      <c r="G60" s="157"/>
      <c r="H60" s="105"/>
      <c r="I60" s="105"/>
      <c r="J60" s="105"/>
      <c r="K60" s="220"/>
      <c r="L60" s="157"/>
      <c r="M60" s="157"/>
      <c r="N60" s="105"/>
      <c r="O60" s="105"/>
      <c r="P60" s="105"/>
      <c r="Q60" s="221"/>
      <c r="R60" s="1"/>
      <c r="S60" s="1"/>
      <c r="T60" s="15"/>
      <c r="U60" s="15"/>
      <c r="V60" s="15"/>
      <c r="W60" s="2"/>
      <c r="X60" s="2"/>
      <c r="Y60" s="1"/>
      <c r="Z60" s="1"/>
      <c r="AA60" s="15"/>
      <c r="AB60" s="1"/>
      <c r="AC60" s="2"/>
      <c r="AD60" s="2"/>
    </row>
    <row r="61">
      <c r="A61" s="2"/>
      <c r="B61" s="28" t="s">
        <v>40</v>
      </c>
      <c r="C61" s="69">
        <f>('+Stamina'!$R$15-Baseline!$R$15)/10</f>
        <v>263.184783</v>
      </c>
      <c r="D61" s="71">
        <f t="shared" si="6"/>
        <v>0.1792796961</v>
      </c>
      <c r="E61" s="73"/>
      <c r="F61" s="177"/>
      <c r="G61" s="157"/>
      <c r="H61" s="105"/>
      <c r="I61" s="105"/>
      <c r="J61" s="105"/>
      <c r="K61" s="220"/>
      <c r="L61" s="157"/>
      <c r="M61" s="157"/>
      <c r="N61" s="105"/>
      <c r="O61" s="105"/>
      <c r="P61" s="105"/>
      <c r="Q61" s="221"/>
      <c r="R61" s="1"/>
      <c r="S61" s="1"/>
      <c r="T61" s="15"/>
      <c r="U61" s="15"/>
      <c r="V61" s="15"/>
      <c r="W61" s="2"/>
      <c r="X61" s="2"/>
      <c r="Y61" s="1"/>
      <c r="Z61" s="1"/>
      <c r="AA61" s="15"/>
      <c r="AB61" s="1"/>
      <c r="AC61" s="2"/>
      <c r="AD61" s="2"/>
    </row>
    <row r="62">
      <c r="A62" s="2"/>
      <c r="B62" s="28" t="s">
        <v>159</v>
      </c>
      <c r="C62" s="69">
        <f>('+Critical Strike'!$R$15-Baseline!$R$15)/10</f>
        <v>28.83440528</v>
      </c>
      <c r="D62" s="71">
        <f t="shared" si="6"/>
        <v>0.01964180207</v>
      </c>
      <c r="E62" s="73"/>
      <c r="F62" s="177"/>
      <c r="G62" s="157"/>
      <c r="H62" s="105"/>
      <c r="I62" s="105"/>
      <c r="J62" s="105"/>
      <c r="K62" s="220"/>
      <c r="L62" s="157"/>
      <c r="M62" s="157"/>
      <c r="N62" s="105"/>
      <c r="O62" s="105"/>
      <c r="P62" s="105"/>
      <c r="Q62" s="221"/>
      <c r="R62" s="1"/>
      <c r="S62" s="1"/>
      <c r="T62" s="15"/>
      <c r="U62" s="15"/>
      <c r="V62" s="15"/>
      <c r="W62" s="2"/>
      <c r="X62" s="2"/>
      <c r="Y62" s="1"/>
      <c r="Z62" s="15"/>
      <c r="AA62" s="15"/>
      <c r="AB62" s="15"/>
      <c r="AC62" s="2"/>
      <c r="AD62" s="2"/>
    </row>
    <row r="63">
      <c r="A63" s="2"/>
      <c r="B63" s="28" t="s">
        <v>183</v>
      </c>
      <c r="C63" s="69">
        <f>('+Haste'!$R$15-Baseline!$R$15)/10</f>
        <v>376.5030566</v>
      </c>
      <c r="D63" s="71">
        <f t="shared" si="6"/>
        <v>0.2564713385</v>
      </c>
      <c r="E63" s="73"/>
      <c r="F63" s="177"/>
      <c r="G63" s="157"/>
      <c r="H63" s="105"/>
      <c r="I63" s="105"/>
      <c r="J63" s="105"/>
      <c r="K63" s="220"/>
      <c r="L63" s="157"/>
      <c r="M63" s="157"/>
      <c r="N63" s="105"/>
      <c r="O63" s="105"/>
      <c r="P63" s="105"/>
      <c r="Q63" s="221"/>
      <c r="R63" s="1"/>
      <c r="S63" s="1"/>
      <c r="T63" s="15"/>
      <c r="U63" s="15"/>
      <c r="V63" s="15"/>
      <c r="W63" s="2"/>
      <c r="X63" s="2"/>
      <c r="Y63" s="1"/>
      <c r="Z63" s="1"/>
      <c r="AA63" s="15"/>
      <c r="AB63" s="1"/>
      <c r="AC63" s="2"/>
      <c r="AD63" s="2"/>
    </row>
    <row r="64">
      <c r="A64" s="2"/>
      <c r="B64" s="28" t="s">
        <v>210</v>
      </c>
      <c r="C64" s="69">
        <f>('+Versatility'!$R$15-Baseline!$R$15)/10</f>
        <v>1246.930473</v>
      </c>
      <c r="D64" s="71">
        <f t="shared" si="6"/>
        <v>0.8494006141</v>
      </c>
      <c r="E64" s="73"/>
      <c r="F64" s="177"/>
      <c r="G64" s="157"/>
      <c r="H64" s="105"/>
      <c r="I64" s="105"/>
      <c r="J64" s="105"/>
      <c r="K64" s="220"/>
      <c r="L64" s="157"/>
      <c r="M64" s="157"/>
      <c r="N64" s="105"/>
      <c r="O64" s="105"/>
      <c r="P64" s="105"/>
      <c r="Q64" s="221"/>
      <c r="R64" s="1"/>
      <c r="S64" s="1"/>
      <c r="T64" s="15"/>
      <c r="U64" s="15"/>
      <c r="V64" s="15"/>
      <c r="W64" s="2"/>
      <c r="X64" s="2"/>
      <c r="Y64" s="1"/>
      <c r="Z64" s="1"/>
      <c r="AA64" s="15"/>
      <c r="AB64" s="2"/>
      <c r="AC64" s="2"/>
      <c r="AD64" s="2"/>
    </row>
    <row r="65">
      <c r="A65" s="2"/>
      <c r="B65" s="28" t="s">
        <v>232</v>
      </c>
      <c r="C65" s="69">
        <f>('+Mastery'!$R$15-Baseline!$R$15)/10</f>
        <v>0</v>
      </c>
      <c r="D65" s="71">
        <f t="shared" si="6"/>
        <v>0</v>
      </c>
      <c r="E65" s="73"/>
      <c r="F65" s="177"/>
      <c r="G65" s="172"/>
      <c r="H65" s="106"/>
      <c r="I65" s="106"/>
      <c r="J65" s="106"/>
      <c r="K65" s="105"/>
      <c r="L65" s="105"/>
      <c r="M65" s="172"/>
      <c r="N65" s="106"/>
      <c r="O65" s="106"/>
      <c r="P65" s="106"/>
      <c r="Q65" s="105"/>
      <c r="R65" s="105"/>
      <c r="S65" s="1"/>
      <c r="T65" s="15"/>
      <c r="U65" s="15"/>
      <c r="V65" s="15"/>
      <c r="W65" s="2"/>
      <c r="X65" s="2"/>
      <c r="Y65" s="1"/>
      <c r="Z65" s="1"/>
      <c r="AA65" s="15"/>
      <c r="AB65" s="2"/>
      <c r="AC65" s="2"/>
      <c r="AD65" s="2"/>
    </row>
    <row r="66">
      <c r="A66" s="2"/>
      <c r="B66" s="28" t="s">
        <v>256</v>
      </c>
      <c r="C66" s="69">
        <f>('+Leech'!$R$15-Baseline!$R$15)/10</f>
        <v>0</v>
      </c>
      <c r="D66" s="71">
        <f t="shared" si="6"/>
        <v>0</v>
      </c>
      <c r="E66" s="73"/>
      <c r="F66" s="177"/>
      <c r="G66" s="172"/>
      <c r="H66" s="106"/>
      <c r="I66" s="106"/>
      <c r="J66" s="106"/>
      <c r="K66" s="106"/>
      <c r="L66" s="172"/>
      <c r="M66" s="172"/>
      <c r="N66" s="106"/>
      <c r="O66" s="106"/>
      <c r="P66" s="106"/>
      <c r="Q66" s="106"/>
      <c r="R66" s="172"/>
      <c r="S66" s="1"/>
      <c r="T66" s="15"/>
      <c r="U66" s="15"/>
      <c r="V66" s="15"/>
      <c r="W66" s="2"/>
      <c r="X66" s="1"/>
      <c r="Y66" s="1"/>
      <c r="Z66" s="1"/>
      <c r="AA66" s="15"/>
      <c r="AB66" s="1"/>
      <c r="AC66" s="2"/>
      <c r="AD66" s="2"/>
    </row>
    <row r="67">
      <c r="A67" s="2"/>
      <c r="B67" s="28" t="s">
        <v>270</v>
      </c>
      <c r="C67" s="69">
        <f>('+Avoidance'!$R$15-Baseline!$R$15)/10</f>
        <v>0</v>
      </c>
      <c r="D67" s="71">
        <f t="shared" si="6"/>
        <v>0</v>
      </c>
      <c r="E67" s="73"/>
      <c r="F67" s="177"/>
      <c r="G67" s="172"/>
      <c r="H67" s="106"/>
      <c r="I67" s="106"/>
      <c r="J67" s="106"/>
      <c r="K67" s="105"/>
      <c r="L67" s="105"/>
      <c r="M67" s="172"/>
      <c r="N67" s="106"/>
      <c r="O67" s="106"/>
      <c r="P67" s="106"/>
      <c r="Q67" s="105"/>
      <c r="R67" s="105"/>
      <c r="S67" s="1"/>
      <c r="T67" s="15"/>
      <c r="U67" s="15"/>
      <c r="V67" s="15"/>
      <c r="W67" s="2"/>
      <c r="X67" s="2"/>
      <c r="Y67" s="1"/>
      <c r="Z67" s="1"/>
      <c r="AA67" s="15"/>
      <c r="AB67" s="1"/>
      <c r="AC67" s="2"/>
      <c r="AD67" s="2"/>
    </row>
    <row r="68">
      <c r="A68" s="2"/>
      <c r="B68" s="28" t="s">
        <v>287</v>
      </c>
      <c r="C68" s="69">
        <f>'+Weapon DPS'!$R$15-Baseline!$R$15</f>
        <v>0</v>
      </c>
      <c r="D68" s="71">
        <f t="shared" si="6"/>
        <v>0</v>
      </c>
      <c r="E68" s="73"/>
      <c r="F68" s="177"/>
      <c r="G68" s="172"/>
      <c r="H68" s="106"/>
      <c r="I68" s="106"/>
      <c r="J68" s="106"/>
      <c r="K68" s="105"/>
      <c r="L68" s="105"/>
      <c r="M68" s="172"/>
      <c r="N68" s="106"/>
      <c r="O68" s="106"/>
      <c r="P68" s="106"/>
      <c r="Q68" s="105"/>
      <c r="R68" s="105"/>
      <c r="S68" s="1"/>
      <c r="T68" s="1"/>
      <c r="U68" s="1"/>
      <c r="V68" s="1"/>
      <c r="W68" s="2"/>
      <c r="X68" s="1"/>
      <c r="Y68" s="1"/>
      <c r="Z68" s="15"/>
      <c r="AA68" s="15"/>
      <c r="AB68" s="15"/>
      <c r="AC68" s="2"/>
      <c r="AD68" s="2"/>
    </row>
    <row r="69">
      <c r="A69" s="2"/>
      <c r="B69" s="184" t="s">
        <v>289</v>
      </c>
      <c r="C69" s="185" t="str">
        <f>"( Pawn: v1: ""BDK EHP(rc)"": Leech="&amp;D66&amp;", CritRating="&amp;D62&amp;", Dps="&amp;D68&amp;", Strength="&amp;D60&amp;", HasteRating="&amp;D63&amp;", MasteryRating="&amp;D65&amp;", Stamina="&amp;D61&amp;", Armor="&amp;D59&amp;", Versatility="&amp;D64&amp;" )"</f>
        <v>( Pawn: v1: "BDK EHP(rc)": Leech=0, CritRating=0.0196418020716248, Dps=0, Strength=1, HasteRating=0.256471338540615, MasteryRating=0, Stamina=0.179279696110981, Armor=0.665091914971862, Versatility=0.849400614064432 )</v>
      </c>
      <c r="D69" s="186"/>
      <c r="E69" s="2"/>
      <c r="F69" s="177"/>
      <c r="G69" s="157"/>
      <c r="H69" s="105"/>
      <c r="I69" s="105"/>
      <c r="J69" s="105"/>
      <c r="K69" s="105"/>
      <c r="L69" s="105"/>
      <c r="M69" s="157"/>
      <c r="N69" s="105"/>
      <c r="O69" s="105"/>
      <c r="P69" s="105"/>
      <c r="Q69" s="105"/>
      <c r="R69" s="105"/>
      <c r="S69" s="1"/>
      <c r="T69" s="15"/>
      <c r="U69" s="15"/>
      <c r="V69" s="15"/>
      <c r="W69" s="2"/>
      <c r="X69" s="2"/>
      <c r="Y69" s="1"/>
      <c r="Z69" s="15"/>
      <c r="AA69" s="15"/>
      <c r="AB69" s="15"/>
      <c r="AC69" s="2"/>
      <c r="AD69" s="2"/>
    </row>
    <row r="70">
      <c r="A70" s="2"/>
      <c r="B70" s="2"/>
      <c r="C70" s="2"/>
      <c r="D70" s="2"/>
      <c r="E70" s="2"/>
      <c r="F70" s="177"/>
      <c r="G70" s="172"/>
      <c r="H70" s="106"/>
      <c r="I70" s="106"/>
      <c r="J70" s="106"/>
      <c r="K70" s="23"/>
      <c r="L70" s="23"/>
      <c r="M70" s="172"/>
      <c r="N70" s="106"/>
      <c r="O70" s="106"/>
      <c r="P70" s="106"/>
      <c r="Q70" s="23"/>
      <c r="R70" s="23"/>
      <c r="S70" s="1"/>
      <c r="T70" s="1"/>
      <c r="U70" s="15"/>
      <c r="V70" s="1"/>
      <c r="W70" s="2"/>
      <c r="X70" s="2"/>
      <c r="Y70" s="1"/>
      <c r="Z70" s="15"/>
      <c r="AA70" s="15"/>
      <c r="AB70" s="15"/>
      <c r="AC70" s="2"/>
      <c r="AD70" s="2"/>
    </row>
    <row r="71">
      <c r="A71" s="2"/>
      <c r="B71" s="190" t="s">
        <v>318</v>
      </c>
      <c r="C71" s="28" t="s">
        <v>20</v>
      </c>
      <c r="D71" s="28" t="s">
        <v>23</v>
      </c>
      <c r="E71" s="2"/>
      <c r="F71" s="177"/>
      <c r="G71" s="157"/>
      <c r="H71" s="105"/>
      <c r="I71" s="105"/>
      <c r="J71" s="105"/>
      <c r="K71" s="23"/>
      <c r="L71" s="23"/>
      <c r="M71" s="157"/>
      <c r="N71" s="105"/>
      <c r="O71" s="105"/>
      <c r="P71" s="105"/>
      <c r="Q71" s="23"/>
      <c r="R71" s="23"/>
      <c r="S71" s="1"/>
      <c r="T71" s="15"/>
      <c r="U71" s="15"/>
      <c r="V71" s="15"/>
      <c r="W71" s="2"/>
      <c r="X71" s="2"/>
      <c r="Y71" s="1"/>
      <c r="Z71" s="15"/>
      <c r="AA71" s="15"/>
      <c r="AB71" s="15"/>
      <c r="AC71" s="2"/>
      <c r="AD71" s="2"/>
    </row>
    <row r="72">
      <c r="A72" s="2"/>
      <c r="B72" s="28" t="s">
        <v>12</v>
      </c>
      <c r="C72" s="69">
        <f>('+Armor'!$S$15-Baseline!$S$15)/10</f>
        <v>1666.897276</v>
      </c>
      <c r="D72" s="71">
        <f t="shared" ref="D72:D81" si="7">C72/MAX($C$59:$C$68)</f>
        <v>1.135479163</v>
      </c>
      <c r="E72" s="2"/>
      <c r="F72" s="177"/>
      <c r="G72" s="172"/>
      <c r="H72" s="106"/>
      <c r="I72" s="106"/>
      <c r="J72" s="106"/>
      <c r="K72" s="105"/>
      <c r="L72" s="105"/>
      <c r="M72" s="172"/>
      <c r="N72" s="106"/>
      <c r="O72" s="106"/>
      <c r="P72" s="106"/>
      <c r="Q72" s="105"/>
      <c r="R72" s="105"/>
      <c r="S72" s="1"/>
      <c r="T72" s="15"/>
      <c r="U72" s="15"/>
      <c r="V72" s="15"/>
      <c r="W72" s="2"/>
      <c r="X72" s="2"/>
      <c r="Y72" s="1"/>
      <c r="Z72" s="15"/>
      <c r="AA72" s="15"/>
      <c r="AB72" s="15"/>
      <c r="AC72" s="2"/>
      <c r="AD72" s="2"/>
    </row>
    <row r="73">
      <c r="A73" s="2"/>
      <c r="B73" s="28" t="s">
        <v>36</v>
      </c>
      <c r="C73" s="69">
        <f>('+Strength'!$S$15-Baseline!$S$15)/10</f>
        <v>3711.041057</v>
      </c>
      <c r="D73" s="71">
        <f t="shared" si="7"/>
        <v>2.527936096</v>
      </c>
      <c r="E73" s="2"/>
      <c r="F73" s="177"/>
      <c r="G73" s="172"/>
      <c r="H73" s="106"/>
      <c r="I73" s="106"/>
      <c r="J73" s="106"/>
      <c r="K73" s="105"/>
      <c r="L73" s="105"/>
      <c r="M73" s="172"/>
      <c r="N73" s="106"/>
      <c r="O73" s="106"/>
      <c r="P73" s="106"/>
      <c r="Q73" s="105"/>
      <c r="R73" s="105"/>
      <c r="S73" s="1"/>
      <c r="T73" s="15"/>
      <c r="U73" s="15"/>
      <c r="V73" s="15"/>
      <c r="W73" s="2"/>
      <c r="X73" s="2"/>
      <c r="Y73" s="1"/>
      <c r="Z73" s="1"/>
      <c r="AA73" s="15"/>
      <c r="AB73" s="1"/>
      <c r="AC73" s="2"/>
      <c r="AD73" s="2"/>
    </row>
    <row r="74">
      <c r="A74" s="2"/>
      <c r="B74" s="28" t="s">
        <v>40</v>
      </c>
      <c r="C74" s="69">
        <f>('+Stamina'!$S$15-Baseline!$S$15)/10</f>
        <v>497.1098442</v>
      </c>
      <c r="D74" s="71">
        <f t="shared" si="7"/>
        <v>0.3386278674</v>
      </c>
      <c r="E74" s="2"/>
      <c r="F74" s="177"/>
      <c r="G74" s="172"/>
      <c r="H74" s="106"/>
      <c r="I74" s="106"/>
      <c r="J74" s="106"/>
      <c r="K74" s="105"/>
      <c r="L74" s="105"/>
      <c r="M74" s="172"/>
      <c r="N74" s="106"/>
      <c r="O74" s="106"/>
      <c r="P74" s="106"/>
      <c r="Q74" s="105"/>
      <c r="R74" s="105"/>
      <c r="S74" s="1"/>
      <c r="T74" s="15"/>
      <c r="U74" s="15"/>
      <c r="V74" s="15"/>
      <c r="W74" s="2"/>
      <c r="X74" s="2"/>
      <c r="Y74" s="1"/>
      <c r="Z74" s="1"/>
      <c r="AA74" s="1"/>
      <c r="AB74" s="1"/>
      <c r="AC74" s="2"/>
      <c r="AD74" s="2"/>
    </row>
    <row r="75">
      <c r="A75" s="2"/>
      <c r="B75" s="28" t="s">
        <v>159</v>
      </c>
      <c r="C75" s="69">
        <f>('+Critical Strike'!$S$15-Baseline!$S$15)/10</f>
        <v>3864.519344</v>
      </c>
      <c r="D75" s="71">
        <f t="shared" si="7"/>
        <v>2.632484468</v>
      </c>
      <c r="E75" s="2"/>
      <c r="F75" s="177"/>
      <c r="G75" s="172"/>
      <c r="H75" s="106"/>
      <c r="I75" s="106"/>
      <c r="J75" s="106"/>
      <c r="K75" s="105"/>
      <c r="L75" s="105"/>
      <c r="M75" s="172"/>
      <c r="N75" s="106"/>
      <c r="O75" s="106"/>
      <c r="P75" s="106"/>
      <c r="Q75" s="105"/>
      <c r="R75" s="105"/>
      <c r="S75" s="1"/>
      <c r="T75" s="15"/>
      <c r="U75" s="15"/>
      <c r="V75" s="15"/>
      <c r="W75" s="2"/>
      <c r="X75" s="2"/>
      <c r="Y75" s="2"/>
      <c r="Z75" s="2"/>
      <c r="AA75" s="2"/>
      <c r="AB75" s="2"/>
      <c r="AC75" s="2"/>
      <c r="AD75" s="2"/>
    </row>
    <row r="76">
      <c r="A76" s="2"/>
      <c r="B76" s="28" t="s">
        <v>183</v>
      </c>
      <c r="C76" s="69">
        <f>('+Haste'!$S$15-Baseline!$S$15)/10</f>
        <v>1383.358213</v>
      </c>
      <c r="D76" s="71">
        <f t="shared" si="7"/>
        <v>0.9423342687</v>
      </c>
      <c r="E76" s="2"/>
      <c r="F76" s="177"/>
      <c r="G76" s="157"/>
      <c r="H76" s="105"/>
      <c r="I76" s="105"/>
      <c r="J76" s="105"/>
      <c r="K76" s="23"/>
      <c r="L76" s="23"/>
      <c r="M76" s="157"/>
      <c r="N76" s="105"/>
      <c r="O76" s="105"/>
      <c r="P76" s="105"/>
      <c r="Q76" s="23"/>
      <c r="R76" s="23"/>
      <c r="S76" s="1"/>
      <c r="T76" s="15"/>
      <c r="U76" s="15"/>
      <c r="V76" s="15"/>
      <c r="W76" s="2"/>
      <c r="X76" s="2"/>
      <c r="Y76" s="2"/>
      <c r="Z76" s="2"/>
      <c r="AA76" s="2"/>
      <c r="AB76" s="2"/>
      <c r="AC76" s="2"/>
      <c r="AD76" s="2"/>
    </row>
    <row r="77">
      <c r="A77" s="2"/>
      <c r="B77" s="28" t="s">
        <v>210</v>
      </c>
      <c r="C77" s="69">
        <f>('+Versatility'!$S$15-Baseline!$S$15)/10</f>
        <v>2346.897834</v>
      </c>
      <c r="D77" s="71">
        <f t="shared" si="7"/>
        <v>1.598690949</v>
      </c>
      <c r="E77" s="2"/>
      <c r="F77" s="177"/>
      <c r="G77" s="157"/>
      <c r="H77" s="105"/>
      <c r="I77" s="105"/>
      <c r="J77" s="105"/>
      <c r="K77" s="23"/>
      <c r="L77" s="23"/>
      <c r="M77" s="157"/>
      <c r="N77" s="105"/>
      <c r="O77" s="105"/>
      <c r="P77" s="105"/>
      <c r="Q77" s="23"/>
      <c r="R77" s="23"/>
      <c r="S77" s="1"/>
      <c r="T77" s="1"/>
      <c r="U77" s="1"/>
      <c r="V77" s="1"/>
      <c r="W77" s="2"/>
      <c r="X77" s="2"/>
      <c r="Y77" s="2"/>
      <c r="Z77" s="2"/>
      <c r="AA77" s="2"/>
      <c r="AB77" s="2"/>
      <c r="AC77" s="2"/>
      <c r="AD77" s="2"/>
    </row>
    <row r="78">
      <c r="A78" s="2"/>
      <c r="B78" s="28" t="s">
        <v>232</v>
      </c>
      <c r="C78" s="69">
        <f>('+Mastery'!$S$15-Baseline!$S$15)/10</f>
        <v>0.0000000007450580597</v>
      </c>
      <c r="D78" s="71">
        <f t="shared" si="7"/>
        <v>0</v>
      </c>
      <c r="E78" s="2"/>
      <c r="F78" s="177"/>
      <c r="G78" s="105"/>
      <c r="H78" s="105"/>
      <c r="I78" s="105"/>
      <c r="J78" s="105"/>
      <c r="K78" s="105"/>
      <c r="L78" s="105"/>
      <c r="M78" s="157"/>
      <c r="N78" s="105"/>
      <c r="O78" s="105"/>
      <c r="P78" s="105"/>
      <c r="Q78" s="105"/>
      <c r="R78" s="105"/>
      <c r="S78" s="1"/>
      <c r="T78" s="1"/>
      <c r="U78" s="1"/>
      <c r="V78" s="1"/>
      <c r="W78" s="2"/>
      <c r="X78" s="2"/>
      <c r="Y78" s="1"/>
      <c r="Z78" s="2"/>
      <c r="AA78" s="1"/>
      <c r="AB78" s="2"/>
      <c r="AC78" s="2"/>
      <c r="AD78" s="2"/>
    </row>
    <row r="79">
      <c r="A79" s="2"/>
      <c r="B79" s="28" t="s">
        <v>256</v>
      </c>
      <c r="C79" s="69">
        <f>('+Leech'!$S$15-Baseline!$S$15)/10</f>
        <v>0.0000000007450580597</v>
      </c>
      <c r="D79" s="71">
        <f t="shared" si="7"/>
        <v>0</v>
      </c>
      <c r="E79" s="2"/>
      <c r="F79" s="177"/>
      <c r="G79" s="172"/>
      <c r="H79" s="106"/>
      <c r="I79" s="106"/>
      <c r="J79" s="106"/>
      <c r="K79" s="23"/>
      <c r="L79" s="23"/>
      <c r="M79" s="172"/>
      <c r="N79" s="106"/>
      <c r="O79" s="106"/>
      <c r="P79" s="106"/>
      <c r="Q79" s="23"/>
      <c r="R79" s="23"/>
      <c r="S79" s="1"/>
      <c r="T79" s="1"/>
      <c r="U79" s="1"/>
      <c r="V79" s="1"/>
      <c r="W79" s="2"/>
      <c r="X79" s="2"/>
      <c r="Y79" s="1"/>
      <c r="Z79" s="2"/>
      <c r="AA79" s="2"/>
      <c r="AB79" s="2"/>
      <c r="AC79" s="2"/>
      <c r="AD79" s="2"/>
    </row>
    <row r="80">
      <c r="A80" s="2"/>
      <c r="B80" s="28" t="s">
        <v>270</v>
      </c>
      <c r="C80" s="69">
        <f>('+Avoidance'!$S$15-Baseline!$S$15)/10</f>
        <v>0.0000000007450580597</v>
      </c>
      <c r="D80" s="71">
        <f t="shared" si="7"/>
        <v>0</v>
      </c>
      <c r="E80" s="2"/>
      <c r="F80" s="177"/>
      <c r="G80" s="157"/>
      <c r="H80" s="105"/>
      <c r="I80" s="105"/>
      <c r="J80" s="105"/>
      <c r="K80" s="105"/>
      <c r="L80" s="105"/>
      <c r="M80" s="157"/>
      <c r="N80" s="105"/>
      <c r="O80" s="105"/>
      <c r="P80" s="105"/>
      <c r="Q80" s="105"/>
      <c r="R80" s="105"/>
      <c r="S80" s="1"/>
      <c r="T80" s="1"/>
      <c r="U80" s="1"/>
      <c r="V80" s="1"/>
      <c r="W80" s="2"/>
      <c r="X80" s="2"/>
      <c r="Y80" s="1"/>
      <c r="Z80" s="73"/>
      <c r="AA80" s="2"/>
      <c r="AB80" s="2"/>
      <c r="AC80" s="2"/>
      <c r="AD80" s="2"/>
    </row>
    <row r="81">
      <c r="A81" s="2"/>
      <c r="B81" s="28" t="s">
        <v>287</v>
      </c>
      <c r="C81" s="69">
        <f>'+Weapon DPS'!$S$15-Baseline!$S$15</f>
        <v>0.000000007450580597</v>
      </c>
      <c r="D81" s="71">
        <f t="shared" si="7"/>
        <v>0</v>
      </c>
      <c r="E81" s="2"/>
      <c r="F81" s="223"/>
      <c r="G81" s="172"/>
      <c r="H81" s="106"/>
      <c r="I81" s="106"/>
      <c r="J81" s="106"/>
      <c r="K81" s="105"/>
      <c r="L81" s="105"/>
      <c r="M81" s="172"/>
      <c r="N81" s="106"/>
      <c r="O81" s="106"/>
      <c r="P81" s="106"/>
      <c r="Q81" s="105"/>
      <c r="R81" s="105"/>
      <c r="S81" s="1"/>
      <c r="T81" s="1"/>
      <c r="U81" s="1"/>
      <c r="V81" s="1"/>
      <c r="W81" s="2"/>
      <c r="X81" s="2"/>
      <c r="Y81" s="1"/>
      <c r="Z81" s="73"/>
      <c r="AA81" s="2"/>
      <c r="AB81" s="2"/>
      <c r="AC81" s="2"/>
      <c r="AD81" s="2"/>
    </row>
    <row r="82">
      <c r="A82" s="2"/>
      <c r="B82" s="184" t="s">
        <v>289</v>
      </c>
      <c r="C82" s="185" t="str">
        <f>"( Pawn: v1: ""BDK EHP(u)"": Leech="&amp;D79&amp;", CritRating="&amp;D75&amp;", Dps="&amp;D81&amp;", Strength="&amp;D73&amp;", HasteRating="&amp;D76&amp;", MasteryRating="&amp;D78&amp;", Stamina="&amp;D74&amp;", Armor="&amp;D72&amp;", Versatility="&amp;D77&amp;" )"</f>
        <v>( Pawn: v1: "BDK EHP(u)": Leech=5.07528516668376E-13, CritRating=2.63248446834645, Dps=5.07528516668376E-12, Strength=2.52793609627272, HasteRating=0.942334268729793, MasteryRating=5.07528516668376E-13, Stamina=0.338627867387225, Armor=1.13547916258499, Versatility=1.59869094890837 )</v>
      </c>
      <c r="D82" s="186"/>
      <c r="E82" s="2"/>
      <c r="F82" s="223"/>
      <c r="G82" s="157"/>
      <c r="H82" s="105"/>
      <c r="I82" s="105"/>
      <c r="J82" s="105"/>
      <c r="K82" s="23"/>
      <c r="L82" s="23"/>
      <c r="M82" s="157"/>
      <c r="N82" s="105"/>
      <c r="O82" s="105"/>
      <c r="P82" s="105"/>
      <c r="Q82" s="105"/>
      <c r="R82" s="105"/>
      <c r="S82" s="1"/>
      <c r="T82" s="15"/>
      <c r="U82" s="15"/>
      <c r="V82" s="15"/>
      <c r="W82" s="2"/>
      <c r="X82" s="2"/>
      <c r="Y82" s="1"/>
      <c r="Z82" s="2"/>
      <c r="AA82" s="2"/>
      <c r="AB82" s="2"/>
      <c r="AC82" s="2"/>
      <c r="AD82" s="2"/>
    </row>
    <row r="83">
      <c r="A83" s="2"/>
      <c r="B83" s="2"/>
      <c r="C83" s="2"/>
      <c r="D83" s="2"/>
      <c r="E83" s="2"/>
      <c r="F83" s="223"/>
      <c r="G83" s="157"/>
      <c r="H83" s="105"/>
      <c r="I83" s="105"/>
      <c r="J83" s="105"/>
      <c r="K83" s="105"/>
      <c r="L83" s="105"/>
      <c r="M83" s="157"/>
      <c r="N83" s="105"/>
      <c r="O83" s="105"/>
      <c r="P83" s="105"/>
      <c r="Q83" s="105"/>
      <c r="R83" s="105"/>
      <c r="S83" s="1"/>
      <c r="T83" s="1"/>
      <c r="U83" s="1"/>
      <c r="V83" s="221"/>
      <c r="W83" s="2"/>
      <c r="X83" s="2"/>
      <c r="Y83" s="1"/>
      <c r="Z83" s="2"/>
      <c r="AA83" s="2"/>
      <c r="AB83" s="2"/>
      <c r="AC83" s="2"/>
      <c r="AD83" s="2"/>
    </row>
    <row r="84">
      <c r="A84" s="2"/>
      <c r="B84" s="232" t="s">
        <v>274</v>
      </c>
      <c r="C84" s="2"/>
      <c r="D84" s="2"/>
      <c r="E84" s="2"/>
      <c r="F84" s="223"/>
      <c r="G84" s="172"/>
      <c r="H84" s="106"/>
      <c r="I84" s="106"/>
      <c r="J84" s="106"/>
      <c r="K84" s="105"/>
      <c r="L84" s="105"/>
      <c r="M84" s="157"/>
      <c r="N84" s="105"/>
      <c r="O84" s="105"/>
      <c r="P84" s="105"/>
      <c r="Q84" s="105"/>
      <c r="R84" s="105"/>
      <c r="S84" s="1"/>
      <c r="T84" s="1"/>
      <c r="U84" s="1"/>
      <c r="V84" s="1"/>
      <c r="W84" s="1"/>
      <c r="X84" s="2"/>
      <c r="Y84" s="1"/>
      <c r="Z84" s="2"/>
      <c r="AA84" s="2"/>
      <c r="AB84" s="2"/>
      <c r="AC84" s="2"/>
      <c r="AD84" s="2"/>
    </row>
    <row r="85">
      <c r="A85" s="2"/>
      <c r="B85" s="28" t="s">
        <v>275</v>
      </c>
      <c r="C85" s="234"/>
      <c r="D85" s="2"/>
      <c r="E85" s="2"/>
      <c r="F85" s="223"/>
      <c r="G85" s="172"/>
      <c r="H85" s="106"/>
      <c r="I85" s="106"/>
      <c r="J85" s="106"/>
      <c r="K85" s="23"/>
      <c r="L85" s="23"/>
      <c r="M85" s="172"/>
      <c r="N85" s="106"/>
      <c r="O85" s="106"/>
      <c r="P85" s="106"/>
      <c r="Q85" s="23"/>
      <c r="R85" s="23"/>
      <c r="S85" s="1"/>
      <c r="T85" s="1"/>
      <c r="U85" s="1"/>
      <c r="V85" s="1"/>
      <c r="W85" s="2"/>
      <c r="X85" s="2"/>
      <c r="Y85" s="1"/>
      <c r="Z85" s="2"/>
      <c r="AA85" s="2"/>
      <c r="AB85" s="2"/>
      <c r="AC85" s="2"/>
      <c r="AD85" s="2"/>
    </row>
    <row r="86">
      <c r="A86" s="2"/>
      <c r="B86" s="29" t="s">
        <v>320</v>
      </c>
      <c r="C86" s="235"/>
      <c r="D86" s="2"/>
      <c r="E86" s="2"/>
      <c r="F86" s="223"/>
      <c r="G86" s="172"/>
      <c r="H86" s="106"/>
      <c r="I86" s="106"/>
      <c r="J86" s="106"/>
      <c r="K86" s="105"/>
      <c r="L86" s="105"/>
      <c r="M86" s="172"/>
      <c r="N86" s="106"/>
      <c r="O86" s="106"/>
      <c r="P86" s="106"/>
      <c r="Q86" s="105"/>
      <c r="R86" s="105"/>
      <c r="S86" s="1"/>
      <c r="T86" s="1"/>
      <c r="U86" s="1"/>
      <c r="V86" s="1"/>
      <c r="W86" s="2"/>
      <c r="X86" s="2"/>
      <c r="Y86" s="1"/>
      <c r="Z86" s="2"/>
      <c r="AA86" s="2"/>
      <c r="AB86" s="2"/>
      <c r="AC86" s="2"/>
      <c r="AD86" s="2"/>
    </row>
    <row r="87">
      <c r="A87" s="2"/>
      <c r="B87" s="29" t="s">
        <v>322</v>
      </c>
      <c r="C87" s="236"/>
      <c r="D87" s="2"/>
      <c r="E87" s="2"/>
      <c r="F87" s="223"/>
      <c r="G87" s="172"/>
      <c r="H87" s="106"/>
      <c r="I87" s="106"/>
      <c r="J87" s="106"/>
      <c r="K87" s="105"/>
      <c r="L87" s="105"/>
      <c r="M87" s="172"/>
      <c r="N87" s="106"/>
      <c r="O87" s="106"/>
      <c r="P87" s="106"/>
      <c r="Q87" s="105"/>
      <c r="R87" s="105"/>
      <c r="S87" s="1"/>
      <c r="T87" s="1"/>
      <c r="U87" s="1"/>
      <c r="V87" s="1"/>
      <c r="W87" s="2"/>
      <c r="X87" s="2"/>
      <c r="Y87" s="1"/>
      <c r="Z87" s="2"/>
      <c r="AA87" s="2"/>
      <c r="AB87" s="2"/>
      <c r="AC87" s="2"/>
      <c r="AD87" s="2"/>
    </row>
    <row r="88">
      <c r="A88" s="2"/>
      <c r="B88" s="29" t="s">
        <v>323</v>
      </c>
      <c r="C88" s="238"/>
      <c r="D88" s="2"/>
      <c r="E88" s="2"/>
      <c r="F88" s="223"/>
      <c r="G88" s="172"/>
      <c r="H88" s="106"/>
      <c r="I88" s="106"/>
      <c r="J88" s="106"/>
      <c r="K88" s="23"/>
      <c r="L88" s="23"/>
      <c r="M88" s="172"/>
      <c r="N88" s="106"/>
      <c r="O88" s="106"/>
      <c r="P88" s="106"/>
      <c r="Q88" s="23"/>
      <c r="R88" s="23"/>
      <c r="S88" s="1"/>
      <c r="T88" s="1"/>
      <c r="U88" s="1"/>
      <c r="V88" s="1"/>
      <c r="W88" s="2"/>
      <c r="X88" s="2"/>
      <c r="Y88" s="1"/>
      <c r="Z88" s="2"/>
      <c r="AA88" s="2"/>
      <c r="AB88" s="2"/>
      <c r="AC88" s="2"/>
      <c r="AD88" s="2"/>
    </row>
    <row r="89">
      <c r="A89" s="2"/>
      <c r="B89" s="29" t="s">
        <v>324</v>
      </c>
      <c r="C89" s="27"/>
      <c r="D89" s="2"/>
      <c r="E89" s="2"/>
      <c r="F89" s="223"/>
      <c r="G89" s="157"/>
      <c r="H89" s="105"/>
      <c r="I89" s="105"/>
      <c r="J89" s="105"/>
      <c r="K89" s="23"/>
      <c r="L89" s="23"/>
      <c r="M89" s="157"/>
      <c r="N89" s="105"/>
      <c r="O89" s="105"/>
      <c r="P89" s="105"/>
      <c r="Q89" s="23"/>
      <c r="R89" s="23"/>
      <c r="S89" s="1"/>
      <c r="T89" s="1"/>
      <c r="U89" s="1"/>
      <c r="V89" s="1"/>
      <c r="W89" s="2"/>
      <c r="X89" s="2"/>
      <c r="Y89" s="1"/>
      <c r="Z89" s="2"/>
      <c r="AA89" s="2"/>
      <c r="AB89" s="1"/>
      <c r="AC89" s="2"/>
      <c r="AD89" s="2"/>
    </row>
    <row r="90">
      <c r="A90" s="2"/>
      <c r="B90" s="2"/>
      <c r="C90" s="2"/>
      <c r="D90" s="2"/>
      <c r="E90" s="2"/>
      <c r="F90" s="223"/>
      <c r="G90" s="157"/>
      <c r="H90" s="105"/>
      <c r="I90" s="105"/>
      <c r="J90" s="105"/>
      <c r="K90" s="23"/>
      <c r="L90" s="23"/>
      <c r="M90" s="157"/>
      <c r="N90" s="105"/>
      <c r="O90" s="105"/>
      <c r="P90" s="105"/>
      <c r="Q90" s="23"/>
      <c r="R90" s="23"/>
      <c r="S90" s="1"/>
      <c r="T90" s="1"/>
      <c r="U90" s="1"/>
      <c r="V90" s="1"/>
      <c r="W90" s="2"/>
      <c r="X90" s="2"/>
      <c r="Y90" s="1"/>
      <c r="Z90" s="2"/>
      <c r="AA90" s="2"/>
      <c r="AB90" s="2"/>
      <c r="AC90" s="2"/>
      <c r="AD90" s="2"/>
    </row>
    <row r="91">
      <c r="A91" s="2"/>
      <c r="B91" s="2"/>
      <c r="C91" s="2"/>
      <c r="D91" s="2"/>
      <c r="E91" s="2"/>
      <c r="F91" s="223"/>
      <c r="G91" s="172"/>
      <c r="H91" s="106"/>
      <c r="I91" s="106"/>
      <c r="J91" s="106"/>
      <c r="K91" s="105"/>
      <c r="L91" s="105"/>
      <c r="M91" s="172"/>
      <c r="N91" s="106"/>
      <c r="O91" s="106"/>
      <c r="P91" s="106"/>
      <c r="Q91" s="105"/>
      <c r="R91" s="105"/>
      <c r="S91" s="1"/>
      <c r="T91" s="1"/>
      <c r="U91" s="1"/>
      <c r="V91" s="1"/>
      <c r="W91" s="2"/>
      <c r="X91" s="2"/>
      <c r="Y91" s="1"/>
      <c r="Z91" s="73"/>
      <c r="AA91" s="2"/>
      <c r="AB91" s="2"/>
      <c r="AC91" s="2"/>
      <c r="AD91" s="2"/>
    </row>
    <row r="92">
      <c r="A92" s="2"/>
      <c r="B92" s="2"/>
      <c r="C92" s="2"/>
      <c r="D92" s="2"/>
      <c r="E92" s="2"/>
      <c r="F92" s="223"/>
      <c r="G92" s="157"/>
      <c r="H92" s="105"/>
      <c r="I92" s="105"/>
      <c r="J92" s="105"/>
      <c r="K92" s="105"/>
      <c r="L92" s="105"/>
      <c r="M92" s="157"/>
      <c r="N92" s="105"/>
      <c r="O92" s="105"/>
      <c r="P92" s="105"/>
      <c r="Q92" s="105"/>
      <c r="R92" s="105"/>
      <c r="S92" s="1"/>
      <c r="T92" s="2"/>
      <c r="U92" s="2"/>
      <c r="V92" s="2"/>
      <c r="W92" s="2"/>
      <c r="X92" s="2"/>
      <c r="Y92" s="1"/>
      <c r="Z92" s="2"/>
      <c r="AA92" s="2"/>
      <c r="AB92" s="2"/>
      <c r="AC92" s="2"/>
      <c r="AD92" s="2"/>
    </row>
    <row r="93">
      <c r="A93" s="2"/>
      <c r="B93" s="2"/>
      <c r="C93" s="2"/>
      <c r="D93" s="2"/>
      <c r="E93" s="242"/>
      <c r="F93" s="223"/>
      <c r="G93" s="157"/>
      <c r="H93" s="105"/>
      <c r="I93" s="105"/>
      <c r="J93" s="105"/>
      <c r="K93" s="105"/>
      <c r="L93" s="105"/>
      <c r="M93" s="157"/>
      <c r="N93" s="105"/>
      <c r="O93" s="105"/>
      <c r="P93" s="105"/>
      <c r="Q93" s="105"/>
      <c r="R93" s="105"/>
      <c r="S93" s="2"/>
      <c r="T93" s="2"/>
      <c r="U93" s="2"/>
      <c r="V93" s="2"/>
      <c r="W93" s="2"/>
      <c r="X93" s="2"/>
      <c r="Y93" s="1"/>
      <c r="Z93" s="1"/>
      <c r="AA93" s="2"/>
      <c r="AB93" s="2"/>
      <c r="AC93" s="2"/>
      <c r="AD93" s="2"/>
    </row>
    <row r="94">
      <c r="A94" s="2"/>
      <c r="B94" s="2"/>
      <c r="C94" s="2"/>
      <c r="D94" s="2"/>
      <c r="E94" s="2"/>
      <c r="F94" s="223"/>
      <c r="G94" s="157"/>
      <c r="H94" s="105"/>
      <c r="I94" s="105"/>
      <c r="J94" s="105"/>
      <c r="K94" s="23"/>
      <c r="L94" s="23"/>
      <c r="M94" s="157"/>
      <c r="N94" s="105"/>
      <c r="O94" s="105"/>
      <c r="P94" s="105"/>
      <c r="Q94" s="23"/>
      <c r="R94" s="23"/>
      <c r="S94" s="1"/>
      <c r="T94" s="1"/>
      <c r="U94" s="1"/>
      <c r="V94" s="1"/>
      <c r="W94" s="2"/>
      <c r="X94" s="2"/>
      <c r="Y94" s="1"/>
      <c r="Z94" s="73"/>
      <c r="AA94" s="2"/>
      <c r="AB94" s="2"/>
      <c r="AC94" s="2"/>
      <c r="AD94" s="2"/>
    </row>
    <row r="95">
      <c r="A95" s="2"/>
      <c r="B95" s="2"/>
      <c r="C95" s="2"/>
      <c r="D95" s="2"/>
      <c r="E95" s="2"/>
      <c r="F95" s="243"/>
      <c r="G95" s="172"/>
      <c r="H95" s="106"/>
      <c r="I95" s="106"/>
      <c r="J95" s="106"/>
      <c r="K95" s="105"/>
      <c r="L95" s="105"/>
      <c r="M95" s="172"/>
      <c r="N95" s="106"/>
      <c r="O95" s="106"/>
      <c r="P95" s="106"/>
      <c r="Q95" s="105"/>
      <c r="R95" s="105"/>
      <c r="S95" s="1"/>
      <c r="T95" s="1"/>
      <c r="U95" s="1"/>
      <c r="V95" s="1"/>
      <c r="W95" s="2"/>
      <c r="X95" s="2"/>
      <c r="Y95" s="1"/>
      <c r="Z95" s="2"/>
      <c r="AA95" s="2"/>
      <c r="AB95" s="2"/>
      <c r="AC95" s="2"/>
      <c r="AD95" s="2"/>
    </row>
    <row r="96">
      <c r="A96" s="2"/>
      <c r="B96" s="2"/>
      <c r="C96" s="2"/>
      <c r="D96" s="2"/>
      <c r="E96" s="2"/>
      <c r="F96" s="223"/>
      <c r="G96" s="172"/>
      <c r="H96" s="106"/>
      <c r="I96" s="106"/>
      <c r="J96" s="106"/>
      <c r="K96" s="105"/>
      <c r="L96" s="105"/>
      <c r="M96" s="172"/>
      <c r="N96" s="106"/>
      <c r="O96" s="106"/>
      <c r="P96" s="106"/>
      <c r="Q96" s="105"/>
      <c r="R96" s="105"/>
      <c r="S96" s="1"/>
      <c r="T96" s="1"/>
      <c r="U96" s="1"/>
      <c r="V96" s="1"/>
      <c r="W96" s="2"/>
      <c r="X96" s="2"/>
      <c r="Y96" s="1"/>
      <c r="Z96" s="2"/>
      <c r="AA96" s="2"/>
      <c r="AB96" s="2"/>
      <c r="AC96" s="2"/>
      <c r="AD96" s="2"/>
    </row>
    <row r="97">
      <c r="A97" s="2"/>
      <c r="B97" s="2"/>
      <c r="C97" s="2"/>
      <c r="D97" s="2"/>
      <c r="E97" s="2"/>
      <c r="F97" s="223"/>
      <c r="G97" s="172"/>
      <c r="H97" s="106"/>
      <c r="I97" s="106"/>
      <c r="J97" s="106"/>
      <c r="K97" s="23"/>
      <c r="L97" s="23"/>
      <c r="M97" s="172"/>
      <c r="N97" s="106"/>
      <c r="O97" s="106"/>
      <c r="P97" s="106"/>
      <c r="Q97" s="23"/>
      <c r="R97" s="23"/>
      <c r="S97" s="1"/>
      <c r="T97" s="1"/>
      <c r="U97" s="1"/>
      <c r="V97" s="1"/>
      <c r="W97" s="2"/>
      <c r="X97" s="2"/>
      <c r="Y97" s="1"/>
      <c r="Z97" s="2"/>
      <c r="AA97" s="2"/>
      <c r="AB97" s="2"/>
      <c r="AC97" s="2"/>
      <c r="AD97" s="2"/>
    </row>
    <row r="98">
      <c r="A98" s="2"/>
      <c r="B98" s="2"/>
      <c r="C98" s="2"/>
      <c r="D98" s="2"/>
      <c r="E98" s="2"/>
      <c r="F98" s="223"/>
      <c r="G98" s="157"/>
      <c r="H98" s="105"/>
      <c r="I98" s="105"/>
      <c r="J98" s="105"/>
      <c r="K98" s="105"/>
      <c r="L98" s="105"/>
      <c r="M98" s="157"/>
      <c r="N98" s="105"/>
      <c r="O98" s="105"/>
      <c r="P98" s="105"/>
      <c r="Q98" s="105"/>
      <c r="R98" s="105"/>
      <c r="S98" s="1"/>
      <c r="T98" s="1"/>
      <c r="U98" s="1"/>
      <c r="V98" s="1"/>
      <c r="W98" s="2"/>
      <c r="X98" s="2"/>
      <c r="Y98" s="1"/>
      <c r="Z98" s="2"/>
      <c r="AA98" s="2"/>
      <c r="AB98" s="2"/>
      <c r="AC98" s="2"/>
      <c r="AD98" s="2"/>
    </row>
    <row r="99">
      <c r="A99" s="2"/>
      <c r="B99" s="2"/>
      <c r="C99" s="2"/>
      <c r="D99" s="2"/>
      <c r="E99" s="2"/>
      <c r="F99" s="223"/>
      <c r="G99" s="157"/>
      <c r="H99" s="105"/>
      <c r="I99" s="105"/>
      <c r="J99" s="105"/>
      <c r="K99" s="23"/>
      <c r="L99" s="23"/>
      <c r="M99" s="157"/>
      <c r="N99" s="105"/>
      <c r="O99" s="105"/>
      <c r="P99" s="105"/>
      <c r="Q99" s="23"/>
      <c r="R99" s="23"/>
      <c r="S99" s="1"/>
      <c r="T99" s="1"/>
      <c r="U99" s="1"/>
      <c r="V99" s="1"/>
      <c r="W99" s="2"/>
      <c r="X99" s="2"/>
      <c r="Y99" s="1"/>
      <c r="Z99" s="2"/>
      <c r="AA99" s="2"/>
      <c r="AB99" s="2"/>
      <c r="AC99" s="2"/>
      <c r="AD99" s="2"/>
    </row>
    <row r="100">
      <c r="A100" s="2"/>
      <c r="B100" s="2"/>
      <c r="C100" s="2"/>
      <c r="D100" s="2"/>
      <c r="E100" s="2"/>
      <c r="F100" s="223"/>
      <c r="G100" s="157"/>
      <c r="H100" s="244"/>
      <c r="I100" s="105"/>
      <c r="J100" s="245"/>
      <c r="K100" s="106"/>
      <c r="L100" s="157"/>
      <c r="M100" s="157"/>
      <c r="N100" s="244"/>
      <c r="O100" s="105"/>
      <c r="P100" s="245"/>
      <c r="Q100" s="106"/>
      <c r="R100" s="157"/>
      <c r="S100" s="1"/>
      <c r="T100" s="1"/>
      <c r="U100" s="1"/>
      <c r="V100" s="1"/>
      <c r="W100" s="2"/>
      <c r="X100" s="2"/>
      <c r="Y100" s="1"/>
      <c r="Z100" s="2"/>
      <c r="AA100" s="2"/>
      <c r="AB100" s="2"/>
      <c r="AC100" s="2"/>
      <c r="AD100" s="2"/>
    </row>
    <row r="101">
      <c r="A101" s="2"/>
      <c r="B101" s="2"/>
      <c r="C101" s="2"/>
      <c r="D101" s="2"/>
      <c r="E101" s="2"/>
      <c r="F101" s="223"/>
      <c r="G101" s="157"/>
      <c r="H101" s="105"/>
      <c r="I101" s="105"/>
      <c r="J101" s="105"/>
      <c r="K101" s="23"/>
      <c r="L101" s="23"/>
      <c r="M101" s="157"/>
      <c r="N101" s="105"/>
      <c r="O101" s="105"/>
      <c r="P101" s="105"/>
      <c r="Q101" s="23"/>
      <c r="R101" s="23"/>
      <c r="S101" s="1"/>
      <c r="T101" s="1"/>
      <c r="U101" s="1"/>
      <c r="V101" s="1"/>
      <c r="W101" s="1"/>
      <c r="X101" s="2"/>
      <c r="Y101" s="1"/>
      <c r="Z101" s="2"/>
      <c r="AA101" s="210"/>
      <c r="AB101" s="2"/>
      <c r="AC101" s="2"/>
      <c r="AD101" s="2"/>
    </row>
    <row r="102">
      <c r="A102" s="2"/>
      <c r="B102" s="2"/>
      <c r="C102" s="2"/>
      <c r="D102" s="2"/>
      <c r="E102" s="2"/>
      <c r="F102" s="246"/>
      <c r="G102" s="157"/>
      <c r="H102" s="105"/>
      <c r="I102" s="105"/>
      <c r="J102" s="105"/>
      <c r="K102" s="105"/>
      <c r="L102" s="105"/>
      <c r="M102" s="157"/>
      <c r="N102" s="105"/>
      <c r="O102" s="105"/>
      <c r="P102" s="105"/>
      <c r="Q102" s="105"/>
      <c r="R102" s="105"/>
      <c r="S102" s="1"/>
      <c r="T102" s="1"/>
      <c r="U102" s="1"/>
      <c r="V102" s="1"/>
      <c r="W102" s="2"/>
      <c r="X102" s="2"/>
      <c r="Y102" s="1"/>
      <c r="Z102" s="2"/>
      <c r="AA102" s="2"/>
      <c r="AB102" s="2"/>
      <c r="AC102" s="2"/>
      <c r="AD102" s="2"/>
    </row>
    <row r="103">
      <c r="A103" s="2"/>
      <c r="B103" s="2"/>
      <c r="C103" s="2"/>
      <c r="D103" s="2"/>
      <c r="E103" s="2"/>
      <c r="F103" s="246"/>
      <c r="G103" s="157"/>
      <c r="H103" s="105"/>
      <c r="I103" s="105"/>
      <c r="J103" s="105"/>
      <c r="K103" s="23"/>
      <c r="L103" s="23"/>
      <c r="M103" s="157"/>
      <c r="N103" s="105"/>
      <c r="O103" s="105"/>
      <c r="P103" s="105"/>
      <c r="Q103" s="23"/>
      <c r="R103" s="23"/>
      <c r="S103" s="1"/>
      <c r="T103" s="1"/>
      <c r="U103" s="1"/>
      <c r="V103" s="1"/>
      <c r="W103" s="2"/>
      <c r="X103" s="2"/>
      <c r="Y103" s="1"/>
      <c r="Z103" s="2"/>
      <c r="AA103" s="2"/>
      <c r="AB103" s="2"/>
      <c r="AC103" s="2"/>
      <c r="AD103" s="2"/>
    </row>
    <row r="104">
      <c r="A104" s="2"/>
      <c r="B104" s="2"/>
      <c r="C104" s="2"/>
      <c r="D104" s="2"/>
      <c r="E104" s="242"/>
      <c r="F104" s="246"/>
      <c r="G104" s="157"/>
      <c r="H104" s="105"/>
      <c r="I104" s="105"/>
      <c r="J104" s="105"/>
      <c r="K104" s="23"/>
      <c r="L104" s="23"/>
      <c r="M104" s="157"/>
      <c r="N104" s="105"/>
      <c r="O104" s="105"/>
      <c r="P104" s="105"/>
      <c r="Q104" s="23"/>
      <c r="R104" s="23"/>
      <c r="S104" s="1"/>
      <c r="T104" s="1"/>
      <c r="U104" s="1"/>
      <c r="V104" s="1"/>
      <c r="W104" s="2"/>
      <c r="X104" s="2"/>
      <c r="Y104" s="1"/>
      <c r="Z104" s="2"/>
      <c r="AA104" s="2"/>
      <c r="AB104" s="2"/>
      <c r="AC104" s="2"/>
      <c r="AD104" s="2"/>
    </row>
    <row r="105">
      <c r="A105" s="2"/>
      <c r="B105" s="2"/>
      <c r="C105" s="2"/>
      <c r="D105" s="2"/>
      <c r="E105" s="2"/>
      <c r="F105" s="246"/>
      <c r="G105" s="157"/>
      <c r="H105" s="105"/>
      <c r="I105" s="105"/>
      <c r="J105" s="105"/>
      <c r="K105" s="23"/>
      <c r="L105" s="23"/>
      <c r="M105" s="157"/>
      <c r="N105" s="105"/>
      <c r="O105" s="105"/>
      <c r="P105" s="105"/>
      <c r="Q105" s="23"/>
      <c r="R105" s="23"/>
      <c r="S105" s="1"/>
      <c r="T105" s="1"/>
      <c r="U105" s="1"/>
      <c r="V105" s="1"/>
      <c r="W105" s="2"/>
      <c r="X105" s="2"/>
      <c r="Y105" s="1"/>
      <c r="Z105" s="2"/>
      <c r="AA105" s="2"/>
      <c r="AB105" s="2"/>
      <c r="AC105" s="2"/>
      <c r="AD105" s="2"/>
    </row>
    <row r="106">
      <c r="A106" s="2"/>
      <c r="B106" s="2"/>
      <c r="C106" s="2"/>
      <c r="D106" s="2"/>
      <c r="E106" s="2"/>
      <c r="F106" s="246"/>
      <c r="G106" s="157"/>
      <c r="H106" s="105"/>
      <c r="I106" s="105"/>
      <c r="J106" s="105"/>
      <c r="K106" s="105"/>
      <c r="L106" s="105"/>
      <c r="M106" s="157"/>
      <c r="N106" s="105"/>
      <c r="O106" s="105"/>
      <c r="P106" s="105"/>
      <c r="Q106" s="105"/>
      <c r="R106" s="105"/>
      <c r="S106" s="1"/>
      <c r="T106" s="1"/>
      <c r="U106" s="1"/>
      <c r="V106" s="1"/>
      <c r="W106" s="2"/>
      <c r="X106" s="1"/>
      <c r="Y106" s="1"/>
      <c r="Z106" s="2"/>
      <c r="AA106" s="2"/>
      <c r="AB106" s="2"/>
      <c r="AC106" s="2"/>
      <c r="AD106" s="2"/>
    </row>
    <row r="107">
      <c r="A107" s="2"/>
      <c r="B107" s="2"/>
      <c r="C107" s="2"/>
      <c r="D107" s="2"/>
      <c r="E107" s="2"/>
      <c r="F107" s="247"/>
      <c r="G107" s="248"/>
      <c r="H107" s="244"/>
      <c r="I107" s="2"/>
      <c r="J107" s="249"/>
      <c r="K107" s="249"/>
      <c r="L107" s="1"/>
      <c r="M107" s="1"/>
      <c r="N107" s="23"/>
      <c r="O107" s="23"/>
      <c r="P107" s="23"/>
      <c r="Q107" s="1"/>
      <c r="R107" s="2"/>
      <c r="S107" s="1"/>
      <c r="T107" s="1"/>
      <c r="U107" s="1"/>
      <c r="V107" s="1"/>
      <c r="W107" s="2"/>
      <c r="X107" s="105"/>
      <c r="Y107" s="1"/>
      <c r="Z107" s="2"/>
      <c r="AA107" s="2"/>
      <c r="AB107" s="2"/>
      <c r="AC107" s="2"/>
      <c r="AD107" s="2"/>
    </row>
    <row r="108">
      <c r="A108" s="2"/>
      <c r="B108" s="2"/>
      <c r="C108" s="2"/>
      <c r="D108" s="2"/>
      <c r="E108" s="2"/>
      <c r="F108" s="177"/>
      <c r="G108" s="248"/>
      <c r="H108" s="244"/>
      <c r="I108" s="2"/>
      <c r="J108" s="249"/>
      <c r="K108" s="249"/>
      <c r="L108" s="1"/>
      <c r="M108" s="1"/>
      <c r="N108" s="23"/>
      <c r="O108" s="23"/>
      <c r="P108" s="23"/>
      <c r="Q108" s="1"/>
      <c r="R108" s="2"/>
      <c r="S108" s="1"/>
      <c r="T108" s="1"/>
      <c r="U108" s="1"/>
      <c r="V108" s="1"/>
      <c r="W108" s="1"/>
      <c r="X108" s="105"/>
      <c r="Y108" s="1"/>
      <c r="Z108" s="2"/>
      <c r="AA108" s="2"/>
      <c r="AB108" s="1"/>
      <c r="AC108" s="2"/>
      <c r="AD108" s="2"/>
    </row>
    <row r="109">
      <c r="A109" s="2"/>
      <c r="B109" s="2"/>
      <c r="C109" s="2"/>
      <c r="D109" s="2"/>
      <c r="E109" s="2"/>
      <c r="F109" s="177"/>
      <c r="G109" s="248"/>
      <c r="H109" s="244"/>
      <c r="I109" s="2"/>
      <c r="J109" s="249"/>
      <c r="K109" s="249"/>
      <c r="L109" s="1"/>
      <c r="M109" s="1"/>
      <c r="N109" s="23"/>
      <c r="O109" s="23"/>
      <c r="P109" s="23"/>
      <c r="Q109" s="1"/>
      <c r="R109" s="2"/>
      <c r="S109" s="1"/>
      <c r="T109" s="1"/>
      <c r="U109" s="1"/>
      <c r="V109" s="1"/>
      <c r="W109" s="2"/>
      <c r="X109" s="105"/>
      <c r="Y109" s="1"/>
      <c r="Z109" s="2"/>
      <c r="AA109" s="2"/>
      <c r="AB109" s="2"/>
      <c r="AC109" s="2"/>
      <c r="AD109" s="2"/>
    </row>
    <row r="110">
      <c r="A110" s="2"/>
      <c r="B110" s="2"/>
      <c r="C110" s="2"/>
      <c r="D110" s="2"/>
      <c r="E110" s="2"/>
      <c r="F110" s="177"/>
      <c r="G110" s="248"/>
      <c r="H110" s="244"/>
      <c r="I110" s="2"/>
      <c r="J110" s="249"/>
      <c r="K110" s="249"/>
      <c r="L110" s="1"/>
      <c r="M110" s="1"/>
      <c r="N110" s="23"/>
      <c r="O110" s="23"/>
      <c r="P110" s="23"/>
      <c r="Q110" s="1"/>
      <c r="R110" s="2"/>
      <c r="S110" s="1"/>
      <c r="T110" s="1"/>
      <c r="U110" s="1"/>
      <c r="V110" s="1"/>
      <c r="W110" s="2"/>
      <c r="X110" s="105"/>
      <c r="Y110" s="1"/>
      <c r="Z110" s="2"/>
      <c r="AA110" s="2"/>
      <c r="AB110" s="2"/>
      <c r="AC110" s="2"/>
      <c r="AD110" s="2"/>
    </row>
    <row r="111">
      <c r="A111" s="2"/>
      <c r="B111" s="2"/>
      <c r="C111" s="2"/>
      <c r="D111" s="2"/>
      <c r="E111" s="2"/>
      <c r="F111" s="177"/>
      <c r="G111" s="172"/>
      <c r="H111" s="106"/>
      <c r="I111" s="106"/>
      <c r="J111" s="106"/>
      <c r="K111" s="105"/>
      <c r="L111" s="105"/>
      <c r="M111" s="172"/>
      <c r="N111" s="106"/>
      <c r="O111" s="106"/>
      <c r="P111" s="106"/>
      <c r="Q111" s="105"/>
      <c r="R111" s="105"/>
      <c r="S111" s="1"/>
      <c r="T111" s="1"/>
      <c r="U111" s="1"/>
      <c r="V111" s="1"/>
      <c r="W111" s="2"/>
      <c r="X111" s="105"/>
      <c r="Y111" s="1"/>
      <c r="Z111" s="2"/>
      <c r="AA111" s="2"/>
      <c r="AB111" s="2"/>
      <c r="AC111" s="2"/>
      <c r="AD111" s="2"/>
    </row>
    <row r="112">
      <c r="A112" s="2"/>
      <c r="B112" s="2"/>
      <c r="C112" s="2"/>
      <c r="D112" s="2"/>
      <c r="E112" s="2"/>
      <c r="F112" s="177"/>
      <c r="G112" s="172"/>
      <c r="H112" s="106"/>
      <c r="I112" s="106"/>
      <c r="J112" s="106"/>
      <c r="K112" s="106"/>
      <c r="L112" s="172"/>
      <c r="M112" s="172"/>
      <c r="N112" s="106"/>
      <c r="O112" s="106"/>
      <c r="P112" s="106"/>
      <c r="Q112" s="105"/>
      <c r="R112" s="157"/>
      <c r="S112" s="1"/>
      <c r="T112" s="1"/>
      <c r="U112" s="1"/>
      <c r="V112" s="1"/>
      <c r="W112" s="2"/>
      <c r="X112" s="105"/>
      <c r="Y112" s="23"/>
      <c r="Z112" s="73"/>
      <c r="AA112" s="23"/>
      <c r="AB112" s="2"/>
      <c r="AC112" s="2"/>
      <c r="AD112" s="2"/>
    </row>
    <row r="113">
      <c r="A113" s="2"/>
      <c r="B113" s="2"/>
      <c r="C113" s="2"/>
      <c r="D113" s="2"/>
      <c r="E113" s="2"/>
      <c r="F113" s="177"/>
      <c r="G113" s="172"/>
      <c r="H113" s="106"/>
      <c r="I113" s="106"/>
      <c r="J113" s="106"/>
      <c r="K113" s="105"/>
      <c r="L113" s="105"/>
      <c r="M113" s="172"/>
      <c r="N113" s="106"/>
      <c r="O113" s="106"/>
      <c r="P113" s="106"/>
      <c r="Q113" s="105"/>
      <c r="R113" s="105"/>
      <c r="S113" s="1"/>
      <c r="T113" s="1"/>
      <c r="U113" s="2"/>
      <c r="V113" s="2"/>
      <c r="W113" s="2"/>
      <c r="X113" s="105"/>
      <c r="Y113" s="23"/>
      <c r="Z113" s="73"/>
      <c r="AA113" s="23"/>
      <c r="AB113" s="2"/>
      <c r="AC113" s="2"/>
      <c r="AD113" s="2"/>
    </row>
    <row r="114">
      <c r="A114" s="2"/>
      <c r="B114" s="2"/>
      <c r="C114" s="2"/>
      <c r="D114" s="2"/>
      <c r="E114" s="2"/>
      <c r="F114" s="177"/>
      <c r="G114" s="172"/>
      <c r="H114" s="106"/>
      <c r="I114" s="106"/>
      <c r="J114" s="106"/>
      <c r="K114" s="105"/>
      <c r="L114" s="105"/>
      <c r="M114" s="172"/>
      <c r="N114" s="106"/>
      <c r="O114" s="106"/>
      <c r="P114" s="106"/>
      <c r="Q114" s="105"/>
      <c r="R114" s="105"/>
      <c r="S114" s="1"/>
      <c r="T114" s="1"/>
      <c r="U114" s="1"/>
      <c r="V114" s="1"/>
      <c r="W114" s="2"/>
      <c r="X114" s="105"/>
      <c r="Y114" s="23"/>
      <c r="Z114" s="73"/>
      <c r="AA114" s="23"/>
      <c r="AB114" s="2"/>
      <c r="AC114" s="2"/>
      <c r="AD114" s="2"/>
    </row>
    <row r="115">
      <c r="A115" s="2"/>
      <c r="B115" s="2"/>
      <c r="C115" s="2"/>
      <c r="D115" s="2"/>
      <c r="E115" s="2"/>
      <c r="F115" s="177"/>
      <c r="G115" s="172"/>
      <c r="H115" s="106"/>
      <c r="I115" s="106"/>
      <c r="J115" s="106"/>
      <c r="K115" s="105"/>
      <c r="L115" s="105"/>
      <c r="M115" s="172"/>
      <c r="N115" s="106"/>
      <c r="O115" s="106"/>
      <c r="P115" s="106"/>
      <c r="Q115" s="105"/>
      <c r="R115" s="105"/>
      <c r="S115" s="1"/>
      <c r="T115" s="1"/>
      <c r="U115" s="1"/>
      <c r="V115" s="1"/>
      <c r="W115" s="2"/>
      <c r="X115" s="105"/>
      <c r="Y115" s="23"/>
      <c r="Z115" s="73"/>
      <c r="AA115" s="23"/>
      <c r="AB115" s="2"/>
      <c r="AC115" s="2"/>
      <c r="AD115" s="2"/>
    </row>
    <row r="116">
      <c r="A116" s="2"/>
      <c r="B116" s="2"/>
      <c r="C116" s="2"/>
      <c r="D116" s="2"/>
      <c r="E116" s="242"/>
      <c r="F116" s="177"/>
      <c r="G116" s="172"/>
      <c r="H116" s="106"/>
      <c r="I116" s="106"/>
      <c r="J116" s="106"/>
      <c r="K116" s="23"/>
      <c r="L116" s="23"/>
      <c r="M116" s="172"/>
      <c r="N116" s="106"/>
      <c r="O116" s="106"/>
      <c r="P116" s="106"/>
      <c r="Q116" s="23"/>
      <c r="R116" s="23"/>
      <c r="S116" s="2"/>
      <c r="T116" s="2"/>
      <c r="U116" s="1"/>
      <c r="V116" s="2"/>
      <c r="W116" s="2"/>
      <c r="X116" s="105"/>
      <c r="Y116" s="23"/>
      <c r="Z116" s="73"/>
      <c r="AA116" s="23"/>
      <c r="AB116" s="2"/>
      <c r="AC116" s="2"/>
      <c r="AD116" s="2"/>
    </row>
    <row r="117">
      <c r="A117" s="2"/>
      <c r="B117" s="2"/>
      <c r="C117" s="2"/>
      <c r="D117" s="2"/>
      <c r="E117" s="2"/>
      <c r="F117" s="177"/>
      <c r="G117" s="157"/>
      <c r="H117" s="105"/>
      <c r="I117" s="105"/>
      <c r="J117" s="105"/>
      <c r="K117" s="23"/>
      <c r="L117" s="23"/>
      <c r="M117" s="157"/>
      <c r="N117" s="105"/>
      <c r="O117" s="105"/>
      <c r="P117" s="105"/>
      <c r="Q117" s="23"/>
      <c r="R117" s="23"/>
      <c r="S117" s="2"/>
      <c r="T117" s="2"/>
      <c r="U117" s="1"/>
      <c r="V117" s="2"/>
      <c r="W117" s="2"/>
      <c r="X117" s="2"/>
      <c r="Y117" s="2"/>
      <c r="Z117" s="2"/>
      <c r="AA117" s="2"/>
      <c r="AB117" s="2"/>
      <c r="AC117" s="2"/>
      <c r="AD117" s="2"/>
    </row>
    <row r="118">
      <c r="A118" s="2"/>
      <c r="B118" s="2"/>
      <c r="C118" s="2"/>
      <c r="D118" s="2"/>
      <c r="E118" s="2"/>
      <c r="F118" s="177"/>
      <c r="G118" s="157"/>
      <c r="H118" s="105"/>
      <c r="I118" s="105"/>
      <c r="J118" s="105"/>
      <c r="K118" s="105"/>
      <c r="L118" s="105"/>
      <c r="M118" s="157"/>
      <c r="N118" s="105"/>
      <c r="O118" s="105"/>
      <c r="P118" s="105"/>
      <c r="Q118" s="105"/>
      <c r="R118" s="105"/>
      <c r="S118" s="2"/>
      <c r="T118" s="2"/>
      <c r="U118" s="2"/>
      <c r="V118" s="2"/>
      <c r="W118" s="2"/>
      <c r="X118" s="2"/>
      <c r="Y118" s="2"/>
      <c r="Z118" s="2"/>
      <c r="AA118" s="2"/>
      <c r="AB118" s="2"/>
      <c r="AC118" s="2"/>
      <c r="AD118" s="2"/>
    </row>
    <row r="119">
      <c r="A119" s="2"/>
      <c r="B119" s="2"/>
      <c r="C119" s="2"/>
      <c r="D119" s="2"/>
      <c r="E119" s="2"/>
      <c r="F119" s="177"/>
      <c r="G119" s="157"/>
      <c r="H119" s="105"/>
      <c r="I119" s="105"/>
      <c r="J119" s="105"/>
      <c r="K119" s="105"/>
      <c r="L119" s="105"/>
      <c r="M119" s="157"/>
      <c r="N119" s="105"/>
      <c r="O119" s="105"/>
      <c r="P119" s="105"/>
      <c r="Q119" s="105"/>
      <c r="R119" s="105"/>
      <c r="S119" s="2"/>
      <c r="T119" s="1"/>
      <c r="U119" s="1"/>
      <c r="V119" s="1"/>
      <c r="W119" s="1"/>
      <c r="X119" s="2"/>
      <c r="Y119" s="2"/>
      <c r="Z119" s="2"/>
      <c r="AA119" s="2"/>
      <c r="AB119" s="2"/>
      <c r="AC119" s="2"/>
      <c r="AD119" s="2"/>
    </row>
    <row r="120">
      <c r="A120" s="2"/>
      <c r="B120" s="2"/>
      <c r="C120" s="2"/>
      <c r="D120" s="2"/>
      <c r="E120" s="2"/>
      <c r="F120" s="177"/>
      <c r="G120" s="157"/>
      <c r="H120" s="105"/>
      <c r="I120" s="105"/>
      <c r="J120" s="105"/>
      <c r="K120" s="105"/>
      <c r="L120" s="105"/>
      <c r="M120" s="157"/>
      <c r="N120" s="105"/>
      <c r="O120" s="105"/>
      <c r="P120" s="105"/>
      <c r="Q120" s="105"/>
      <c r="R120" s="105"/>
      <c r="S120" s="1"/>
      <c r="T120" s="1"/>
      <c r="U120" s="1"/>
      <c r="V120" s="1"/>
      <c r="W120" s="2"/>
      <c r="X120" s="1"/>
      <c r="Y120" s="1"/>
      <c r="Z120" s="1"/>
      <c r="AA120" s="1"/>
      <c r="AB120" s="2"/>
      <c r="AC120" s="2"/>
      <c r="AD120" s="2"/>
    </row>
    <row r="121">
      <c r="A121" s="2"/>
      <c r="B121" s="2"/>
      <c r="C121" s="2"/>
      <c r="D121" s="2"/>
      <c r="E121" s="2"/>
      <c r="F121" s="177"/>
      <c r="G121" s="172"/>
      <c r="H121" s="106"/>
      <c r="I121" s="106"/>
      <c r="J121" s="106"/>
      <c r="K121" s="105"/>
      <c r="L121" s="105"/>
      <c r="M121" s="172"/>
      <c r="N121" s="106"/>
      <c r="O121" s="106"/>
      <c r="P121" s="106"/>
      <c r="Q121" s="105"/>
      <c r="R121" s="105"/>
      <c r="S121" s="1"/>
      <c r="T121" s="1"/>
      <c r="U121" s="1"/>
      <c r="V121" s="1"/>
      <c r="W121" s="2"/>
      <c r="X121" s="1"/>
      <c r="Y121" s="1"/>
      <c r="Z121" s="1"/>
      <c r="AA121" s="1"/>
      <c r="AB121" s="2"/>
      <c r="AC121" s="2"/>
      <c r="AD121" s="2"/>
    </row>
    <row r="122">
      <c r="A122" s="2"/>
      <c r="B122" s="2"/>
      <c r="C122" s="2"/>
      <c r="D122" s="2"/>
      <c r="E122" s="2"/>
      <c r="F122" s="177"/>
      <c r="G122" s="172"/>
      <c r="H122" s="106"/>
      <c r="I122" s="106"/>
      <c r="J122" s="106"/>
      <c r="K122" s="23"/>
      <c r="L122" s="23"/>
      <c r="M122" s="172"/>
      <c r="N122" s="106"/>
      <c r="O122" s="106"/>
      <c r="P122" s="106"/>
      <c r="Q122" s="23"/>
      <c r="R122" s="23"/>
      <c r="S122" s="1"/>
      <c r="T122" s="1"/>
      <c r="U122" s="1"/>
      <c r="V122" s="1"/>
      <c r="W122" s="2"/>
      <c r="X122" s="1"/>
      <c r="Y122" s="1"/>
      <c r="Z122" s="1"/>
      <c r="AA122" s="1"/>
      <c r="AB122" s="2"/>
      <c r="AC122" s="2"/>
      <c r="AD122" s="2"/>
    </row>
    <row r="123">
      <c r="A123" s="2"/>
      <c r="B123" s="2"/>
      <c r="C123" s="2"/>
      <c r="D123" s="2"/>
      <c r="E123" s="2"/>
      <c r="F123" s="177"/>
      <c r="G123" s="157"/>
      <c r="H123" s="105"/>
      <c r="I123" s="105"/>
      <c r="J123" s="105"/>
      <c r="K123" s="23"/>
      <c r="L123" s="23"/>
      <c r="M123" s="157"/>
      <c r="N123" s="105"/>
      <c r="O123" s="105"/>
      <c r="P123" s="105"/>
      <c r="Q123" s="23"/>
      <c r="R123" s="23"/>
      <c r="S123" s="2"/>
      <c r="T123" s="1"/>
      <c r="U123" s="23"/>
      <c r="V123" s="23"/>
      <c r="W123" s="23"/>
      <c r="X123" s="1"/>
      <c r="Y123" s="1"/>
      <c r="Z123" s="1"/>
      <c r="AA123" s="1"/>
      <c r="AB123" s="2"/>
      <c r="AC123" s="2"/>
      <c r="AD123" s="2"/>
    </row>
    <row r="124">
      <c r="A124" s="2"/>
      <c r="B124" s="2"/>
      <c r="C124" s="2"/>
      <c r="D124" s="2"/>
      <c r="E124" s="2"/>
      <c r="F124" s="177"/>
      <c r="G124" s="157"/>
      <c r="H124" s="244"/>
      <c r="I124" s="105"/>
      <c r="J124" s="245"/>
      <c r="K124" s="106"/>
      <c r="L124" s="157"/>
      <c r="M124" s="157"/>
      <c r="N124" s="244"/>
      <c r="O124" s="105"/>
      <c r="P124" s="245"/>
      <c r="Q124" s="106"/>
      <c r="R124" s="157"/>
      <c r="S124" s="1"/>
      <c r="T124" s="1"/>
      <c r="U124" s="1"/>
      <c r="V124" s="1"/>
      <c r="W124" s="2"/>
      <c r="X124" s="1"/>
      <c r="Y124" s="1"/>
      <c r="Z124" s="1"/>
      <c r="AA124" s="1"/>
      <c r="AB124" s="2"/>
      <c r="AC124" s="2"/>
      <c r="AD124" s="2"/>
    </row>
    <row r="125">
      <c r="A125" s="2"/>
      <c r="B125" s="2"/>
      <c r="C125" s="2"/>
      <c r="D125" s="2"/>
      <c r="E125" s="2"/>
      <c r="F125" s="177"/>
      <c r="G125" s="157"/>
      <c r="H125" s="105"/>
      <c r="I125" s="105"/>
      <c r="J125" s="105"/>
      <c r="K125" s="23"/>
      <c r="L125" s="23"/>
      <c r="M125" s="172"/>
      <c r="N125" s="106"/>
      <c r="O125" s="106"/>
      <c r="P125" s="106"/>
      <c r="Q125" s="23"/>
      <c r="R125" s="23"/>
      <c r="S125" s="1"/>
      <c r="T125" s="1"/>
      <c r="U125" s="1"/>
      <c r="V125" s="1"/>
      <c r="W125" s="2"/>
      <c r="X125" s="1"/>
      <c r="Y125" s="1"/>
      <c r="Z125" s="1"/>
      <c r="AA125" s="1"/>
      <c r="AB125" s="2"/>
      <c r="AC125" s="2"/>
      <c r="AD125" s="2"/>
    </row>
    <row r="126">
      <c r="A126" s="2"/>
      <c r="B126" s="2"/>
      <c r="C126" s="2"/>
      <c r="D126" s="2"/>
      <c r="E126" s="2"/>
      <c r="F126" s="177"/>
      <c r="G126" s="157"/>
      <c r="H126" s="105"/>
      <c r="I126" s="105"/>
      <c r="J126" s="105"/>
      <c r="K126" s="105"/>
      <c r="L126" s="105"/>
      <c r="M126" s="157"/>
      <c r="N126" s="105"/>
      <c r="O126" s="105"/>
      <c r="P126" s="105"/>
      <c r="Q126" s="105"/>
      <c r="R126" s="105"/>
      <c r="S126" s="1"/>
      <c r="T126" s="1"/>
      <c r="U126" s="1"/>
      <c r="V126" s="1"/>
      <c r="W126" s="2"/>
      <c r="X126" s="1"/>
      <c r="Y126" s="1"/>
      <c r="Z126" s="1"/>
      <c r="AA126" s="1"/>
      <c r="AB126" s="2"/>
      <c r="AC126" s="2"/>
      <c r="AD126" s="2"/>
    </row>
    <row r="127">
      <c r="A127" s="2"/>
      <c r="B127" s="2"/>
      <c r="C127" s="2"/>
      <c r="D127" s="2"/>
      <c r="E127" s="242"/>
      <c r="F127" s="223"/>
      <c r="G127" s="172"/>
      <c r="H127" s="106"/>
      <c r="I127" s="106"/>
      <c r="J127" s="106"/>
      <c r="K127" s="105"/>
      <c r="L127" s="105"/>
      <c r="M127" s="172"/>
      <c r="N127" s="106"/>
      <c r="O127" s="106"/>
      <c r="P127" s="106"/>
      <c r="Q127" s="105"/>
      <c r="R127" s="105"/>
      <c r="S127" s="1"/>
      <c r="T127" s="1"/>
      <c r="U127" s="1"/>
      <c r="V127" s="1"/>
      <c r="W127" s="2"/>
      <c r="X127" s="1"/>
      <c r="Y127" s="1"/>
      <c r="Z127" s="1"/>
      <c r="AA127" s="1"/>
      <c r="AB127" s="2"/>
      <c r="AC127" s="2"/>
      <c r="AD127" s="2"/>
    </row>
    <row r="128">
      <c r="A128" s="2"/>
      <c r="B128" s="2"/>
      <c r="C128" s="2"/>
      <c r="D128" s="2"/>
      <c r="E128" s="2"/>
      <c r="F128" s="223"/>
      <c r="G128" s="172"/>
      <c r="H128" s="106"/>
      <c r="I128" s="106"/>
      <c r="J128" s="106"/>
      <c r="K128" s="105"/>
      <c r="L128" s="105"/>
      <c r="M128" s="172"/>
      <c r="N128" s="106"/>
      <c r="O128" s="106"/>
      <c r="P128" s="106"/>
      <c r="Q128" s="105"/>
      <c r="R128" s="105"/>
      <c r="S128" s="1"/>
      <c r="T128" s="1"/>
      <c r="U128" s="1"/>
      <c r="V128" s="1"/>
      <c r="W128" s="2"/>
      <c r="X128" s="1"/>
      <c r="Y128" s="1"/>
      <c r="Z128" s="1"/>
      <c r="AA128" s="1"/>
      <c r="AB128" s="2"/>
      <c r="AC128" s="2"/>
      <c r="AD128" s="2"/>
    </row>
    <row r="129">
      <c r="A129" s="2"/>
      <c r="B129" s="2"/>
      <c r="C129" s="2"/>
      <c r="D129" s="2"/>
      <c r="E129" s="2"/>
      <c r="F129" s="223"/>
      <c r="G129" s="172"/>
      <c r="H129" s="106"/>
      <c r="I129" s="106"/>
      <c r="J129" s="106"/>
      <c r="K129" s="105"/>
      <c r="L129" s="105"/>
      <c r="M129" s="172"/>
      <c r="N129" s="106"/>
      <c r="O129" s="106"/>
      <c r="P129" s="106"/>
      <c r="Q129" s="105"/>
      <c r="R129" s="105"/>
      <c r="S129" s="1"/>
      <c r="T129" s="1"/>
      <c r="U129" s="1"/>
      <c r="V129" s="1"/>
      <c r="W129" s="2"/>
      <c r="X129" s="1"/>
      <c r="Y129" s="1"/>
      <c r="Z129" s="1"/>
      <c r="AA129" s="1"/>
      <c r="AB129" s="2"/>
      <c r="AC129" s="2"/>
      <c r="AD129" s="2"/>
    </row>
    <row r="130">
      <c r="A130" s="2"/>
      <c r="B130" s="2"/>
      <c r="C130" s="2"/>
      <c r="D130" s="2"/>
      <c r="E130" s="2"/>
      <c r="F130" s="223"/>
      <c r="G130" s="172"/>
      <c r="H130" s="106"/>
      <c r="I130" s="106"/>
      <c r="J130" s="106"/>
      <c r="K130" s="105"/>
      <c r="L130" s="105"/>
      <c r="M130" s="172"/>
      <c r="N130" s="106"/>
      <c r="O130" s="106"/>
      <c r="P130" s="106"/>
      <c r="Q130" s="105"/>
      <c r="R130" s="105"/>
      <c r="S130" s="1"/>
      <c r="T130" s="1"/>
      <c r="U130" s="1"/>
      <c r="V130" s="1"/>
      <c r="W130" s="2"/>
      <c r="X130" s="1"/>
      <c r="Y130" s="1"/>
      <c r="Z130" s="1"/>
      <c r="AA130" s="1"/>
      <c r="AB130" s="2"/>
      <c r="AC130" s="2"/>
      <c r="AD130" s="2"/>
    </row>
    <row r="131">
      <c r="A131" s="2"/>
      <c r="B131" s="2"/>
      <c r="C131" s="2"/>
      <c r="D131" s="2"/>
      <c r="E131" s="2"/>
      <c r="F131" s="223"/>
      <c r="G131" s="172"/>
      <c r="H131" s="106"/>
      <c r="I131" s="106"/>
      <c r="J131" s="106"/>
      <c r="K131" s="23"/>
      <c r="L131" s="23"/>
      <c r="M131" s="172"/>
      <c r="N131" s="106"/>
      <c r="O131" s="106"/>
      <c r="P131" s="106"/>
      <c r="Q131" s="23"/>
      <c r="R131" s="23"/>
      <c r="S131" s="1"/>
      <c r="T131" s="1"/>
      <c r="U131" s="1"/>
      <c r="V131" s="1"/>
      <c r="W131" s="2"/>
      <c r="X131" s="1"/>
      <c r="Y131" s="1"/>
      <c r="Z131" s="1"/>
      <c r="AA131" s="1"/>
      <c r="AB131" s="2"/>
      <c r="AC131" s="2"/>
      <c r="AD131" s="2"/>
    </row>
    <row r="132">
      <c r="A132" s="2"/>
      <c r="B132" s="2"/>
      <c r="C132" s="2"/>
      <c r="D132" s="2"/>
      <c r="E132" s="2"/>
      <c r="F132" s="223"/>
      <c r="G132" s="172"/>
      <c r="H132" s="106"/>
      <c r="I132" s="106"/>
      <c r="J132" s="106"/>
      <c r="K132" s="105"/>
      <c r="L132" s="105"/>
      <c r="M132" s="172"/>
      <c r="N132" s="106"/>
      <c r="O132" s="106"/>
      <c r="P132" s="106"/>
      <c r="Q132" s="105"/>
      <c r="R132" s="105"/>
      <c r="S132" s="1"/>
      <c r="T132" s="1"/>
      <c r="U132" s="1"/>
      <c r="V132" s="1"/>
      <c r="W132" s="2"/>
      <c r="X132" s="1"/>
      <c r="Y132" s="1"/>
      <c r="Z132" s="1"/>
      <c r="AA132" s="1"/>
      <c r="AB132" s="2"/>
      <c r="AC132" s="2"/>
      <c r="AD132" s="2"/>
    </row>
    <row r="133">
      <c r="A133" s="2"/>
      <c r="B133" s="2"/>
      <c r="C133" s="2"/>
      <c r="D133" s="2"/>
      <c r="E133" s="2"/>
      <c r="F133" s="223"/>
      <c r="G133" s="157"/>
      <c r="H133" s="105"/>
      <c r="I133" s="105"/>
      <c r="J133" s="105"/>
      <c r="K133" s="105"/>
      <c r="L133" s="105"/>
      <c r="M133" s="157"/>
      <c r="N133" s="105"/>
      <c r="O133" s="105"/>
      <c r="P133" s="105"/>
      <c r="Q133" s="105"/>
      <c r="R133" s="105"/>
      <c r="S133" s="1"/>
      <c r="T133" s="1"/>
      <c r="U133" s="1"/>
      <c r="V133" s="1"/>
      <c r="W133" s="2"/>
      <c r="X133" s="1"/>
      <c r="Y133" s="1"/>
      <c r="Z133" s="1"/>
      <c r="AA133" s="1"/>
      <c r="AB133" s="2"/>
      <c r="AC133" s="2"/>
      <c r="AD133" s="2"/>
    </row>
    <row r="134">
      <c r="A134" s="2"/>
      <c r="B134" s="2"/>
      <c r="C134" s="2"/>
      <c r="D134" s="2"/>
      <c r="E134" s="2"/>
      <c r="F134" s="223"/>
      <c r="G134" s="172"/>
      <c r="H134" s="106"/>
      <c r="I134" s="106"/>
      <c r="J134" s="106"/>
      <c r="K134" s="23"/>
      <c r="L134" s="23"/>
      <c r="M134" s="157"/>
      <c r="N134" s="105"/>
      <c r="O134" s="105"/>
      <c r="P134" s="105"/>
      <c r="Q134" s="23"/>
      <c r="R134" s="23"/>
      <c r="S134" s="1"/>
      <c r="T134" s="1"/>
      <c r="U134" s="1"/>
      <c r="V134" s="1"/>
      <c r="W134" s="2"/>
      <c r="X134" s="1"/>
      <c r="Y134" s="1"/>
      <c r="Z134" s="1"/>
      <c r="AA134" s="1"/>
      <c r="AB134" s="2"/>
      <c r="AC134" s="2"/>
      <c r="AD134" s="2"/>
    </row>
    <row r="135">
      <c r="A135" s="2"/>
      <c r="B135" s="2"/>
      <c r="C135" s="2"/>
      <c r="D135" s="2"/>
      <c r="E135" s="2"/>
      <c r="F135" s="223"/>
      <c r="G135" s="157"/>
      <c r="H135" s="105"/>
      <c r="I135" s="105"/>
      <c r="J135" s="105"/>
      <c r="K135" s="23"/>
      <c r="L135" s="23"/>
      <c r="M135" s="172"/>
      <c r="N135" s="106"/>
      <c r="O135" s="106"/>
      <c r="P135" s="106"/>
      <c r="Q135" s="105"/>
      <c r="R135" s="105"/>
      <c r="S135" s="1"/>
      <c r="T135" s="1"/>
      <c r="U135" s="1"/>
      <c r="V135" s="1"/>
      <c r="W135" s="2"/>
      <c r="X135" s="1"/>
      <c r="Y135" s="1"/>
      <c r="Z135" s="1"/>
      <c r="AA135" s="1"/>
      <c r="AB135" s="2"/>
      <c r="AC135" s="2"/>
      <c r="AD135" s="2"/>
    </row>
    <row r="136">
      <c r="A136" s="2"/>
      <c r="B136" s="2"/>
      <c r="C136" s="2"/>
      <c r="D136" s="2"/>
      <c r="E136" s="2"/>
      <c r="F136" s="223"/>
      <c r="G136" s="157"/>
      <c r="H136" s="105"/>
      <c r="I136" s="105"/>
      <c r="J136" s="105"/>
      <c r="K136" s="23"/>
      <c r="L136" s="23"/>
      <c r="M136" s="157"/>
      <c r="N136" s="105"/>
      <c r="O136" s="105"/>
      <c r="P136" s="105"/>
      <c r="Q136" s="23"/>
      <c r="R136" s="23"/>
      <c r="S136" s="2"/>
      <c r="T136" s="1"/>
      <c r="U136" s="1"/>
      <c r="V136" s="1"/>
      <c r="W136" s="1"/>
      <c r="X136" s="1"/>
      <c r="Y136" s="1"/>
      <c r="Z136" s="1"/>
      <c r="AA136" s="1"/>
      <c r="AB136" s="2"/>
      <c r="AC136" s="2"/>
      <c r="AD136" s="2"/>
    </row>
    <row r="137">
      <c r="A137" s="2"/>
      <c r="B137" s="2"/>
      <c r="C137" s="2"/>
      <c r="D137" s="2"/>
      <c r="E137" s="2"/>
      <c r="F137" s="223"/>
      <c r="G137" s="172"/>
      <c r="H137" s="106"/>
      <c r="I137" s="106"/>
      <c r="J137" s="106"/>
      <c r="K137" s="105"/>
      <c r="L137" s="105"/>
      <c r="M137" s="172"/>
      <c r="N137" s="106"/>
      <c r="O137" s="106"/>
      <c r="P137" s="106"/>
      <c r="Q137" s="105"/>
      <c r="R137" s="105"/>
      <c r="S137" s="2"/>
      <c r="T137" s="1"/>
      <c r="U137" s="1"/>
      <c r="V137" s="1"/>
      <c r="W137" s="1"/>
      <c r="X137" s="1"/>
      <c r="Y137" s="1"/>
      <c r="Z137" s="1"/>
      <c r="AA137" s="1"/>
      <c r="AB137" s="2"/>
      <c r="AC137" s="2"/>
      <c r="AD137" s="2"/>
    </row>
    <row r="138">
      <c r="A138" s="2"/>
      <c r="B138" s="2"/>
      <c r="C138" s="2"/>
      <c r="D138" s="2"/>
      <c r="E138" s="2"/>
      <c r="F138" s="223"/>
      <c r="G138" s="172"/>
      <c r="H138" s="106"/>
      <c r="I138" s="106"/>
      <c r="J138" s="106"/>
      <c r="K138" s="105"/>
      <c r="L138" s="105"/>
      <c r="M138" s="172"/>
      <c r="N138" s="106"/>
      <c r="O138" s="106"/>
      <c r="P138" s="106"/>
      <c r="Q138" s="105"/>
      <c r="R138" s="105"/>
      <c r="S138" s="2"/>
      <c r="T138" s="1"/>
      <c r="U138" s="1"/>
      <c r="V138" s="1"/>
      <c r="W138" s="1"/>
      <c r="X138" s="1"/>
      <c r="Y138" s="1"/>
      <c r="Z138" s="1"/>
      <c r="AA138" s="1"/>
      <c r="AB138" s="2"/>
      <c r="AC138" s="2"/>
      <c r="AD138" s="2"/>
    </row>
    <row r="139">
      <c r="A139" s="2"/>
      <c r="B139" s="2"/>
      <c r="C139" s="2"/>
      <c r="D139" s="2"/>
      <c r="E139" s="2"/>
      <c r="F139" s="223"/>
      <c r="G139" s="157"/>
      <c r="H139" s="105"/>
      <c r="I139" s="105"/>
      <c r="J139" s="105"/>
      <c r="K139" s="105"/>
      <c r="L139" s="105"/>
      <c r="M139" s="157"/>
      <c r="N139" s="105"/>
      <c r="O139" s="105"/>
      <c r="P139" s="105"/>
      <c r="Q139" s="105"/>
      <c r="R139" s="105"/>
      <c r="S139" s="2"/>
      <c r="T139" s="1"/>
      <c r="U139" s="1"/>
      <c r="V139" s="1"/>
      <c r="W139" s="1"/>
      <c r="X139" s="1"/>
      <c r="Y139" s="2"/>
      <c r="Z139" s="1"/>
      <c r="AA139" s="1"/>
      <c r="AB139" s="2"/>
      <c r="AC139" s="2"/>
      <c r="AD139" s="2"/>
    </row>
    <row r="140">
      <c r="A140" s="2"/>
      <c r="B140" s="2"/>
      <c r="C140" s="2"/>
      <c r="D140" s="2"/>
      <c r="E140" s="2"/>
      <c r="F140" s="223"/>
      <c r="G140" s="157"/>
      <c r="H140" s="105"/>
      <c r="I140" s="105"/>
      <c r="J140" s="105"/>
      <c r="K140" s="23"/>
      <c r="L140" s="23"/>
      <c r="M140" s="157"/>
      <c r="N140" s="105"/>
      <c r="O140" s="105"/>
      <c r="P140" s="105"/>
      <c r="Q140" s="23"/>
      <c r="R140" s="23"/>
      <c r="S140" s="2"/>
      <c r="T140" s="1"/>
      <c r="U140" s="1"/>
      <c r="V140" s="1"/>
      <c r="W140" s="1"/>
      <c r="X140" s="1"/>
      <c r="Y140" s="2"/>
      <c r="Z140" s="2"/>
      <c r="AA140" s="1"/>
      <c r="AB140" s="2"/>
      <c r="AC140" s="2"/>
      <c r="AD140" s="2"/>
    </row>
    <row r="141">
      <c r="A141" s="2"/>
      <c r="B141" s="2"/>
      <c r="C141" s="2"/>
      <c r="D141" s="2"/>
      <c r="E141" s="2"/>
      <c r="F141" s="243"/>
      <c r="G141" s="157"/>
      <c r="H141" s="105"/>
      <c r="I141" s="105"/>
      <c r="J141" s="105"/>
      <c r="K141" s="105"/>
      <c r="L141" s="105"/>
      <c r="M141" s="172"/>
      <c r="N141" s="106"/>
      <c r="O141" s="106"/>
      <c r="P141" s="106"/>
      <c r="Q141" s="105"/>
      <c r="R141" s="105"/>
      <c r="S141" s="2"/>
      <c r="T141" s="1"/>
      <c r="U141" s="1"/>
      <c r="V141" s="1"/>
      <c r="W141" s="1"/>
      <c r="X141" s="1"/>
      <c r="Y141" s="2"/>
      <c r="Z141" s="2"/>
      <c r="AA141" s="1"/>
      <c r="AB141" s="2"/>
      <c r="AC141" s="2"/>
      <c r="AD141" s="2"/>
    </row>
    <row r="142">
      <c r="A142" s="2"/>
      <c r="B142" s="2"/>
      <c r="C142" s="2"/>
      <c r="D142" s="2"/>
      <c r="E142" s="2"/>
      <c r="F142" s="223"/>
      <c r="G142" s="172"/>
      <c r="H142" s="106"/>
      <c r="I142" s="106"/>
      <c r="J142" s="106"/>
      <c r="K142" s="105"/>
      <c r="L142" s="105"/>
      <c r="M142" s="172"/>
      <c r="N142" s="106"/>
      <c r="O142" s="106"/>
      <c r="P142" s="106"/>
      <c r="Q142" s="105"/>
      <c r="R142" s="105"/>
      <c r="S142" s="2"/>
      <c r="T142" s="1"/>
      <c r="U142" s="1"/>
      <c r="V142" s="1"/>
      <c r="W142" s="1"/>
      <c r="X142" s="1"/>
      <c r="Y142" s="2"/>
      <c r="Z142" s="2"/>
      <c r="AA142" s="2"/>
      <c r="AB142" s="2"/>
      <c r="AC142" s="2"/>
      <c r="AD142" s="2"/>
    </row>
    <row r="143">
      <c r="A143" s="2"/>
      <c r="B143" s="2"/>
      <c r="C143" s="2"/>
      <c r="D143" s="2"/>
      <c r="E143" s="2"/>
      <c r="F143" s="223"/>
      <c r="G143" s="157"/>
      <c r="H143" s="105"/>
      <c r="I143" s="105"/>
      <c r="J143" s="105"/>
      <c r="K143" s="23"/>
      <c r="L143" s="23"/>
      <c r="M143" s="157"/>
      <c r="N143" s="105"/>
      <c r="O143" s="105"/>
      <c r="P143" s="105"/>
      <c r="Q143" s="23"/>
      <c r="R143" s="23"/>
      <c r="S143" s="2"/>
      <c r="T143" s="1"/>
      <c r="U143" s="1"/>
      <c r="V143" s="1"/>
      <c r="W143" s="1"/>
      <c r="X143" s="1"/>
      <c r="Y143" s="2"/>
      <c r="Z143" s="2"/>
      <c r="AA143" s="2"/>
      <c r="AB143" s="2"/>
      <c r="AC143" s="2"/>
      <c r="AD143" s="2"/>
    </row>
    <row r="144">
      <c r="A144" s="2"/>
      <c r="B144" s="2"/>
      <c r="C144" s="2"/>
      <c r="D144" s="2"/>
      <c r="E144" s="2"/>
      <c r="F144" s="223"/>
      <c r="G144" s="172"/>
      <c r="H144" s="106"/>
      <c r="I144" s="106"/>
      <c r="J144" s="106"/>
      <c r="K144" s="105"/>
      <c r="L144" s="105"/>
      <c r="M144" s="172"/>
      <c r="N144" s="106"/>
      <c r="O144" s="106"/>
      <c r="P144" s="106"/>
      <c r="Q144" s="105"/>
      <c r="R144" s="105"/>
      <c r="S144" s="2"/>
      <c r="T144" s="1"/>
      <c r="U144" s="1"/>
      <c r="V144" s="1"/>
      <c r="W144" s="1"/>
      <c r="X144" s="1"/>
      <c r="Y144" s="2"/>
      <c r="Z144" s="2"/>
      <c r="AA144" s="2"/>
      <c r="AB144" s="2"/>
      <c r="AC144" s="2"/>
      <c r="AD144" s="2"/>
    </row>
    <row r="145">
      <c r="A145" s="2"/>
      <c r="B145" s="2"/>
      <c r="C145" s="2"/>
      <c r="D145" s="2"/>
      <c r="E145" s="2"/>
      <c r="F145" s="223"/>
      <c r="G145" s="172"/>
      <c r="H145" s="106"/>
      <c r="I145" s="106"/>
      <c r="J145" s="106"/>
      <c r="K145" s="23"/>
      <c r="L145" s="23"/>
      <c r="M145" s="172"/>
      <c r="N145" s="106"/>
      <c r="O145" s="106"/>
      <c r="P145" s="106"/>
      <c r="Q145" s="23"/>
      <c r="R145" s="23"/>
      <c r="S145" s="2"/>
      <c r="T145" s="2"/>
      <c r="U145" s="2"/>
      <c r="V145" s="1"/>
      <c r="W145" s="1"/>
      <c r="X145" s="2"/>
      <c r="Y145" s="2"/>
      <c r="Z145" s="2"/>
      <c r="AA145" s="2"/>
      <c r="AB145" s="2"/>
      <c r="AC145" s="2"/>
      <c r="AD145" s="2"/>
    </row>
    <row r="146">
      <c r="A146" s="2"/>
      <c r="B146" s="2"/>
      <c r="C146" s="2"/>
      <c r="D146" s="2"/>
      <c r="E146" s="2"/>
      <c r="F146" s="223"/>
      <c r="G146" s="172"/>
      <c r="H146" s="106"/>
      <c r="I146" s="106"/>
      <c r="J146" s="106"/>
      <c r="K146" s="105"/>
      <c r="L146" s="105"/>
      <c r="M146" s="172"/>
      <c r="N146" s="106"/>
      <c r="O146" s="106"/>
      <c r="P146" s="106"/>
      <c r="Q146" s="105"/>
      <c r="R146" s="105"/>
      <c r="S146" s="2"/>
      <c r="T146" s="2"/>
      <c r="U146" s="2"/>
      <c r="V146" s="1"/>
      <c r="W146" s="1"/>
      <c r="X146" s="2"/>
      <c r="Y146" s="2"/>
      <c r="Z146" s="2"/>
      <c r="AA146" s="2"/>
      <c r="AB146" s="2"/>
      <c r="AC146" s="2"/>
      <c r="AD146" s="2"/>
    </row>
    <row r="147">
      <c r="A147" s="2"/>
      <c r="B147" s="2"/>
      <c r="C147" s="2"/>
      <c r="D147" s="2"/>
      <c r="E147" s="2"/>
      <c r="F147" s="223"/>
      <c r="G147" s="172"/>
      <c r="H147" s="106"/>
      <c r="I147" s="106"/>
      <c r="J147" s="106"/>
      <c r="K147" s="105"/>
      <c r="L147" s="105"/>
      <c r="M147" s="172"/>
      <c r="N147" s="106"/>
      <c r="O147" s="106"/>
      <c r="P147" s="106"/>
      <c r="Q147" s="105"/>
      <c r="R147" s="105"/>
      <c r="S147" s="2"/>
      <c r="T147" s="2"/>
      <c r="U147" s="2"/>
      <c r="V147" s="2"/>
      <c r="W147" s="1"/>
      <c r="X147" s="2"/>
      <c r="Y147" s="2"/>
      <c r="Z147" s="2"/>
      <c r="AA147" s="2"/>
      <c r="AB147" s="2"/>
      <c r="AC147" s="2"/>
      <c r="AD147" s="2"/>
    </row>
    <row r="148">
      <c r="A148" s="2"/>
      <c r="B148" s="2"/>
      <c r="C148" s="2"/>
      <c r="D148" s="2"/>
      <c r="E148" s="2"/>
      <c r="F148" s="246"/>
      <c r="G148" s="172"/>
      <c r="H148" s="106"/>
      <c r="I148" s="106"/>
      <c r="J148" s="106"/>
      <c r="K148" s="105"/>
      <c r="L148" s="105"/>
      <c r="M148" s="172"/>
      <c r="N148" s="106"/>
      <c r="O148" s="106"/>
      <c r="P148" s="106"/>
      <c r="Q148" s="105"/>
      <c r="R148" s="105"/>
      <c r="S148" s="2"/>
      <c r="T148" s="2"/>
      <c r="U148" s="2"/>
      <c r="V148" s="2"/>
      <c r="W148" s="1"/>
      <c r="X148" s="2"/>
      <c r="Y148" s="2"/>
      <c r="Z148" s="2"/>
      <c r="AA148" s="2"/>
      <c r="AB148" s="2"/>
      <c r="AC148" s="2"/>
      <c r="AD148" s="2"/>
    </row>
    <row r="149">
      <c r="A149" s="2"/>
      <c r="B149" s="2"/>
      <c r="C149" s="2"/>
      <c r="D149" s="2"/>
      <c r="E149" s="2"/>
      <c r="F149" s="246"/>
      <c r="G149" s="172"/>
      <c r="H149" s="106"/>
      <c r="I149" s="106"/>
      <c r="J149" s="106"/>
      <c r="K149" s="23"/>
      <c r="L149" s="23"/>
      <c r="M149" s="172"/>
      <c r="N149" s="106"/>
      <c r="O149" s="106"/>
      <c r="P149" s="106"/>
      <c r="Q149" s="23"/>
      <c r="R149" s="23"/>
      <c r="S149" s="2"/>
      <c r="T149" s="2"/>
      <c r="U149" s="2"/>
      <c r="V149" s="2"/>
      <c r="W149" s="1"/>
      <c r="X149" s="2"/>
      <c r="Y149" s="2"/>
      <c r="Z149" s="2"/>
      <c r="AA149" s="2"/>
      <c r="AB149" s="2"/>
      <c r="AC149" s="2"/>
      <c r="AD149" s="2"/>
    </row>
    <row r="150">
      <c r="A150" s="2"/>
      <c r="B150" s="2"/>
      <c r="C150" s="2"/>
      <c r="D150" s="2"/>
      <c r="E150" s="2"/>
      <c r="F150" s="246"/>
      <c r="G150" s="172"/>
      <c r="H150" s="106"/>
      <c r="I150" s="106"/>
      <c r="J150" s="106"/>
      <c r="K150" s="23"/>
      <c r="L150" s="23"/>
      <c r="M150" s="172"/>
      <c r="N150" s="106"/>
      <c r="O150" s="106"/>
      <c r="P150" s="106"/>
      <c r="Q150" s="23"/>
      <c r="R150" s="23"/>
      <c r="S150" s="2"/>
      <c r="T150" s="2"/>
      <c r="U150" s="2"/>
      <c r="V150" s="2"/>
      <c r="W150" s="1"/>
      <c r="X150" s="2"/>
      <c r="Y150" s="2"/>
      <c r="Z150" s="2"/>
      <c r="AA150" s="2"/>
      <c r="AB150" s="2"/>
      <c r="AC150" s="2"/>
      <c r="AD150" s="2"/>
    </row>
    <row r="151">
      <c r="A151" s="2"/>
      <c r="B151" s="2"/>
      <c r="C151" s="2"/>
      <c r="D151" s="2"/>
      <c r="E151" s="2"/>
      <c r="F151" s="246"/>
      <c r="G151" s="172"/>
      <c r="H151" s="106"/>
      <c r="I151" s="106"/>
      <c r="J151" s="106"/>
      <c r="K151" s="23"/>
      <c r="L151" s="23"/>
      <c r="M151" s="172"/>
      <c r="N151" s="106"/>
      <c r="O151" s="106"/>
      <c r="P151" s="106"/>
      <c r="Q151" s="23"/>
      <c r="R151" s="23"/>
      <c r="S151" s="2"/>
      <c r="T151" s="2"/>
      <c r="U151" s="2"/>
      <c r="V151" s="2"/>
      <c r="W151" s="1"/>
      <c r="X151" s="2"/>
      <c r="Y151" s="2"/>
      <c r="Z151" s="2"/>
      <c r="AA151" s="2"/>
      <c r="AB151" s="2"/>
      <c r="AC151" s="2"/>
      <c r="AD151" s="2"/>
    </row>
    <row r="152">
      <c r="A152" s="2"/>
      <c r="B152" s="2"/>
      <c r="C152" s="2"/>
      <c r="D152" s="2"/>
      <c r="E152" s="2"/>
      <c r="F152" s="246"/>
      <c r="G152" s="172"/>
      <c r="H152" s="106"/>
      <c r="I152" s="106"/>
      <c r="J152" s="106"/>
      <c r="K152" s="23"/>
      <c r="L152" s="23"/>
      <c r="M152" s="172"/>
      <c r="N152" s="106"/>
      <c r="O152" s="106"/>
      <c r="P152" s="106"/>
      <c r="Q152" s="23"/>
      <c r="R152" s="23"/>
      <c r="S152" s="2"/>
      <c r="T152" s="2"/>
      <c r="U152" s="2"/>
      <c r="V152" s="2"/>
      <c r="W152" s="1"/>
      <c r="X152" s="2"/>
      <c r="Y152" s="2"/>
      <c r="Z152" s="2"/>
      <c r="AA152" s="2"/>
      <c r="AB152" s="2"/>
      <c r="AC152" s="2"/>
      <c r="AD152" s="2"/>
    </row>
    <row r="153">
      <c r="A153" s="2"/>
      <c r="B153" s="2"/>
      <c r="C153" s="2"/>
      <c r="D153" s="2"/>
      <c r="E153" s="2"/>
      <c r="F153" s="2"/>
      <c r="G153" s="2"/>
      <c r="H153" s="2"/>
      <c r="I153" s="2"/>
      <c r="J153" s="2"/>
      <c r="K153" s="249"/>
      <c r="L153" s="249"/>
      <c r="M153" s="249"/>
      <c r="N153" s="249"/>
      <c r="O153" s="2"/>
      <c r="P153" s="2"/>
      <c r="Q153" s="2"/>
      <c r="R153" s="2"/>
      <c r="S153" s="2"/>
      <c r="T153" s="2"/>
      <c r="U153" s="2"/>
      <c r="V153" s="2"/>
      <c r="W153" s="1"/>
      <c r="X153" s="2"/>
      <c r="Y153" s="2"/>
      <c r="Z153" s="2"/>
      <c r="AA153" s="2"/>
      <c r="AB153" s="2"/>
      <c r="AC153" s="2"/>
      <c r="AD153" s="2"/>
    </row>
    <row r="154">
      <c r="A154" s="2"/>
      <c r="B154" s="2"/>
      <c r="C154" s="2"/>
      <c r="D154" s="2"/>
      <c r="E154" s="2"/>
      <c r="F154" s="2"/>
      <c r="G154" s="2"/>
      <c r="H154" s="2"/>
      <c r="I154" s="2"/>
      <c r="J154" s="2"/>
      <c r="K154" s="2"/>
      <c r="L154" s="249"/>
      <c r="M154" s="249"/>
      <c r="N154" s="249"/>
      <c r="O154" s="2"/>
      <c r="P154" s="2"/>
      <c r="Q154" s="2"/>
      <c r="R154" s="2"/>
      <c r="S154" s="2"/>
      <c r="T154" s="2"/>
      <c r="U154" s="2"/>
      <c r="V154" s="2"/>
      <c r="W154" s="1"/>
      <c r="X154" s="2"/>
      <c r="Y154" s="2"/>
      <c r="Z154" s="2"/>
      <c r="AA154" s="2"/>
      <c r="AB154" s="2"/>
      <c r="AC154" s="2"/>
      <c r="AD154" s="2"/>
    </row>
    <row r="155">
      <c r="A155" s="2"/>
      <c r="B155" s="2"/>
      <c r="C155" s="2"/>
      <c r="D155" s="2"/>
      <c r="E155" s="2"/>
      <c r="F155" s="2"/>
      <c r="G155" s="2"/>
      <c r="H155" s="2"/>
      <c r="I155" s="2"/>
      <c r="J155" s="2"/>
      <c r="K155" s="2"/>
      <c r="L155" s="249"/>
      <c r="M155" s="249"/>
      <c r="N155" s="249"/>
      <c r="O155" s="2"/>
      <c r="P155" s="2"/>
      <c r="Q155" s="2"/>
      <c r="R155" s="2"/>
      <c r="S155" s="2"/>
      <c r="T155" s="2"/>
      <c r="U155" s="2"/>
      <c r="V155" s="2"/>
      <c r="W155" s="2"/>
      <c r="X155" s="2"/>
      <c r="Y155" s="2"/>
      <c r="Z155" s="2"/>
      <c r="AA155" s="2"/>
      <c r="AB155" s="2"/>
      <c r="AC155" s="2"/>
      <c r="AD155" s="2"/>
    </row>
    <row r="156">
      <c r="A156" s="2"/>
      <c r="B156" s="2"/>
      <c r="C156" s="2"/>
      <c r="D156" s="2"/>
      <c r="E156" s="2"/>
      <c r="F156" s="2"/>
      <c r="G156" s="2"/>
      <c r="H156" s="2"/>
      <c r="I156" s="2"/>
      <c r="J156" s="2"/>
      <c r="K156" s="2"/>
      <c r="L156" s="2"/>
      <c r="M156" s="2"/>
      <c r="N156" s="249"/>
      <c r="O156" s="1"/>
      <c r="P156" s="2"/>
      <c r="Q156" s="2"/>
      <c r="R156" s="2"/>
      <c r="S156" s="2"/>
      <c r="T156" s="2"/>
      <c r="U156" s="2"/>
      <c r="V156" s="2"/>
      <c r="W156" s="2"/>
      <c r="X156" s="2"/>
      <c r="Y156" s="2"/>
      <c r="Z156" s="2"/>
      <c r="AA156" s="2"/>
      <c r="AB156" s="2"/>
      <c r="AC156" s="2"/>
      <c r="AD156" s="2"/>
    </row>
    <row r="157">
      <c r="A157" s="2"/>
      <c r="B157" s="2"/>
      <c r="C157" s="2"/>
      <c r="D157" s="2"/>
      <c r="E157" s="2"/>
      <c r="F157" s="2"/>
      <c r="G157" s="2"/>
      <c r="H157" s="2"/>
      <c r="I157" s="2"/>
      <c r="J157" s="2"/>
      <c r="K157" s="2"/>
      <c r="L157" s="2"/>
      <c r="M157" s="2"/>
      <c r="N157" s="249"/>
      <c r="O157" s="1"/>
      <c r="P157" s="2"/>
      <c r="Q157" s="2"/>
      <c r="R157" s="2"/>
      <c r="S157" s="2"/>
      <c r="T157" s="2"/>
      <c r="U157" s="2"/>
      <c r="V157" s="2"/>
      <c r="W157" s="2"/>
      <c r="X157" s="2"/>
      <c r="Y157" s="2"/>
      <c r="Z157" s="2"/>
      <c r="AA157" s="2"/>
      <c r="AB157" s="2"/>
      <c r="AC157" s="2"/>
      <c r="AD157" s="2"/>
    </row>
    <row r="158">
      <c r="A158" s="2"/>
      <c r="B158" s="2"/>
      <c r="C158" s="2"/>
      <c r="D158" s="2"/>
      <c r="E158" s="2"/>
      <c r="F158" s="2"/>
      <c r="G158" s="2"/>
      <c r="H158" s="2"/>
      <c r="I158" s="2"/>
      <c r="J158" s="2"/>
      <c r="K158" s="2"/>
      <c r="L158" s="2"/>
      <c r="M158" s="2"/>
      <c r="N158" s="249"/>
      <c r="O158" s="1"/>
      <c r="P158" s="2"/>
      <c r="Q158" s="2"/>
      <c r="R158" s="2"/>
      <c r="S158" s="2"/>
      <c r="T158" s="2"/>
      <c r="U158" s="2"/>
      <c r="V158" s="2"/>
      <c r="W158" s="2"/>
      <c r="X158" s="2"/>
      <c r="Y158" s="2"/>
      <c r="Z158" s="2"/>
      <c r="AA158" s="2"/>
      <c r="AB158" s="2"/>
      <c r="AC158" s="2"/>
      <c r="AD158" s="2"/>
    </row>
    <row r="159">
      <c r="A159" s="2"/>
      <c r="B159" s="2"/>
      <c r="C159" s="2"/>
      <c r="D159" s="2"/>
      <c r="E159" s="2"/>
      <c r="F159" s="2"/>
      <c r="G159" s="2"/>
      <c r="H159" s="2"/>
      <c r="I159" s="2"/>
      <c r="J159" s="2"/>
      <c r="K159" s="2"/>
      <c r="L159" s="2"/>
      <c r="M159" s="2"/>
      <c r="N159" s="249"/>
      <c r="O159" s="1"/>
      <c r="P159" s="2"/>
      <c r="Q159" s="2"/>
      <c r="R159" s="2"/>
      <c r="S159" s="2"/>
      <c r="T159" s="2"/>
      <c r="U159" s="2"/>
      <c r="V159" s="2"/>
      <c r="W159" s="2"/>
      <c r="X159" s="2"/>
      <c r="Y159" s="2"/>
      <c r="Z159" s="2"/>
      <c r="AA159" s="2"/>
      <c r="AB159" s="2"/>
      <c r="AC159" s="2"/>
      <c r="AD159" s="2"/>
    </row>
    <row r="160">
      <c r="A160" s="2"/>
      <c r="B160" s="2"/>
      <c r="C160" s="2"/>
      <c r="D160" s="2"/>
      <c r="E160" s="2"/>
      <c r="F160" s="2"/>
      <c r="G160" s="2"/>
      <c r="H160" s="2"/>
      <c r="I160" s="2"/>
      <c r="J160" s="2"/>
      <c r="K160" s="2"/>
      <c r="L160" s="2"/>
      <c r="M160" s="2"/>
      <c r="N160" s="249"/>
      <c r="O160" s="1"/>
      <c r="P160" s="2"/>
      <c r="Q160" s="2"/>
      <c r="R160" s="2"/>
      <c r="S160" s="2"/>
      <c r="T160" s="2"/>
      <c r="U160" s="2"/>
      <c r="V160" s="2"/>
      <c r="W160" s="2"/>
      <c r="X160" s="2"/>
      <c r="Y160" s="2"/>
      <c r="Z160" s="2"/>
      <c r="AA160" s="2"/>
      <c r="AB160" s="2"/>
      <c r="AC160" s="2"/>
      <c r="AD160" s="2"/>
    </row>
    <row r="161">
      <c r="A161" s="2"/>
      <c r="B161" s="2"/>
      <c r="C161" s="2"/>
      <c r="D161" s="2"/>
      <c r="E161" s="2"/>
      <c r="F161" s="2"/>
      <c r="G161" s="2"/>
      <c r="H161" s="2"/>
      <c r="I161" s="2"/>
      <c r="J161" s="2"/>
      <c r="K161" s="2"/>
      <c r="L161" s="2"/>
      <c r="M161" s="2"/>
      <c r="N161" s="249"/>
      <c r="O161" s="1"/>
      <c r="P161" s="2"/>
      <c r="Q161" s="2"/>
      <c r="R161" s="2"/>
      <c r="S161" s="2"/>
      <c r="T161" s="2"/>
      <c r="U161" s="2"/>
      <c r="V161" s="2"/>
      <c r="W161" s="2"/>
      <c r="X161" s="2"/>
      <c r="Y161" s="2"/>
      <c r="Z161" s="2"/>
      <c r="AA161" s="2"/>
      <c r="AB161" s="2"/>
      <c r="AC161" s="2"/>
      <c r="AD161" s="2"/>
    </row>
    <row r="162">
      <c r="A162" s="2"/>
      <c r="B162" s="2"/>
      <c r="C162" s="2"/>
      <c r="D162" s="1">
        <v>1.0</v>
      </c>
      <c r="E162" s="1">
        <v>1.0</v>
      </c>
      <c r="F162" s="2"/>
      <c r="G162" s="2"/>
      <c r="H162" s="2"/>
      <c r="I162" s="2"/>
      <c r="J162" s="2"/>
      <c r="K162" s="2"/>
      <c r="L162" s="2"/>
      <c r="M162" s="2"/>
      <c r="N162" s="249"/>
      <c r="O162" s="1"/>
      <c r="P162" s="2"/>
      <c r="Q162" s="2"/>
      <c r="R162" s="2"/>
      <c r="S162" s="2"/>
      <c r="T162" s="2"/>
      <c r="U162" s="2"/>
      <c r="V162" s="2"/>
      <c r="W162" s="2"/>
      <c r="X162" s="2"/>
      <c r="Y162" s="2"/>
      <c r="Z162" s="2"/>
      <c r="AA162" s="2"/>
      <c r="AB162" s="2"/>
      <c r="AC162" s="2"/>
      <c r="AD162" s="2"/>
    </row>
    <row r="163">
      <c r="A163" s="2"/>
      <c r="B163" s="2"/>
      <c r="C163" s="2"/>
      <c r="D163" s="1">
        <v>2.0</v>
      </c>
      <c r="E163" s="1">
        <v>1.0</v>
      </c>
      <c r="F163" s="2"/>
      <c r="G163" s="2"/>
      <c r="H163" s="2"/>
      <c r="I163" s="2"/>
      <c r="J163" s="2"/>
      <c r="K163" s="2"/>
      <c r="L163" s="2"/>
      <c r="M163" s="2"/>
      <c r="N163" s="249"/>
      <c r="O163" s="1"/>
      <c r="P163" s="2"/>
      <c r="Q163" s="2"/>
      <c r="R163" s="2"/>
      <c r="S163" s="2"/>
      <c r="T163" s="2"/>
      <c r="U163" s="2"/>
      <c r="V163" s="2"/>
      <c r="W163" s="2"/>
      <c r="X163" s="2"/>
      <c r="Y163" s="2"/>
      <c r="Z163" s="2"/>
      <c r="AA163" s="2"/>
      <c r="AB163" s="2"/>
      <c r="AC163" s="2"/>
      <c r="AD163" s="2"/>
    </row>
    <row r="164">
      <c r="A164" s="2"/>
      <c r="B164" s="2"/>
      <c r="C164" s="2"/>
      <c r="D164" s="1">
        <v>3.0</v>
      </c>
      <c r="E164" s="1">
        <v>1.0</v>
      </c>
      <c r="F164" s="2"/>
      <c r="G164" s="2"/>
      <c r="H164" s="2"/>
      <c r="I164" s="2"/>
      <c r="J164" s="2"/>
      <c r="K164" s="2"/>
      <c r="L164" s="2"/>
      <c r="M164" s="2"/>
      <c r="N164" s="249"/>
      <c r="O164" s="1"/>
      <c r="P164" s="2"/>
      <c r="Q164" s="2"/>
      <c r="R164" s="2"/>
      <c r="S164" s="2"/>
      <c r="T164" s="2"/>
      <c r="U164" s="2"/>
      <c r="V164" s="2"/>
      <c r="W164" s="2"/>
      <c r="X164" s="2"/>
      <c r="Y164" s="2"/>
      <c r="Z164" s="2"/>
      <c r="AA164" s="2"/>
      <c r="AB164" s="2"/>
      <c r="AC164" s="2"/>
      <c r="AD164" s="2"/>
    </row>
    <row r="165">
      <c r="A165" s="2"/>
      <c r="B165" s="2"/>
      <c r="C165" s="2"/>
      <c r="D165" s="1">
        <v>4.0</v>
      </c>
      <c r="E165" s="1">
        <v>0.0</v>
      </c>
      <c r="F165" s="2"/>
      <c r="G165" s="2"/>
      <c r="H165" s="2"/>
      <c r="I165" s="2"/>
      <c r="J165" s="2"/>
      <c r="K165" s="2"/>
      <c r="L165" s="2"/>
      <c r="M165" s="2"/>
      <c r="N165" s="249"/>
      <c r="O165" s="1"/>
      <c r="P165" s="2"/>
      <c r="Q165" s="2"/>
      <c r="R165" s="2"/>
      <c r="S165" s="2"/>
      <c r="T165" s="2"/>
      <c r="U165" s="2"/>
      <c r="V165" s="2"/>
      <c r="W165" s="2"/>
      <c r="X165" s="2"/>
      <c r="Y165" s="2"/>
      <c r="Z165" s="2"/>
      <c r="AA165" s="2"/>
      <c r="AB165" s="2"/>
      <c r="AC165" s="2"/>
      <c r="AD165" s="2"/>
    </row>
    <row r="166">
      <c r="A166" s="2"/>
      <c r="B166" s="2"/>
      <c r="C166" s="2"/>
      <c r="D166" s="1">
        <v>5.0</v>
      </c>
      <c r="E166" s="1">
        <v>1.0</v>
      </c>
      <c r="F166" s="2"/>
      <c r="G166" s="2"/>
      <c r="H166" s="2"/>
      <c r="I166" s="2"/>
      <c r="J166" s="2"/>
      <c r="K166" s="2"/>
      <c r="L166" s="2"/>
      <c r="M166" s="2"/>
      <c r="N166" s="249"/>
      <c r="O166" s="2"/>
      <c r="P166" s="2"/>
      <c r="Q166" s="2"/>
      <c r="R166" s="2"/>
      <c r="S166" s="2"/>
      <c r="T166" s="2"/>
      <c r="U166" s="2"/>
      <c r="V166" s="2"/>
      <c r="W166" s="2"/>
      <c r="X166" s="2"/>
      <c r="Y166" s="2"/>
      <c r="Z166" s="2"/>
      <c r="AA166" s="2"/>
      <c r="AB166" s="2"/>
      <c r="AC166" s="2"/>
      <c r="AD166" s="2"/>
    </row>
    <row r="167">
      <c r="A167" s="2"/>
      <c r="B167" s="2"/>
      <c r="C167" s="2"/>
      <c r="D167" s="1">
        <v>6.0</v>
      </c>
      <c r="E167" s="1">
        <v>1.0</v>
      </c>
      <c r="F167" s="1"/>
      <c r="G167" s="2"/>
      <c r="H167" s="2"/>
      <c r="I167" s="2"/>
      <c r="J167" s="2"/>
      <c r="K167" s="2"/>
      <c r="L167" s="2"/>
      <c r="M167" s="2"/>
      <c r="N167" s="249"/>
      <c r="O167" s="2"/>
      <c r="P167" s="2"/>
      <c r="Q167" s="2"/>
      <c r="R167" s="2"/>
      <c r="S167" s="2"/>
      <c r="T167" s="2"/>
      <c r="U167" s="2"/>
      <c r="V167" s="2"/>
      <c r="W167" s="2"/>
      <c r="X167" s="2"/>
      <c r="Y167" s="2"/>
      <c r="Z167" s="2"/>
      <c r="AA167" s="2"/>
      <c r="AB167" s="2"/>
      <c r="AC167" s="2"/>
      <c r="AD167" s="2"/>
    </row>
    <row r="168">
      <c r="A168" s="2"/>
      <c r="B168" s="2"/>
      <c r="C168" s="2"/>
      <c r="D168" s="1">
        <v>7.0</v>
      </c>
      <c r="E168" s="1">
        <v>2.0</v>
      </c>
      <c r="F168" s="1"/>
      <c r="G168" s="2"/>
      <c r="H168" s="2"/>
      <c r="I168" s="2"/>
      <c r="J168" s="2"/>
      <c r="K168" s="2"/>
      <c r="L168" s="2"/>
      <c r="M168" s="2"/>
      <c r="N168" s="249"/>
      <c r="O168" s="2"/>
      <c r="P168" s="2"/>
      <c r="Q168" s="2"/>
      <c r="R168" s="2"/>
      <c r="S168" s="2"/>
      <c r="T168" s="2"/>
      <c r="U168" s="2"/>
      <c r="V168" s="2"/>
      <c r="W168" s="2"/>
      <c r="X168" s="2"/>
      <c r="Y168" s="2"/>
      <c r="Z168" s="2"/>
      <c r="AA168" s="2"/>
      <c r="AB168" s="2"/>
      <c r="AC168" s="2"/>
      <c r="AD168" s="2"/>
    </row>
    <row r="169">
      <c r="A169" s="2"/>
      <c r="B169" s="2"/>
      <c r="C169" s="2"/>
      <c r="D169" s="1">
        <v>8.0</v>
      </c>
      <c r="E169" s="1">
        <v>1.0</v>
      </c>
      <c r="F169" s="2"/>
      <c r="G169" s="2"/>
      <c r="H169" s="2"/>
      <c r="I169" s="2"/>
      <c r="J169" s="2"/>
      <c r="K169" s="2"/>
      <c r="L169" s="2"/>
      <c r="M169" s="2"/>
      <c r="N169" s="249"/>
      <c r="O169" s="2"/>
      <c r="P169" s="2"/>
      <c r="Q169" s="2"/>
      <c r="R169" s="2"/>
      <c r="S169" s="2"/>
      <c r="T169" s="2"/>
      <c r="U169" s="2"/>
      <c r="V169" s="2"/>
      <c r="W169" s="2"/>
      <c r="X169" s="2"/>
      <c r="Y169" s="2"/>
      <c r="Z169" s="2"/>
      <c r="AA169" s="2"/>
      <c r="AB169" s="2"/>
      <c r="AC169" s="2"/>
      <c r="AD169" s="2"/>
    </row>
    <row r="170">
      <c r="A170" s="2"/>
      <c r="B170" s="2"/>
      <c r="C170" s="2"/>
      <c r="D170" s="1">
        <v>9.0</v>
      </c>
      <c r="E170" s="1">
        <v>0.0</v>
      </c>
      <c r="F170" s="2"/>
      <c r="G170" s="2"/>
      <c r="H170" s="2"/>
      <c r="I170" s="2"/>
      <c r="J170" s="2"/>
      <c r="K170" s="2"/>
      <c r="L170" s="2"/>
      <c r="M170" s="2"/>
      <c r="N170" s="249"/>
      <c r="O170" s="2"/>
      <c r="P170" s="2"/>
      <c r="Q170" s="2"/>
      <c r="R170" s="2"/>
      <c r="S170" s="2"/>
      <c r="T170" s="2"/>
      <c r="U170" s="2"/>
      <c r="V170" s="2"/>
      <c r="W170" s="2"/>
      <c r="X170" s="2"/>
      <c r="Y170" s="2"/>
      <c r="Z170" s="2"/>
      <c r="AA170" s="2"/>
      <c r="AB170" s="2"/>
      <c r="AC170" s="2"/>
      <c r="AD170" s="2"/>
    </row>
    <row r="171">
      <c r="A171" s="2"/>
      <c r="B171" s="2"/>
      <c r="C171" s="2"/>
      <c r="D171" s="1">
        <v>10.0</v>
      </c>
      <c r="E171" s="1">
        <v>1.0</v>
      </c>
      <c r="F171" s="2"/>
      <c r="G171" s="2"/>
      <c r="H171" s="2"/>
      <c r="I171" s="2"/>
      <c r="J171" s="2"/>
      <c r="K171" s="2"/>
      <c r="L171" s="2"/>
      <c r="M171" s="2"/>
      <c r="N171" s="249"/>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2"/>
      <c r="E999" s="2"/>
      <c r="F999" s="2"/>
      <c r="G999" s="2"/>
      <c r="H999" s="2"/>
      <c r="I999" s="2"/>
      <c r="K999" s="2"/>
      <c r="L999" s="2"/>
      <c r="M999" s="2"/>
      <c r="N999" s="2"/>
      <c r="O999" s="2"/>
      <c r="P999" s="2"/>
      <c r="Q999" s="2"/>
      <c r="R999" s="2"/>
      <c r="S999" s="2"/>
      <c r="T999" s="2"/>
      <c r="U999" s="2"/>
      <c r="V999" s="2"/>
      <c r="W999" s="2"/>
      <c r="X999" s="2"/>
      <c r="Y999" s="2"/>
      <c r="Z999" s="2"/>
      <c r="AA999" s="2"/>
      <c r="AB999" s="2"/>
      <c r="AC999" s="2"/>
      <c r="AD999" s="2"/>
    </row>
    <row r="1000">
      <c r="A1000" s="2"/>
      <c r="B1000" s="2"/>
      <c r="C1000" s="2"/>
      <c r="D1000" s="2"/>
      <c r="E1000" s="2"/>
      <c r="F1000" s="2"/>
      <c r="G1000" s="2"/>
      <c r="H1000" s="2"/>
      <c r="I1000" s="2"/>
      <c r="K1000" s="2"/>
      <c r="L1000" s="2"/>
      <c r="M1000" s="2"/>
      <c r="N1000" s="2"/>
      <c r="O1000" s="2"/>
      <c r="P1000" s="2"/>
      <c r="Q1000" s="2"/>
      <c r="R1000" s="2"/>
      <c r="S1000" s="2"/>
      <c r="T1000" s="2"/>
      <c r="U1000" s="2"/>
      <c r="V1000" s="2"/>
      <c r="W1000" s="2"/>
      <c r="X1000" s="2"/>
      <c r="Y1000" s="2"/>
      <c r="Z1000" s="2"/>
      <c r="AA1000" s="2"/>
      <c r="AB1000" s="2"/>
      <c r="AC1000" s="2"/>
      <c r="AD1000" s="2"/>
    </row>
    <row r="1001">
      <c r="A1001" s="2"/>
      <c r="B1001" s="2"/>
      <c r="C1001" s="2"/>
      <c r="D1001" s="2"/>
      <c r="E1001" s="2"/>
      <c r="F1001" s="2"/>
      <c r="G1001" s="2"/>
      <c r="H1001" s="2"/>
      <c r="I1001" s="2"/>
      <c r="K1001" s="2"/>
      <c r="L1001" s="2"/>
      <c r="M1001" s="2"/>
      <c r="N1001" s="2"/>
      <c r="O1001" s="2"/>
      <c r="P1001" s="2"/>
      <c r="Q1001" s="2"/>
      <c r="R1001" s="2"/>
      <c r="S1001" s="2"/>
      <c r="T1001" s="2"/>
      <c r="U1001" s="2"/>
      <c r="V1001" s="2"/>
      <c r="W1001" s="2"/>
      <c r="X1001" s="2"/>
      <c r="Y1001" s="2"/>
      <c r="Z1001" s="2"/>
      <c r="AA1001" s="2"/>
      <c r="AB1001" s="2"/>
      <c r="AC1001" s="2"/>
      <c r="AD1001" s="2"/>
    </row>
    <row r="1002">
      <c r="A1002" s="2"/>
      <c r="B1002" s="2"/>
      <c r="C1002" s="2"/>
      <c r="D1002" s="2"/>
      <c r="E1002" s="2"/>
      <c r="F1002" s="2"/>
      <c r="G1002" s="2"/>
      <c r="H1002" s="2"/>
      <c r="I1002" s="2"/>
      <c r="K1002" s="2"/>
      <c r="L1002" s="2"/>
      <c r="M1002" s="2"/>
      <c r="N1002" s="2"/>
      <c r="O1002" s="2"/>
      <c r="P1002" s="2"/>
      <c r="Q1002" s="2"/>
      <c r="R1002" s="2"/>
      <c r="S1002" s="2"/>
      <c r="T1002" s="2"/>
      <c r="U1002" s="2"/>
      <c r="V1002" s="2"/>
      <c r="W1002" s="2"/>
      <c r="X1002" s="2"/>
      <c r="Y1002" s="2"/>
      <c r="Z1002" s="2"/>
      <c r="AA1002" s="2"/>
      <c r="AB1002" s="2"/>
      <c r="AC1002" s="2"/>
      <c r="AD1002" s="2"/>
    </row>
    <row r="1003">
      <c r="A1003" s="2"/>
      <c r="B1003" s="2"/>
      <c r="C1003" s="2"/>
      <c r="D1003" s="2"/>
      <c r="E1003" s="2"/>
      <c r="F1003" s="2"/>
      <c r="G1003" s="2"/>
      <c r="H1003" s="2"/>
      <c r="I1003" s="2"/>
      <c r="K1003" s="2"/>
      <c r="L1003" s="2"/>
      <c r="M1003" s="2"/>
      <c r="N1003" s="2"/>
      <c r="O1003" s="2"/>
      <c r="P1003" s="2"/>
      <c r="Q1003" s="2"/>
      <c r="R1003" s="2"/>
      <c r="S1003" s="2"/>
      <c r="T1003" s="2"/>
      <c r="U1003" s="2"/>
      <c r="V1003" s="2"/>
      <c r="W1003" s="2"/>
      <c r="X1003" s="2"/>
      <c r="Y1003" s="2"/>
      <c r="Z1003" s="2"/>
      <c r="AA1003" s="2"/>
      <c r="AB1003" s="2"/>
      <c r="AC1003" s="2"/>
      <c r="AD1003" s="2"/>
    </row>
    <row r="1004">
      <c r="A1004" s="2"/>
      <c r="B1004" s="2"/>
      <c r="C1004" s="2"/>
      <c r="D1004" s="2"/>
      <c r="E1004" s="2"/>
      <c r="F1004" s="2"/>
      <c r="G1004" s="2"/>
      <c r="H1004" s="2"/>
      <c r="I1004" s="2"/>
      <c r="K1004" s="2"/>
      <c r="L1004" s="2"/>
      <c r="M1004" s="2"/>
      <c r="N1004" s="2"/>
      <c r="O1004" s="2"/>
      <c r="P1004" s="2"/>
      <c r="Q1004" s="2"/>
      <c r="R1004" s="2"/>
      <c r="S1004" s="2"/>
      <c r="T1004" s="2"/>
      <c r="U1004" s="2"/>
      <c r="V1004" s="2"/>
      <c r="W1004" s="2"/>
      <c r="X1004" s="2"/>
      <c r="Y1004" s="2"/>
      <c r="Z1004" s="2"/>
      <c r="AA1004" s="2"/>
      <c r="AB1004" s="2"/>
      <c r="AC1004" s="2"/>
      <c r="AD1004" s="2"/>
    </row>
    <row r="1005">
      <c r="A1005" s="2"/>
      <c r="B1005" s="2"/>
      <c r="C1005" s="2"/>
      <c r="D1005" s="2"/>
      <c r="E1005" s="2"/>
      <c r="F1005" s="2"/>
      <c r="G1005" s="2"/>
      <c r="H1005" s="2"/>
      <c r="I1005" s="2"/>
      <c r="K1005" s="2"/>
      <c r="L1005" s="2"/>
      <c r="M1005" s="2"/>
      <c r="N1005" s="2"/>
      <c r="O1005" s="2"/>
      <c r="P1005" s="2"/>
      <c r="Q1005" s="2"/>
      <c r="R1005" s="2"/>
      <c r="S1005" s="2"/>
      <c r="T1005" s="2"/>
      <c r="U1005" s="2"/>
      <c r="V1005" s="2"/>
      <c r="W1005" s="2"/>
      <c r="X1005" s="2"/>
      <c r="Y1005" s="2"/>
      <c r="Z1005" s="2"/>
      <c r="AA1005" s="2"/>
      <c r="AB1005" s="2"/>
      <c r="AC1005" s="2"/>
      <c r="AD1005" s="2"/>
    </row>
    <row r="1006">
      <c r="A1006" s="2"/>
      <c r="B1006" s="2"/>
      <c r="C1006" s="2"/>
      <c r="D1006" s="2"/>
      <c r="E1006" s="2"/>
      <c r="F1006" s="2"/>
      <c r="G1006" s="2"/>
      <c r="H1006" s="2"/>
      <c r="I1006" s="2"/>
      <c r="K1006" s="2"/>
      <c r="L1006" s="2"/>
      <c r="M1006" s="2"/>
      <c r="N1006" s="2"/>
      <c r="O1006" s="2"/>
      <c r="P1006" s="2"/>
      <c r="Q1006" s="2"/>
      <c r="R1006" s="2"/>
      <c r="S1006" s="2"/>
      <c r="T1006" s="2"/>
      <c r="U1006" s="2"/>
      <c r="V1006" s="2"/>
      <c r="W1006" s="2"/>
      <c r="X1006" s="2"/>
      <c r="Y1006" s="2"/>
      <c r="Z1006" s="2"/>
      <c r="AA1006" s="2"/>
      <c r="AB1006" s="2"/>
      <c r="AC1006" s="2"/>
      <c r="AD1006" s="2"/>
    </row>
    <row r="1007">
      <c r="A1007" s="2"/>
      <c r="B1007" s="2"/>
      <c r="C1007" s="2"/>
      <c r="D1007" s="2"/>
      <c r="E1007" s="2"/>
      <c r="F1007" s="2"/>
      <c r="G1007" s="2"/>
      <c r="H1007" s="2"/>
      <c r="I1007" s="2"/>
      <c r="K1007" s="2"/>
      <c r="L1007" s="2"/>
      <c r="M1007" s="2"/>
      <c r="N1007" s="2"/>
      <c r="O1007" s="2"/>
      <c r="P1007" s="2"/>
      <c r="Q1007" s="2"/>
      <c r="R1007" s="2"/>
      <c r="S1007" s="2"/>
      <c r="T1007" s="2"/>
      <c r="U1007" s="2"/>
      <c r="V1007" s="2"/>
      <c r="W1007" s="2"/>
      <c r="X1007" s="2"/>
      <c r="Y1007" s="2"/>
      <c r="Z1007" s="2"/>
      <c r="AA1007" s="2"/>
      <c r="AB1007" s="2"/>
      <c r="AC1007" s="2"/>
      <c r="AD1007" s="2"/>
    </row>
    <row r="1008">
      <c r="A1008" s="2"/>
      <c r="B1008" s="2"/>
      <c r="C1008" s="2"/>
      <c r="D1008" s="2"/>
      <c r="E1008" s="2"/>
      <c r="K1008" s="2"/>
      <c r="L1008" s="2"/>
      <c r="M1008" s="2"/>
      <c r="N1008" s="2"/>
      <c r="O1008" s="2"/>
      <c r="P1008" s="2"/>
      <c r="Q1008" s="2"/>
      <c r="R1008" s="2"/>
      <c r="S1008" s="2"/>
      <c r="T1008" s="2"/>
      <c r="U1008" s="2"/>
      <c r="V1008" s="2"/>
      <c r="W1008" s="2"/>
      <c r="X1008" s="2"/>
      <c r="Y1008" s="2"/>
      <c r="Z1008" s="2"/>
      <c r="AA1008" s="2"/>
      <c r="AB1008" s="2"/>
      <c r="AC1008" s="2"/>
      <c r="AD1008" s="2"/>
    </row>
    <row r="1009">
      <c r="A1009" s="2"/>
      <c r="B1009" s="2"/>
      <c r="C1009" s="2"/>
      <c r="D1009" s="2"/>
      <c r="E1009" s="2"/>
      <c r="K1009" s="2"/>
      <c r="L1009" s="2"/>
      <c r="M1009" s="2"/>
      <c r="N1009" s="2"/>
      <c r="O1009" s="2"/>
      <c r="P1009" s="2"/>
      <c r="Q1009" s="2"/>
      <c r="R1009" s="2"/>
      <c r="S1009" s="2"/>
      <c r="T1009" s="2"/>
      <c r="U1009" s="2"/>
      <c r="V1009" s="2"/>
      <c r="W1009" s="2"/>
      <c r="X1009" s="2"/>
      <c r="Y1009" s="2"/>
      <c r="Z1009" s="2"/>
      <c r="AA1009" s="2"/>
      <c r="AB1009" s="2"/>
      <c r="AC1009" s="2"/>
      <c r="AD1009" s="2"/>
    </row>
    <row r="1010">
      <c r="A1010" s="2"/>
      <c r="B1010" s="2"/>
      <c r="C1010" s="2"/>
      <c r="D1010" s="2"/>
      <c r="E1010" s="2"/>
      <c r="K1010" s="2"/>
      <c r="L1010" s="2"/>
      <c r="M1010" s="2"/>
      <c r="N1010" s="2"/>
      <c r="O1010" s="2"/>
      <c r="P1010" s="2"/>
      <c r="Q1010" s="2"/>
      <c r="R1010" s="2"/>
      <c r="S1010" s="2"/>
      <c r="T1010" s="2"/>
      <c r="U1010" s="2"/>
      <c r="V1010" s="2"/>
      <c r="W1010" s="2"/>
      <c r="X1010" s="2"/>
      <c r="Y1010" s="2"/>
      <c r="Z1010" s="2"/>
      <c r="AA1010" s="2"/>
      <c r="AB1010" s="2"/>
      <c r="AC1010" s="2"/>
      <c r="AD1010" s="2"/>
    </row>
    <row r="1011">
      <c r="A1011" s="2"/>
      <c r="B1011" s="2"/>
      <c r="C1011" s="2"/>
      <c r="D1011" s="2"/>
      <c r="E1011" s="2"/>
      <c r="K1011" s="2"/>
      <c r="L1011" s="2"/>
      <c r="M1011" s="2"/>
      <c r="N1011" s="2"/>
      <c r="O1011" s="2"/>
      <c r="P1011" s="2"/>
      <c r="Q1011" s="2"/>
      <c r="R1011" s="2"/>
      <c r="S1011" s="2"/>
      <c r="T1011" s="2"/>
      <c r="U1011" s="2"/>
      <c r="V1011" s="2"/>
      <c r="W1011" s="2"/>
      <c r="X1011" s="2"/>
      <c r="Y1011" s="2"/>
      <c r="Z1011" s="2"/>
      <c r="AA1011" s="2"/>
      <c r="AB1011" s="2"/>
      <c r="AC1011" s="2"/>
      <c r="AD1011" s="2"/>
    </row>
    <row r="1012">
      <c r="A1012" s="2"/>
      <c r="B1012" s="2"/>
      <c r="C1012" s="2"/>
      <c r="D1012" s="2"/>
      <c r="E1012" s="2"/>
      <c r="K1012" s="2"/>
      <c r="L1012" s="2"/>
      <c r="M1012" s="2"/>
      <c r="N1012" s="2"/>
      <c r="O1012" s="2"/>
      <c r="P1012" s="2"/>
      <c r="Q1012" s="2"/>
      <c r="R1012" s="2"/>
      <c r="S1012" s="2"/>
      <c r="T1012" s="2"/>
      <c r="U1012" s="2"/>
      <c r="V1012" s="2"/>
      <c r="W1012" s="2"/>
      <c r="X1012" s="2"/>
      <c r="Y1012" s="2"/>
      <c r="Z1012" s="2"/>
      <c r="AA1012" s="2"/>
      <c r="AB1012" s="2"/>
      <c r="AC1012" s="2"/>
      <c r="AD1012" s="2"/>
    </row>
    <row r="1013">
      <c r="A1013" s="2"/>
      <c r="B1013" s="2"/>
      <c r="C1013" s="2"/>
      <c r="D1013" s="2"/>
      <c r="E1013" s="2"/>
      <c r="K1013" s="2"/>
      <c r="L1013" s="2"/>
      <c r="M1013" s="2"/>
      <c r="N1013" s="2"/>
      <c r="O1013" s="2"/>
      <c r="P1013" s="2"/>
      <c r="Q1013" s="2"/>
      <c r="R1013" s="2"/>
      <c r="S1013" s="2"/>
      <c r="T1013" s="2"/>
      <c r="U1013" s="2"/>
      <c r="V1013" s="2"/>
      <c r="W1013" s="2"/>
      <c r="X1013" s="2"/>
      <c r="Y1013" s="2"/>
      <c r="Z1013" s="2"/>
      <c r="AA1013" s="2"/>
      <c r="AB1013" s="2"/>
      <c r="AC1013" s="2"/>
      <c r="AD1013" s="2"/>
    </row>
    <row r="1014">
      <c r="A1014" s="2"/>
      <c r="B1014" s="2"/>
      <c r="C1014" s="2"/>
      <c r="D1014" s="2"/>
      <c r="E1014" s="2"/>
      <c r="K1014" s="2"/>
      <c r="L1014" s="2"/>
      <c r="M1014" s="2"/>
      <c r="N1014" s="2"/>
      <c r="O1014" s="2"/>
      <c r="P1014" s="2"/>
      <c r="Q1014" s="2"/>
      <c r="R1014" s="2"/>
      <c r="S1014" s="2"/>
      <c r="T1014" s="2"/>
      <c r="U1014" s="2"/>
      <c r="V1014" s="2"/>
      <c r="W1014" s="2"/>
      <c r="X1014" s="2"/>
      <c r="Y1014" s="2"/>
      <c r="Z1014" s="2"/>
      <c r="AA1014" s="2"/>
      <c r="AB1014" s="2"/>
      <c r="AC1014" s="2"/>
      <c r="AD1014" s="2"/>
    </row>
    <row r="1015">
      <c r="A1015" s="2"/>
      <c r="B1015" s="2"/>
      <c r="C1015" s="2"/>
      <c r="D1015" s="2"/>
      <c r="E1015" s="2"/>
      <c r="K1015" s="2"/>
      <c r="L1015" s="2"/>
      <c r="M1015" s="2"/>
      <c r="N1015" s="2"/>
      <c r="O1015" s="2"/>
      <c r="P1015" s="2"/>
      <c r="Q1015" s="2"/>
      <c r="R1015" s="2"/>
      <c r="S1015" s="2"/>
      <c r="T1015" s="2"/>
      <c r="U1015" s="2"/>
      <c r="V1015" s="2"/>
      <c r="W1015" s="2"/>
      <c r="X1015" s="2"/>
      <c r="Y1015" s="2"/>
      <c r="Z1015" s="2"/>
      <c r="AA1015" s="2"/>
      <c r="AB1015" s="2"/>
      <c r="AC1015" s="2"/>
      <c r="AD1015" s="2"/>
    </row>
    <row r="1016">
      <c r="A1016" s="2"/>
      <c r="B1016" s="2"/>
      <c r="C1016" s="2"/>
      <c r="D1016" s="2"/>
      <c r="E1016" s="2"/>
      <c r="K1016" s="2"/>
      <c r="L1016" s="2"/>
      <c r="M1016" s="2"/>
      <c r="N1016" s="2"/>
      <c r="O1016" s="2"/>
      <c r="P1016" s="2"/>
      <c r="Q1016" s="2"/>
      <c r="R1016" s="2"/>
      <c r="S1016" s="2"/>
      <c r="T1016" s="2"/>
      <c r="U1016" s="2"/>
      <c r="V1016" s="2"/>
      <c r="W1016" s="2"/>
      <c r="X1016" s="2"/>
      <c r="Y1016" s="2"/>
      <c r="Z1016" s="2"/>
      <c r="AA1016" s="2"/>
      <c r="AB1016" s="2"/>
      <c r="AC1016" s="2"/>
      <c r="AD1016" s="2"/>
    </row>
    <row r="1017">
      <c r="A1017" s="2"/>
      <c r="B1017" s="2"/>
      <c r="C1017" s="2"/>
      <c r="D1017" s="2"/>
      <c r="E1017" s="2"/>
      <c r="K1017" s="2"/>
      <c r="L1017" s="2"/>
      <c r="M1017" s="2"/>
      <c r="N1017" s="2"/>
      <c r="O1017" s="2"/>
      <c r="P1017" s="2"/>
      <c r="Q1017" s="2"/>
      <c r="R1017" s="2"/>
      <c r="S1017" s="2"/>
      <c r="T1017" s="2"/>
      <c r="U1017" s="2"/>
      <c r="V1017" s="2"/>
      <c r="W1017" s="2"/>
      <c r="X1017" s="2"/>
      <c r="Y1017" s="2"/>
      <c r="Z1017" s="2"/>
      <c r="AA1017" s="2"/>
      <c r="AB1017" s="2"/>
      <c r="AC1017" s="2"/>
      <c r="AD1017" s="2"/>
    </row>
    <row r="1018">
      <c r="A1018" s="2"/>
      <c r="B1018" s="2"/>
      <c r="C1018" s="2"/>
      <c r="D1018" s="2"/>
      <c r="E1018" s="2"/>
      <c r="K1018" s="2"/>
      <c r="L1018" s="2"/>
      <c r="M1018" s="2"/>
      <c r="N1018" s="2"/>
      <c r="O1018" s="2"/>
      <c r="P1018" s="2"/>
      <c r="Q1018" s="2"/>
      <c r="R1018" s="2"/>
      <c r="S1018" s="2"/>
      <c r="T1018" s="2"/>
      <c r="U1018" s="2"/>
      <c r="V1018" s="2"/>
      <c r="W1018" s="2"/>
      <c r="X1018" s="2"/>
      <c r="Y1018" s="2"/>
      <c r="Z1018" s="2"/>
      <c r="AA1018" s="2"/>
      <c r="AB1018" s="2"/>
      <c r="AC1018" s="2"/>
      <c r="AD1018" s="2"/>
    </row>
    <row r="1019">
      <c r="A1019" s="2"/>
      <c r="B1019" s="2"/>
      <c r="C1019" s="2"/>
      <c r="D1019" s="2"/>
      <c r="E1019" s="2"/>
      <c r="K1019" s="2"/>
      <c r="L1019" s="2"/>
      <c r="M1019" s="2"/>
      <c r="N1019" s="2"/>
      <c r="O1019" s="2"/>
      <c r="P1019" s="2"/>
      <c r="Q1019" s="2"/>
      <c r="R1019" s="2"/>
      <c r="S1019" s="2"/>
      <c r="T1019" s="2"/>
      <c r="U1019" s="2"/>
      <c r="V1019" s="2"/>
      <c r="W1019" s="2"/>
      <c r="X1019" s="2"/>
      <c r="Y1019" s="2"/>
      <c r="Z1019" s="2"/>
      <c r="AA1019" s="2"/>
      <c r="AB1019" s="2"/>
      <c r="AC1019" s="2"/>
      <c r="AD1019" s="2"/>
    </row>
    <row r="1020">
      <c r="A1020" s="2"/>
      <c r="B1020" s="2"/>
      <c r="C1020" s="2"/>
      <c r="D1020" s="2"/>
      <c r="E1020" s="2"/>
      <c r="K1020" s="2"/>
      <c r="L1020" s="2"/>
      <c r="M1020" s="2"/>
      <c r="N1020" s="2"/>
      <c r="O1020" s="2"/>
      <c r="P1020" s="2"/>
      <c r="Q1020" s="2"/>
      <c r="R1020" s="2"/>
      <c r="S1020" s="2"/>
      <c r="T1020" s="2"/>
      <c r="U1020" s="2"/>
      <c r="V1020" s="2"/>
      <c r="W1020" s="2"/>
      <c r="X1020" s="2"/>
      <c r="Y1020" s="2"/>
      <c r="Z1020" s="2"/>
      <c r="AA1020" s="2"/>
      <c r="AB1020" s="2"/>
      <c r="AC1020" s="2"/>
      <c r="AD1020" s="2"/>
    </row>
    <row r="1021">
      <c r="A1021" s="2"/>
      <c r="B1021" s="2"/>
      <c r="C1021" s="2"/>
      <c r="D1021" s="2"/>
      <c r="E1021" s="2"/>
      <c r="K1021" s="2"/>
      <c r="L1021" s="2"/>
      <c r="M1021" s="2"/>
      <c r="N1021" s="2"/>
      <c r="O1021" s="2"/>
      <c r="P1021" s="2"/>
      <c r="Q1021" s="2"/>
      <c r="R1021" s="2"/>
      <c r="S1021" s="2"/>
      <c r="T1021" s="2"/>
      <c r="U1021" s="2"/>
      <c r="V1021" s="2"/>
      <c r="W1021" s="2"/>
      <c r="X1021" s="2"/>
      <c r="Y1021" s="2"/>
      <c r="Z1021" s="2"/>
      <c r="AA1021" s="2"/>
      <c r="AB1021" s="2"/>
      <c r="AC1021" s="2"/>
      <c r="AD1021" s="2"/>
    </row>
    <row r="1022">
      <c r="A1022" s="2"/>
      <c r="B1022" s="2"/>
      <c r="C1022" s="2"/>
      <c r="D1022" s="2"/>
      <c r="E1022" s="2"/>
      <c r="K1022" s="2"/>
      <c r="L1022" s="2"/>
      <c r="M1022" s="2"/>
      <c r="N1022" s="2"/>
      <c r="O1022" s="2"/>
      <c r="P1022" s="2"/>
      <c r="Q1022" s="2"/>
      <c r="R1022" s="2"/>
      <c r="S1022" s="2"/>
      <c r="T1022" s="2"/>
      <c r="U1022" s="2"/>
      <c r="V1022" s="2"/>
      <c r="W1022" s="2"/>
      <c r="X1022" s="2"/>
      <c r="Y1022" s="2"/>
      <c r="Z1022" s="2"/>
      <c r="AA1022" s="2"/>
      <c r="AB1022" s="2"/>
      <c r="AC1022" s="2"/>
      <c r="AD1022" s="2"/>
    </row>
    <row r="1023">
      <c r="A1023" s="2"/>
      <c r="B1023" s="2"/>
      <c r="C1023" s="2"/>
      <c r="D1023" s="2"/>
      <c r="E1023" s="2"/>
      <c r="K1023" s="2"/>
      <c r="L1023" s="2"/>
      <c r="M1023" s="2"/>
      <c r="N1023" s="2"/>
      <c r="O1023" s="2"/>
      <c r="P1023" s="2"/>
      <c r="Q1023" s="2"/>
      <c r="R1023" s="2"/>
      <c r="S1023" s="2"/>
      <c r="T1023" s="2"/>
      <c r="U1023" s="2"/>
      <c r="V1023" s="2"/>
      <c r="W1023" s="2"/>
      <c r="X1023" s="2"/>
      <c r="Y1023" s="2"/>
      <c r="Z1023" s="2"/>
      <c r="AA1023" s="2"/>
      <c r="AB1023" s="2"/>
      <c r="AC1023" s="2"/>
      <c r="AD1023" s="2"/>
    </row>
    <row r="1024">
      <c r="A1024" s="2"/>
      <c r="B1024" s="2"/>
      <c r="C1024" s="2"/>
      <c r="D1024" s="2"/>
      <c r="E1024" s="2"/>
      <c r="K1024" s="2"/>
      <c r="L1024" s="2"/>
      <c r="M1024" s="2"/>
      <c r="N1024" s="2"/>
      <c r="O1024" s="2"/>
      <c r="P1024" s="2"/>
      <c r="Q1024" s="2"/>
      <c r="R1024" s="2"/>
      <c r="S1024" s="2"/>
      <c r="T1024" s="2"/>
      <c r="U1024" s="2"/>
      <c r="V1024" s="2"/>
      <c r="W1024" s="2"/>
      <c r="X1024" s="2"/>
      <c r="Y1024" s="2"/>
      <c r="Z1024" s="2"/>
      <c r="AA1024" s="2"/>
      <c r="AB1024" s="2"/>
      <c r="AC1024" s="2"/>
      <c r="AD1024" s="2"/>
    </row>
    <row r="1025">
      <c r="A1025" s="2"/>
      <c r="B1025" s="2"/>
      <c r="C1025" s="2"/>
      <c r="D1025" s="2"/>
      <c r="E1025" s="2"/>
      <c r="K1025" s="2"/>
      <c r="L1025" s="2"/>
      <c r="M1025" s="2"/>
      <c r="N1025" s="2"/>
      <c r="O1025" s="2"/>
      <c r="P1025" s="2"/>
      <c r="Q1025" s="2"/>
      <c r="R1025" s="2"/>
      <c r="S1025" s="2"/>
      <c r="T1025" s="2"/>
      <c r="U1025" s="2"/>
      <c r="V1025" s="2"/>
      <c r="W1025" s="2"/>
      <c r="X1025" s="2"/>
      <c r="Y1025" s="2"/>
      <c r="Z1025" s="2"/>
      <c r="AA1025" s="2"/>
      <c r="AB1025" s="2"/>
      <c r="AC1025" s="2"/>
      <c r="AD1025" s="2"/>
    </row>
    <row r="1026">
      <c r="A1026" s="2"/>
      <c r="B1026" s="2"/>
      <c r="C1026" s="2"/>
      <c r="D1026" s="2"/>
      <c r="E1026" s="2"/>
      <c r="K1026" s="2"/>
      <c r="L1026" s="2"/>
      <c r="M1026" s="2"/>
      <c r="N1026" s="2"/>
      <c r="O1026" s="2"/>
      <c r="P1026" s="2"/>
      <c r="Q1026" s="2"/>
      <c r="R1026" s="2"/>
      <c r="S1026" s="2"/>
      <c r="T1026" s="2"/>
      <c r="U1026" s="2"/>
      <c r="V1026" s="2"/>
      <c r="W1026" s="2"/>
      <c r="X1026" s="2"/>
      <c r="Y1026" s="2"/>
      <c r="Z1026" s="2"/>
      <c r="AA1026" s="2"/>
      <c r="AB1026" s="2"/>
      <c r="AC1026" s="2"/>
      <c r="AD1026" s="2"/>
    </row>
    <row r="1027">
      <c r="A1027" s="2"/>
      <c r="B1027" s="2"/>
      <c r="C1027" s="2"/>
      <c r="D1027" s="2"/>
      <c r="E1027" s="2"/>
      <c r="K1027" s="2"/>
      <c r="L1027" s="2"/>
      <c r="M1027" s="2"/>
      <c r="N1027" s="2"/>
      <c r="O1027" s="2"/>
      <c r="P1027" s="2"/>
      <c r="Q1027" s="2"/>
      <c r="R1027" s="2"/>
      <c r="S1027" s="2"/>
      <c r="T1027" s="2"/>
      <c r="U1027" s="2"/>
      <c r="V1027" s="2"/>
      <c r="W1027" s="2"/>
      <c r="X1027" s="2"/>
      <c r="Y1027" s="2"/>
      <c r="Z1027" s="2"/>
      <c r="AA1027" s="2"/>
      <c r="AB1027" s="2"/>
      <c r="AC1027" s="2"/>
      <c r="AD1027" s="2"/>
    </row>
    <row r="1028">
      <c r="A1028" s="2"/>
      <c r="B1028" s="2"/>
      <c r="C1028" s="2"/>
      <c r="D1028" s="2"/>
      <c r="E1028" s="2"/>
      <c r="K1028" s="2"/>
      <c r="L1028" s="2"/>
      <c r="M1028" s="2"/>
      <c r="N1028" s="2"/>
      <c r="O1028" s="2"/>
      <c r="P1028" s="2"/>
      <c r="Q1028" s="2"/>
      <c r="R1028" s="2"/>
      <c r="S1028" s="2"/>
      <c r="T1028" s="2"/>
      <c r="U1028" s="2"/>
      <c r="V1028" s="2"/>
      <c r="W1028" s="2"/>
      <c r="X1028" s="2"/>
      <c r="Y1028" s="2"/>
      <c r="Z1028" s="2"/>
      <c r="AA1028" s="2"/>
      <c r="AB1028" s="2"/>
      <c r="AC1028" s="2"/>
      <c r="AD1028" s="2"/>
    </row>
    <row r="1029">
      <c r="A1029" s="2"/>
      <c r="B1029" s="2"/>
      <c r="C1029" s="2"/>
      <c r="D1029" s="2"/>
      <c r="E1029" s="2"/>
      <c r="K1029" s="2"/>
      <c r="L1029" s="2"/>
      <c r="M1029" s="2"/>
      <c r="N1029" s="2"/>
      <c r="O1029" s="2"/>
      <c r="P1029" s="2"/>
      <c r="Q1029" s="2"/>
      <c r="R1029" s="2"/>
      <c r="S1029" s="2"/>
      <c r="T1029" s="2"/>
      <c r="U1029" s="2"/>
      <c r="V1029" s="2"/>
      <c r="W1029" s="2"/>
      <c r="X1029" s="2"/>
      <c r="Y1029" s="2"/>
      <c r="Z1029" s="2"/>
      <c r="AA1029" s="2"/>
      <c r="AB1029" s="2"/>
      <c r="AC1029" s="2"/>
      <c r="AD1029" s="2"/>
    </row>
    <row r="1030">
      <c r="A1030" s="2"/>
      <c r="B1030" s="2"/>
      <c r="C1030" s="2"/>
      <c r="D1030" s="2"/>
      <c r="E1030" s="2"/>
      <c r="K1030" s="2"/>
      <c r="L1030" s="2"/>
      <c r="M1030" s="2"/>
      <c r="N1030" s="2"/>
      <c r="O1030" s="2"/>
      <c r="P1030" s="2"/>
      <c r="Q1030" s="2"/>
      <c r="R1030" s="2"/>
      <c r="S1030" s="2"/>
      <c r="T1030" s="2"/>
      <c r="U1030" s="2"/>
      <c r="V1030" s="2"/>
      <c r="W1030" s="2"/>
      <c r="X1030" s="2"/>
      <c r="Y1030" s="2"/>
      <c r="Z1030" s="2"/>
      <c r="AA1030" s="2"/>
      <c r="AB1030" s="2"/>
      <c r="AC1030" s="2"/>
      <c r="AD1030" s="2"/>
    </row>
    <row r="1031">
      <c r="A1031" s="2"/>
      <c r="B1031" s="2"/>
      <c r="C1031" s="2"/>
      <c r="D1031" s="2"/>
      <c r="E1031" s="2"/>
      <c r="K1031" s="2"/>
      <c r="L1031" s="2"/>
      <c r="M1031" s="2"/>
      <c r="N1031" s="2"/>
      <c r="O1031" s="2"/>
      <c r="P1031" s="2"/>
      <c r="Q1031" s="2"/>
      <c r="R1031" s="2"/>
      <c r="S1031" s="2"/>
      <c r="T1031" s="2"/>
      <c r="U1031" s="2"/>
      <c r="V1031" s="2"/>
      <c r="W1031" s="2"/>
      <c r="X1031" s="2"/>
      <c r="Y1031" s="2"/>
      <c r="Z1031" s="2"/>
      <c r="AA1031" s="2"/>
      <c r="AB1031" s="2"/>
      <c r="AC1031" s="2"/>
      <c r="AD1031" s="2"/>
    </row>
    <row r="1032">
      <c r="A1032" s="2"/>
      <c r="B1032" s="2"/>
      <c r="C1032" s="2"/>
      <c r="D1032" s="2"/>
      <c r="E1032" s="2"/>
      <c r="K1032" s="2"/>
      <c r="L1032" s="2"/>
      <c r="M1032" s="2"/>
      <c r="N1032" s="2"/>
      <c r="O1032" s="2"/>
      <c r="P1032" s="2"/>
      <c r="Q1032" s="2"/>
      <c r="R1032" s="2"/>
      <c r="S1032" s="2"/>
      <c r="T1032" s="2"/>
      <c r="U1032" s="2"/>
      <c r="V1032" s="2"/>
      <c r="W1032" s="2"/>
      <c r="X1032" s="2"/>
      <c r="Y1032" s="2"/>
      <c r="Z1032" s="2"/>
      <c r="AA1032" s="2"/>
      <c r="AB1032" s="2"/>
      <c r="AC1032" s="2"/>
      <c r="AD1032" s="2"/>
    </row>
    <row r="1033">
      <c r="A1033" s="2"/>
      <c r="B1033" s="2"/>
      <c r="C1033" s="2"/>
      <c r="D1033" s="2"/>
      <c r="E1033" s="2"/>
      <c r="K1033" s="2"/>
      <c r="L1033" s="2"/>
      <c r="M1033" s="2"/>
      <c r="N1033" s="2"/>
      <c r="O1033" s="2"/>
      <c r="P1033" s="2"/>
      <c r="Q1033" s="2"/>
      <c r="R1033" s="2"/>
      <c r="S1033" s="2"/>
      <c r="T1033" s="2"/>
      <c r="U1033" s="2"/>
      <c r="V1033" s="2"/>
      <c r="W1033" s="2"/>
      <c r="X1033" s="2"/>
      <c r="Y1033" s="2"/>
      <c r="Z1033" s="2"/>
      <c r="AA1033" s="2"/>
      <c r="AB1033" s="2"/>
      <c r="AC1033" s="2"/>
      <c r="AD1033" s="2"/>
    </row>
    <row r="1034">
      <c r="A1034" s="2"/>
      <c r="B1034" s="2"/>
      <c r="C1034" s="2"/>
      <c r="D1034" s="2"/>
      <c r="E1034" s="2"/>
      <c r="K1034" s="2"/>
      <c r="L1034" s="2"/>
      <c r="M1034" s="2"/>
      <c r="N1034" s="2"/>
      <c r="O1034" s="2"/>
      <c r="P1034" s="2"/>
      <c r="Q1034" s="2"/>
      <c r="R1034" s="2"/>
      <c r="S1034" s="2"/>
      <c r="T1034" s="2"/>
      <c r="U1034" s="2"/>
      <c r="V1034" s="2"/>
      <c r="W1034" s="2"/>
      <c r="X1034" s="2"/>
      <c r="Y1034" s="2"/>
      <c r="Z1034" s="2"/>
      <c r="AA1034" s="2"/>
      <c r="AB1034" s="2"/>
      <c r="AC1034" s="2"/>
      <c r="AD1034" s="2"/>
    </row>
    <row r="1035">
      <c r="A1035" s="2"/>
      <c r="B1035" s="2"/>
      <c r="C1035" s="2"/>
      <c r="D1035" s="2"/>
      <c r="E1035" s="2"/>
      <c r="K1035" s="2"/>
      <c r="L1035" s="2"/>
      <c r="M1035" s="2"/>
      <c r="N1035" s="2"/>
      <c r="O1035" s="2"/>
      <c r="P1035" s="2"/>
      <c r="Q1035" s="2"/>
      <c r="R1035" s="2"/>
      <c r="S1035" s="2"/>
      <c r="T1035" s="2"/>
      <c r="U1035" s="2"/>
      <c r="V1035" s="2"/>
      <c r="W1035" s="2"/>
      <c r="X1035" s="2"/>
      <c r="Y1035" s="2"/>
      <c r="Z1035" s="2"/>
      <c r="AA1035" s="2"/>
      <c r="AB1035" s="2"/>
      <c r="AC1035" s="2"/>
      <c r="AD1035" s="2"/>
    </row>
    <row r="1036">
      <c r="A1036" s="2"/>
      <c r="B1036" s="2"/>
      <c r="C1036" s="2"/>
      <c r="D1036" s="2"/>
      <c r="E1036" s="2"/>
      <c r="K1036" s="2"/>
      <c r="L1036" s="2"/>
      <c r="M1036" s="2"/>
      <c r="N1036" s="2"/>
      <c r="O1036" s="2"/>
      <c r="P1036" s="2"/>
      <c r="Q1036" s="2"/>
      <c r="R1036" s="2"/>
      <c r="S1036" s="2"/>
      <c r="T1036" s="2"/>
      <c r="U1036" s="2"/>
      <c r="V1036" s="2"/>
      <c r="W1036" s="2"/>
      <c r="X1036" s="2"/>
      <c r="Y1036" s="2"/>
      <c r="Z1036" s="2"/>
      <c r="AA1036" s="2"/>
      <c r="AB1036" s="2"/>
      <c r="AC1036" s="2"/>
      <c r="AD1036" s="2"/>
    </row>
    <row r="1037">
      <c r="A1037" s="2"/>
      <c r="B1037" s="2"/>
      <c r="C1037" s="2"/>
      <c r="D1037" s="2"/>
      <c r="E1037" s="2"/>
      <c r="K1037" s="2"/>
      <c r="L1037" s="2"/>
      <c r="M1037" s="2"/>
      <c r="N1037" s="2"/>
      <c r="O1037" s="2"/>
      <c r="P1037" s="2"/>
      <c r="Q1037" s="2"/>
      <c r="R1037" s="2"/>
      <c r="S1037" s="2"/>
      <c r="T1037" s="2"/>
      <c r="U1037" s="2"/>
      <c r="V1037" s="2"/>
      <c r="W1037" s="2"/>
      <c r="X1037" s="2"/>
      <c r="Y1037" s="2"/>
      <c r="Z1037" s="2"/>
      <c r="AA1037" s="2"/>
      <c r="AB1037" s="2"/>
      <c r="AC1037" s="2"/>
      <c r="AD1037" s="2"/>
    </row>
    <row r="1038">
      <c r="A1038" s="2"/>
      <c r="B1038" s="2"/>
      <c r="C1038" s="2"/>
      <c r="D1038" s="2"/>
      <c r="E1038" s="2"/>
      <c r="K1038" s="2"/>
      <c r="L1038" s="2"/>
      <c r="M1038" s="2"/>
      <c r="N1038" s="2"/>
      <c r="O1038" s="2"/>
      <c r="P1038" s="2"/>
      <c r="Q1038" s="2"/>
      <c r="R1038" s="2"/>
      <c r="S1038" s="2"/>
      <c r="T1038" s="2"/>
      <c r="U1038" s="2"/>
      <c r="V1038" s="2"/>
      <c r="W1038" s="2"/>
      <c r="X1038" s="2"/>
      <c r="Y1038" s="2"/>
      <c r="Z1038" s="2"/>
      <c r="AA1038" s="2"/>
      <c r="AB1038" s="2"/>
      <c r="AC1038" s="2"/>
      <c r="AD1038" s="2"/>
    </row>
    <row r="1039">
      <c r="A1039" s="2"/>
      <c r="B1039" s="2"/>
      <c r="C1039" s="2"/>
      <c r="D1039" s="2"/>
      <c r="E1039" s="2"/>
      <c r="K1039" s="2"/>
      <c r="L1039" s="2"/>
      <c r="M1039" s="2"/>
      <c r="N1039" s="2"/>
      <c r="O1039" s="2"/>
      <c r="P1039" s="2"/>
      <c r="Q1039" s="2"/>
      <c r="R1039" s="2"/>
      <c r="S1039" s="2"/>
      <c r="T1039" s="2"/>
      <c r="U1039" s="2"/>
      <c r="V1039" s="2"/>
      <c r="W1039" s="2"/>
      <c r="X1039" s="2"/>
      <c r="Y1039" s="2"/>
      <c r="Z1039" s="2"/>
      <c r="AA1039" s="2"/>
      <c r="AB1039" s="2"/>
      <c r="AC1039" s="2"/>
      <c r="AD1039" s="2"/>
    </row>
    <row r="1040">
      <c r="A1040" s="2"/>
      <c r="B1040" s="2"/>
      <c r="C1040" s="2"/>
      <c r="D1040" s="2"/>
      <c r="E1040" s="2"/>
      <c r="K1040" s="2"/>
      <c r="L1040" s="2"/>
      <c r="M1040" s="2"/>
      <c r="N1040" s="2"/>
      <c r="O1040" s="2"/>
      <c r="P1040" s="2"/>
      <c r="Q1040" s="2"/>
      <c r="R1040" s="2"/>
      <c r="S1040" s="2"/>
      <c r="T1040" s="2"/>
      <c r="U1040" s="2"/>
      <c r="V1040" s="2"/>
      <c r="W1040" s="2"/>
      <c r="X1040" s="2"/>
      <c r="Y1040" s="2"/>
      <c r="Z1040" s="2"/>
      <c r="AA1040" s="2"/>
      <c r="AB1040" s="2"/>
      <c r="AC1040" s="2"/>
      <c r="AD1040" s="2"/>
    </row>
    <row r="1041">
      <c r="A1041" s="2"/>
      <c r="B1041" s="2"/>
      <c r="C1041" s="2"/>
      <c r="D1041" s="2"/>
      <c r="E1041" s="2"/>
      <c r="K1041" s="2"/>
      <c r="L1041" s="2"/>
      <c r="M1041" s="2"/>
      <c r="N1041" s="2"/>
      <c r="O1041" s="2"/>
      <c r="P1041" s="2"/>
      <c r="Q1041" s="2"/>
      <c r="S1041" s="2"/>
      <c r="T1041" s="2"/>
      <c r="U1041" s="2"/>
      <c r="V1041" s="2"/>
      <c r="W1041" s="2"/>
      <c r="AB1041" s="2"/>
      <c r="AC1041" s="2"/>
      <c r="AD1041" s="2"/>
    </row>
    <row r="1042">
      <c r="A1042" s="2"/>
      <c r="B1042" s="2"/>
      <c r="C1042" s="2"/>
      <c r="D1042" s="2"/>
      <c r="E1042" s="2"/>
      <c r="K1042" s="2"/>
      <c r="L1042" s="2"/>
      <c r="M1042" s="2"/>
      <c r="N1042" s="2"/>
      <c r="O1042" s="2"/>
      <c r="P1042" s="2"/>
      <c r="Q1042" s="2"/>
      <c r="S1042" s="2"/>
      <c r="T1042" s="2"/>
      <c r="U1042" s="2"/>
      <c r="V1042" s="2"/>
      <c r="W1042" s="2"/>
    </row>
    <row r="1043">
      <c r="A1043" s="2"/>
      <c r="B1043" s="2"/>
      <c r="C1043" s="2"/>
      <c r="D1043" s="2"/>
      <c r="E1043" s="2"/>
      <c r="K1043" s="2"/>
      <c r="L1043" s="2"/>
      <c r="M1043" s="2"/>
      <c r="N1043" s="2"/>
      <c r="O1043" s="2"/>
      <c r="P1043" s="2"/>
      <c r="Q1043" s="2"/>
      <c r="S1043" s="2"/>
      <c r="T1043" s="2"/>
      <c r="U1043" s="2"/>
      <c r="V1043" s="2"/>
      <c r="W1043" s="2"/>
    </row>
    <row r="1044">
      <c r="A1044" s="2"/>
      <c r="B1044" s="2"/>
      <c r="C1044" s="2"/>
      <c r="D1044" s="2"/>
      <c r="E1044" s="2"/>
      <c r="K1044" s="2"/>
      <c r="L1044" s="2"/>
      <c r="M1044" s="2"/>
      <c r="N1044" s="2"/>
      <c r="O1044" s="2"/>
      <c r="P1044" s="2"/>
      <c r="Q1044" s="2"/>
      <c r="S1044" s="2"/>
      <c r="T1044" s="2"/>
      <c r="U1044" s="2"/>
      <c r="V1044" s="2"/>
      <c r="W1044" s="2"/>
    </row>
    <row r="1045">
      <c r="A1045" s="2"/>
      <c r="B1045" s="2"/>
      <c r="C1045" s="2"/>
      <c r="D1045" s="2"/>
      <c r="E1045" s="2"/>
      <c r="L1045" s="2"/>
      <c r="M1045" s="2"/>
      <c r="N1045" s="2"/>
      <c r="O1045" s="2"/>
      <c r="P1045" s="2"/>
      <c r="Q1045" s="2"/>
      <c r="S1045" s="2"/>
      <c r="T1045" s="2"/>
      <c r="U1045" s="2"/>
      <c r="V1045" s="2"/>
      <c r="W1045" s="2"/>
    </row>
    <row r="1046">
      <c r="A1046" s="2"/>
      <c r="B1046" s="2"/>
      <c r="C1046" s="2"/>
      <c r="D1046" s="2"/>
      <c r="E1046" s="2"/>
      <c r="L1046" s="2"/>
      <c r="M1046" s="2"/>
      <c r="N1046" s="2"/>
      <c r="O1046" s="2"/>
      <c r="P1046" s="2"/>
      <c r="Q1046" s="2"/>
      <c r="S1046" s="2"/>
      <c r="T1046" s="2"/>
      <c r="U1046" s="2"/>
      <c r="V1046" s="2"/>
      <c r="W1046" s="2"/>
    </row>
    <row r="1047">
      <c r="A1047" s="2"/>
      <c r="B1047" s="2"/>
      <c r="C1047" s="2"/>
      <c r="D1047" s="2"/>
      <c r="E1047" s="2"/>
      <c r="N1047" s="2"/>
      <c r="O1047" s="2"/>
      <c r="P1047" s="2"/>
      <c r="Q1047" s="2"/>
      <c r="S1047" s="2"/>
      <c r="T1047" s="2"/>
      <c r="U1047" s="2"/>
      <c r="V1047" s="2"/>
      <c r="W1047" s="2"/>
    </row>
    <row r="1048">
      <c r="A1048" s="2"/>
      <c r="B1048" s="2"/>
      <c r="C1048" s="2"/>
      <c r="D1048" s="2"/>
      <c r="E1048" s="2"/>
      <c r="N1048" s="2"/>
      <c r="O1048" s="2"/>
      <c r="P1048" s="2"/>
      <c r="Q1048" s="2"/>
      <c r="S1048" s="2"/>
      <c r="T1048" s="2"/>
      <c r="U1048" s="2"/>
      <c r="V1048" s="2"/>
      <c r="W1048" s="2"/>
    </row>
    <row r="1049">
      <c r="A1049" s="2"/>
      <c r="B1049" s="2"/>
      <c r="C1049" s="2"/>
      <c r="D1049" s="2"/>
      <c r="E1049" s="2"/>
      <c r="N1049" s="2"/>
      <c r="O1049" s="2"/>
      <c r="P1049" s="2"/>
      <c r="Q1049" s="2"/>
      <c r="S1049" s="2"/>
      <c r="T1049" s="2"/>
      <c r="U1049" s="2"/>
      <c r="V1049" s="2"/>
      <c r="W1049" s="2"/>
    </row>
    <row r="1050">
      <c r="A1050" s="2"/>
      <c r="B1050" s="2"/>
      <c r="C1050" s="2"/>
      <c r="D1050" s="2"/>
      <c r="E1050" s="2"/>
      <c r="N1050" s="2"/>
      <c r="O1050" s="2"/>
      <c r="P1050" s="2"/>
      <c r="Q1050" s="2"/>
      <c r="S1050" s="2"/>
      <c r="T1050" s="2"/>
      <c r="U1050" s="2"/>
      <c r="V1050" s="2"/>
      <c r="W1050" s="2"/>
    </row>
    <row r="1051">
      <c r="A1051" s="2"/>
      <c r="B1051" s="2"/>
      <c r="C1051" s="2"/>
      <c r="D1051" s="2"/>
      <c r="E1051" s="2"/>
      <c r="N1051" s="2"/>
      <c r="O1051" s="2"/>
      <c r="P1051" s="2"/>
      <c r="Q1051" s="2"/>
      <c r="S1051" s="2"/>
      <c r="T1051" s="2"/>
      <c r="U1051" s="2"/>
      <c r="V1051" s="2"/>
      <c r="W1051" s="2"/>
    </row>
    <row r="1052">
      <c r="A1052" s="2"/>
      <c r="B1052" s="2"/>
      <c r="C1052" s="2"/>
      <c r="D1052" s="2"/>
      <c r="E1052" s="2"/>
      <c r="N1052" s="2"/>
      <c r="O1052" s="2"/>
      <c r="P1052" s="2"/>
      <c r="Q1052" s="2"/>
      <c r="S1052" s="2"/>
      <c r="T1052" s="2"/>
      <c r="U1052" s="2"/>
      <c r="V1052" s="2"/>
      <c r="W1052" s="2"/>
    </row>
    <row r="1053">
      <c r="A1053" s="2"/>
      <c r="B1053" s="2"/>
      <c r="C1053" s="2"/>
      <c r="D1053" s="2"/>
      <c r="E1053" s="2"/>
      <c r="N1053" s="2"/>
      <c r="O1053" s="2"/>
      <c r="P1053" s="2"/>
      <c r="Q1053" s="2"/>
      <c r="S1053" s="2"/>
      <c r="T1053" s="2"/>
      <c r="U1053" s="2"/>
      <c r="V1053" s="2"/>
      <c r="W1053" s="2"/>
    </row>
    <row r="1054">
      <c r="A1054" s="2"/>
      <c r="B1054" s="2"/>
      <c r="C1054" s="2"/>
      <c r="D1054" s="2"/>
      <c r="E1054" s="2"/>
      <c r="N1054" s="2"/>
      <c r="O1054" s="2"/>
      <c r="P1054" s="2"/>
      <c r="Q1054" s="2"/>
    </row>
    <row r="1055">
      <c r="A1055" s="2"/>
      <c r="B1055" s="2"/>
      <c r="C1055" s="2"/>
      <c r="D1055" s="2"/>
      <c r="E1055" s="2"/>
      <c r="N1055" s="2"/>
      <c r="O1055" s="2"/>
      <c r="P1055" s="2"/>
      <c r="Q1055" s="2"/>
    </row>
    <row r="1056">
      <c r="A1056" s="2"/>
      <c r="B1056" s="2"/>
      <c r="C1056" s="2"/>
      <c r="D1056" s="2"/>
      <c r="E1056" s="2"/>
      <c r="N1056" s="2"/>
      <c r="O1056" s="2"/>
      <c r="P1056" s="2"/>
      <c r="Q1056" s="2"/>
    </row>
    <row r="1057">
      <c r="A1057" s="2"/>
      <c r="B1057" s="2"/>
      <c r="C1057" s="2"/>
      <c r="D1057" s="2"/>
      <c r="E1057" s="2"/>
      <c r="N1057" s="2"/>
      <c r="O1057" s="2"/>
      <c r="P1057" s="2"/>
      <c r="Q1057" s="2"/>
    </row>
    <row r="1058">
      <c r="A1058" s="2"/>
      <c r="B1058" s="2"/>
      <c r="C1058" s="2"/>
      <c r="D1058" s="2"/>
      <c r="E1058" s="2"/>
      <c r="N1058" s="2"/>
      <c r="O1058" s="2"/>
      <c r="P1058" s="2"/>
      <c r="Q1058" s="2"/>
    </row>
    <row r="1059">
      <c r="A1059" s="2"/>
      <c r="B1059" s="2"/>
      <c r="C1059" s="2"/>
      <c r="D1059" s="2"/>
      <c r="E1059" s="2"/>
      <c r="N1059" s="2"/>
      <c r="O1059" s="2"/>
      <c r="P1059" s="2"/>
      <c r="Q1059" s="2"/>
    </row>
    <row r="1060">
      <c r="A1060" s="2"/>
      <c r="B1060" s="2"/>
      <c r="C1060" s="2"/>
      <c r="D1060" s="2"/>
      <c r="E1060" s="2"/>
      <c r="N1060" s="2"/>
      <c r="O1060" s="2"/>
      <c r="P1060" s="2"/>
      <c r="Q1060" s="2"/>
    </row>
    <row r="1061">
      <c r="A1061" s="2"/>
      <c r="B1061" s="2"/>
      <c r="C1061" s="2"/>
      <c r="D1061" s="2"/>
      <c r="E1061" s="2"/>
      <c r="N1061" s="2"/>
      <c r="O1061" s="2"/>
      <c r="P1061" s="2"/>
      <c r="Q1061" s="2"/>
    </row>
    <row r="1062">
      <c r="A1062" s="2"/>
      <c r="B1062" s="2"/>
      <c r="C1062" s="2"/>
      <c r="D1062" s="2"/>
      <c r="E1062" s="2"/>
      <c r="N1062" s="2"/>
      <c r="O1062" s="2"/>
      <c r="P1062" s="2"/>
      <c r="Q1062" s="2"/>
    </row>
    <row r="1063">
      <c r="A1063" s="2"/>
      <c r="B1063" s="2"/>
      <c r="C1063" s="2"/>
      <c r="D1063" s="2"/>
      <c r="E1063" s="2"/>
      <c r="N1063" s="2"/>
      <c r="O1063" s="2"/>
      <c r="P1063" s="2"/>
      <c r="Q1063" s="2"/>
    </row>
    <row r="1064">
      <c r="A1064" s="2"/>
      <c r="B1064" s="2"/>
      <c r="C1064" s="2"/>
      <c r="D1064" s="2"/>
      <c r="E1064" s="2"/>
      <c r="N1064" s="2"/>
      <c r="O1064" s="2"/>
      <c r="P1064" s="2"/>
      <c r="Q1064" s="2"/>
    </row>
    <row r="1065">
      <c r="A1065" s="2"/>
      <c r="B1065" s="2"/>
      <c r="C1065" s="2"/>
      <c r="D1065" s="2"/>
      <c r="E1065" s="2"/>
      <c r="N1065" s="2"/>
      <c r="O1065" s="2"/>
      <c r="P1065" s="2"/>
      <c r="Q1065" s="2"/>
    </row>
    <row r="1066">
      <c r="A1066" s="2"/>
      <c r="B1066" s="2"/>
      <c r="C1066" s="2"/>
      <c r="D1066" s="2"/>
      <c r="E1066" s="2"/>
      <c r="N1066" s="2"/>
      <c r="O1066" s="2"/>
      <c r="P1066" s="2"/>
      <c r="Q1066" s="2"/>
    </row>
    <row r="1067">
      <c r="A1067" s="2"/>
      <c r="B1067" s="2"/>
      <c r="C1067" s="2"/>
      <c r="D1067" s="2"/>
      <c r="E1067" s="2"/>
      <c r="N1067" s="2"/>
      <c r="O1067" s="2"/>
      <c r="P1067" s="2"/>
      <c r="Q1067" s="2"/>
    </row>
    <row r="1068">
      <c r="A1068" s="2"/>
      <c r="B1068" s="2"/>
      <c r="C1068" s="2"/>
      <c r="D1068" s="2"/>
      <c r="E1068" s="2"/>
      <c r="N1068" s="2"/>
      <c r="O1068" s="2"/>
      <c r="P1068" s="2"/>
      <c r="Q1068" s="2"/>
    </row>
    <row r="1069">
      <c r="A1069" s="2"/>
      <c r="B1069" s="2"/>
      <c r="C1069" s="2"/>
      <c r="D1069" s="2"/>
      <c r="E1069" s="2"/>
      <c r="N1069" s="2"/>
      <c r="O1069" s="2"/>
      <c r="P1069" s="2"/>
      <c r="Q1069" s="2"/>
    </row>
    <row r="1070">
      <c r="A1070" s="2"/>
      <c r="B1070" s="2"/>
      <c r="C1070" s="2"/>
      <c r="D1070" s="2"/>
      <c r="E1070" s="2"/>
      <c r="N1070" s="2"/>
      <c r="O1070" s="2"/>
      <c r="P1070" s="2"/>
      <c r="Q1070" s="2"/>
    </row>
    <row r="1071">
      <c r="A1071" s="2"/>
      <c r="B1071" s="2"/>
      <c r="C1071" s="2"/>
      <c r="D1071" s="2"/>
      <c r="E1071" s="2"/>
      <c r="N1071" s="2"/>
      <c r="O1071" s="2"/>
      <c r="P1071" s="2"/>
      <c r="Q1071" s="2"/>
    </row>
    <row r="1072">
      <c r="A1072" s="2"/>
      <c r="B1072" s="2"/>
      <c r="C1072" s="2"/>
      <c r="D1072" s="2"/>
      <c r="E1072" s="2"/>
      <c r="N1072" s="2"/>
      <c r="O1072" s="2"/>
      <c r="P1072" s="2"/>
      <c r="Q1072" s="2"/>
    </row>
    <row r="1073">
      <c r="A1073" s="2"/>
      <c r="B1073" s="2"/>
      <c r="C1073" s="2"/>
      <c r="D1073" s="2"/>
      <c r="E1073" s="2"/>
      <c r="N1073" s="2"/>
      <c r="O1073" s="2"/>
      <c r="P1073" s="2"/>
      <c r="Q1073" s="2"/>
    </row>
    <row r="1074">
      <c r="A1074" s="2"/>
      <c r="B1074" s="2"/>
      <c r="C1074" s="2"/>
      <c r="D1074" s="2"/>
      <c r="E1074" s="2"/>
      <c r="N1074" s="2"/>
      <c r="O1074" s="2"/>
      <c r="P1074" s="2"/>
      <c r="Q1074" s="2"/>
    </row>
    <row r="1075">
      <c r="A1075" s="2"/>
      <c r="B1075" s="2"/>
      <c r="C1075" s="2"/>
      <c r="D1075" s="2"/>
      <c r="E1075" s="2"/>
      <c r="N1075" s="2"/>
      <c r="O1075" s="2"/>
      <c r="P1075" s="2"/>
      <c r="Q1075" s="2"/>
    </row>
    <row r="1076">
      <c r="A1076" s="2"/>
      <c r="B1076" s="2"/>
      <c r="C1076" s="2"/>
      <c r="D1076" s="2"/>
      <c r="E1076" s="2"/>
      <c r="N1076" s="2"/>
      <c r="O1076" s="2"/>
      <c r="P1076" s="2"/>
      <c r="Q1076" s="2"/>
    </row>
  </sheetData>
  <mergeCells count="10">
    <mergeCell ref="C56:D56"/>
    <mergeCell ref="C69:D69"/>
    <mergeCell ref="C82:D82"/>
    <mergeCell ref="B2:P2"/>
    <mergeCell ref="B4:D4"/>
    <mergeCell ref="V7:V9"/>
    <mergeCell ref="V10:V12"/>
    <mergeCell ref="C17:D17"/>
    <mergeCell ref="C30:D30"/>
    <mergeCell ref="C43:D43"/>
  </mergeCells>
  <conditionalFormatting sqref="W15:W37">
    <cfRule type="cellIs" dxfId="0" priority="1" operator="greaterThanOrEqual">
      <formula>0</formula>
    </cfRule>
  </conditionalFormatting>
  <conditionalFormatting sqref="AA15:AA37">
    <cfRule type="cellIs" dxfId="0" priority="2" operator="greaterThanOrEqual">
      <formula>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20.25"/>
    <col customWidth="1" min="9" max="9" width="23.88"/>
    <col customWidth="1" min="10" max="10" width="17.63"/>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3.5"/>
    <col customWidth="1" min="19" max="19" width="16.75"/>
    <col customWidth="1" min="20" max="20" width="14.38"/>
    <col customWidth="1" min="21" max="21" width="19.25"/>
    <col customWidth="1" min="22" max="22" width="19.13"/>
    <col customWidth="1" min="23" max="23" width="19.25"/>
    <col customWidth="1" min="24" max="24" width="19.13"/>
    <col customWidth="1" min="25" max="25" width="11.25"/>
    <col customWidth="1" min="26" max="26" width="15.0"/>
    <col customWidth="1" min="27" max="27" width="19.63"/>
    <col customWidth="1" min="28" max="28" width="19.13"/>
  </cols>
  <sheetData>
    <row r="2">
      <c r="B2" s="3" t="s">
        <v>0</v>
      </c>
    </row>
    <row r="3">
      <c r="D3" s="4"/>
    </row>
    <row r="4">
      <c r="B4" s="5" t="s">
        <v>1</v>
      </c>
      <c r="C4" s="8" t="s">
        <v>3</v>
      </c>
      <c r="D4" s="9" t="s">
        <v>5</v>
      </c>
      <c r="E4" s="9" t="s">
        <v>7</v>
      </c>
      <c r="G4" s="5" t="s">
        <v>9</v>
      </c>
      <c r="J4" s="4"/>
      <c r="N4" s="13" t="s">
        <v>10</v>
      </c>
    </row>
    <row r="5">
      <c r="B5" s="16" t="s">
        <v>12</v>
      </c>
      <c r="C5" s="25">
        <f>Inputs!C7</f>
        <v>3852</v>
      </c>
      <c r="D5" s="27"/>
      <c r="E5" s="27"/>
      <c r="G5" s="16" t="s">
        <v>21</v>
      </c>
      <c r="H5" s="36">
        <f>C5/(1+C21*0.05*(1+0.2*C63))</f>
        <v>3852</v>
      </c>
      <c r="I5" s="37" t="s">
        <v>31</v>
      </c>
      <c r="J5" s="49">
        <f>(C5*1.45+((J6*(1+E116)*(1+D157)*1.8)+IF(E28=3,1,0)*1.13*(1-exp(-1*$J$9*12/60))*($J$6*(1+E116)*(1+D157)*0.02*$J$10)))*(1+0.06*C75)</f>
        <v>12077.94396</v>
      </c>
      <c r="K5" s="37" t="s">
        <v>41</v>
      </c>
      <c r="L5" s="52">
        <f>(J5 / (J5 + C154))</f>
        <v>0.7527781176</v>
      </c>
      <c r="N5" s="54" t="s">
        <v>46</v>
      </c>
      <c r="O5" s="55" t="s">
        <v>47</v>
      </c>
      <c r="P5" s="55" t="s">
        <v>49</v>
      </c>
      <c r="Q5" s="55" t="s">
        <v>51</v>
      </c>
      <c r="R5" s="57" t="s">
        <v>53</v>
      </c>
      <c r="S5" s="57" t="s">
        <v>54</v>
      </c>
      <c r="T5" s="55" t="s">
        <v>56</v>
      </c>
      <c r="U5" s="57" t="s">
        <v>57</v>
      </c>
      <c r="V5" s="59" t="s">
        <v>59</v>
      </c>
      <c r="W5" s="9" t="s">
        <v>60</v>
      </c>
      <c r="X5" s="8" t="s">
        <v>63</v>
      </c>
    </row>
    <row r="6">
      <c r="B6" s="16" t="s">
        <v>36</v>
      </c>
      <c r="C6" s="25">
        <f>Inputs!C8</f>
        <v>2672</v>
      </c>
      <c r="D6" s="27"/>
      <c r="E6" s="27"/>
      <c r="F6" s="62"/>
      <c r="G6" s="16" t="s">
        <v>65</v>
      </c>
      <c r="H6" s="36">
        <f>C6/(1+C21*0.05*(1+0.2*C63))-C34*33</f>
        <v>2672</v>
      </c>
      <c r="I6" s="16" t="s">
        <v>67</v>
      </c>
      <c r="J6" s="52">
        <f>(C6+E32*252*8/120+E34*50)*(1+B21*1.13*(1-exp(-3*J9*15/60))*0.15*(1+0.2*C63))*(1+0.03*C77*(1-(0.85)^(8*L9)))*(1+0.1*12*(1/S40)*C131*(1-IF(OR(D100=1,AND(C152&lt;4,C131=1)),0,1)*IF(D100=2,1-(1-(0.75)^((5+(H15/2))/H15))/(1+3*(1-(0.75)^((5+(H15/2))/H15))*C82),1)*IF(NOT(OR(OR(D100=1,AND(C152&lt;4,C131=1)),D100=2)),1-(1-(0.75)^((4+(H15/2))/H15)),1)))*(1+0.1*T69*8*IF(C152=1,1,0))</f>
        <v>2890.654188</v>
      </c>
      <c r="K6" s="16" t="s">
        <v>82</v>
      </c>
      <c r="L6" s="84">
        <f>(J6-622)/19130</f>
        <v>0.1185914369</v>
      </c>
      <c r="N6" s="59" t="s">
        <v>87</v>
      </c>
      <c r="O6" s="94">
        <f>P6/(1-$L$14)/(1-$L$5)/$L$10/(1-0.01*E32)/(1-0.2/C152*C74)/(1-C51*0.12/C152*1.13*(1-exp(-3*6/60*55/120)))/(1-$C$135*$C$130*$D$130*0.075)/(1-$C$131*E136*10/S40*0.08)/(1-F116)/(1-E157)/(1-IF(C127&gt;1,1)*0.06*E127)/(1-(0.04*10*(1/S40)*C100*(1-IF(OR(D100=1,AND(C152&lt;4,C131=1)),0,1)*IF(D100=2,1-(1-(0.75)^((5+(H15/2))/H15))/(1+3*(1-(0.75)^((5+(H15/2))/H15))*C82),1)*IF(NOT(OR(OR(D100=1,AND(C152&lt;4,C131=1)),D100=2)),1-(1-(0.75)^((4+(H15/2))/H15)),1))))/(1-C120*0.025)+E26*C152/2*C7*0.0003*30</f>
        <v>3608042.253</v>
      </c>
      <c r="P6" s="94">
        <f>Q6/(1-((1-(1-(T38*(8+C110*4)))*(1-IF(C127&gt;3,1,0)*(1-0.875^(8*(T40+T43+T51+T57+T63)))))*MIN(0.3/(1-$L$14),1)))</f>
        <v>428388.0441</v>
      </c>
      <c r="Q6" s="99">
        <f>R6/(1-($T$52*8)*(0.3+0.1*$E$139))</f>
        <v>328767.1233</v>
      </c>
      <c r="R6" s="94">
        <f t="shared" ref="R6:R9" si="1">S6/(1-($T$70*8)*0.1)/(1-($T$26*8)*0.1)/(1-($T$35*($Q$35+8/2^($D$121-1)))*(0.05*$D$121))</f>
        <v>320000</v>
      </c>
      <c r="S6" s="102">
        <f t="shared" ref="S6:S9" si="2">T6</f>
        <v>320000</v>
      </c>
      <c r="T6" s="99">
        <f>(1-C146-C147)*T10</f>
        <v>320000</v>
      </c>
      <c r="U6" s="107"/>
      <c r="V6" s="27"/>
      <c r="W6" s="27"/>
      <c r="X6" s="27"/>
    </row>
    <row r="7">
      <c r="B7" s="16" t="s">
        <v>40</v>
      </c>
      <c r="C7" s="25">
        <f>Inputs!C9</f>
        <v>77197</v>
      </c>
      <c r="D7" s="27"/>
      <c r="E7" s="27"/>
      <c r="G7" s="16" t="s">
        <v>121</v>
      </c>
      <c r="H7" s="36">
        <f>(C7/(1+C21*0.05*(1+0.2*C63))/1.05/(1+0.2*C55)/(1.4))-C26*99</f>
        <v>43762.47166</v>
      </c>
      <c r="I7" s="108" t="s">
        <v>124</v>
      </c>
      <c r="J7" s="109">
        <f>C7*20</f>
        <v>1543940</v>
      </c>
      <c r="K7" s="108" t="s">
        <v>127</v>
      </c>
      <c r="L7" s="111">
        <f>(J7+IF(E28=3,1,0)*1.13*(1-exp(-1*$J$9*12/60))*($J$6*1.3*$J$10))*(1+0.01*C97*(D97+2*C104))</f>
        <v>1682894.6</v>
      </c>
      <c r="N7" s="61" t="s">
        <v>131</v>
      </c>
      <c r="O7" s="94">
        <f>P7/$J$13/(1-$L$5)/$L$10/(1-0.01*E32)/(1-C51*0.12/C152*1.13*(1-exp(-3*6/60*55/120)))/(1-$C$135*$C$130*$D$130*0.075)/(1-$C$131*E136*10/S40*0.08)/(1-IF(C127&gt;1,1)*0.06*E127)/(1-(0.04*10*(1/S40)*C100*(1-IF(OR(D100=1,AND(C152&lt;4,C131=1)),0,1)*IF(D100=2,1-(1-(0.75)^((5+(H15/2))/H15))/(1+3*(1-(0.75)^((5+(H15/2))/H15))*C82),1)*IF(NOT(OR(OR(D100=1,AND(C152&lt;4,C131=1)),D100=2)),1-(1-(0.75)^((4+(H15/2))/H15)),1))))/(1-C120*0.025)</f>
        <v>0</v>
      </c>
      <c r="P7" s="94">
        <f t="shared" ref="P7:P8" si="3">R7/(1-($T$52*8)*(0.3+0.1*$E$139))</f>
        <v>0</v>
      </c>
      <c r="Q7" s="27"/>
      <c r="R7" s="94">
        <f t="shared" si="1"/>
        <v>0</v>
      </c>
      <c r="S7" s="102">
        <f t="shared" si="2"/>
        <v>0</v>
      </c>
      <c r="T7" s="94">
        <f>C147*T10</f>
        <v>0</v>
      </c>
      <c r="U7" s="107"/>
      <c r="V7" s="27"/>
      <c r="W7" s="27"/>
      <c r="X7" s="27"/>
    </row>
    <row r="8">
      <c r="B8" s="16" t="s">
        <v>44</v>
      </c>
      <c r="C8" s="25">
        <f>Inputs!C10</f>
        <v>778.5</v>
      </c>
      <c r="D8" s="115">
        <f>C8+225*15/2/120*IF(1&lt;(IF(C8&gt;C9,1,0)+IF(C8&gt;C10,1,0)+IF(C8&gt;C11,1,0)),E27,0)</f>
        <v>778.5</v>
      </c>
      <c r="E8" s="115">
        <f>IF(D8&lt;=1380,D8,IF(D8&lt;=1840,1380+0.9*(D8-1380),IF(D8&lt;=2300,1794+0.8*(D8-1840),IF(D8&lt;=2760,2162+0.7*(D8-2300),IF(D8&lt;=3680,2484+0.6*(D8-2760),IF(D8&lt;=9200,3036+0.5*(D8-3680),5796))))))</f>
        <v>778.5</v>
      </c>
      <c r="G8" s="16" t="s">
        <v>159</v>
      </c>
      <c r="H8" s="118">
        <f>E8/4600+0.05+(C28+C32+C35)*0.01+IF(E28=4,1,0)*1.13*(1-exp(-1*$J$9*12/60))*0.04</f>
        <v>0.2192391304</v>
      </c>
      <c r="I8" s="16" t="s">
        <v>164</v>
      </c>
      <c r="J8" s="119">
        <f>1+H8*(1+2*0.02*(C26+C31))</f>
        <v>1.21923913</v>
      </c>
      <c r="K8" s="16" t="s">
        <v>167</v>
      </c>
      <c r="L8" s="84">
        <f>E8/5200/(1+0.02*C30)</f>
        <v>0.1497115385</v>
      </c>
      <c r="N8" s="59" t="s">
        <v>170</v>
      </c>
      <c r="O8" s="94">
        <f>P8/$L$10/(1-C51*0.12/C152*1.13*(1-exp(-3*6/60*55/120)))/(1-$C$135*$C$130*$D$130*0.075)/(1-0.08*$C$80)/(1-IF(C127&gt;1,1)*0.06*E127)/(1-(0.04*10*(1/S40)*C100*(1-IF(OR(D100=1,AND(C152&lt;4,C131=1)),0,1)*IF(D100=2,1-(1-(0.75)^((5+(H15/2))/H15))/(1+3*(1-(0.75)^((5+(H15/2))/H15))*C82),1)*IF(NOT(OR(OR(D100=1,AND(C152&lt;4,C131=1)),D100=2)),1-(1-(0.75)^((4+(H15/2))/H15)),1))))/(1-C120*0.025)</f>
        <v>112528.835</v>
      </c>
      <c r="P8" s="94">
        <f t="shared" si="3"/>
        <v>82191.78082</v>
      </c>
      <c r="Q8" s="27"/>
      <c r="R8" s="94">
        <f t="shared" si="1"/>
        <v>80000</v>
      </c>
      <c r="S8" s="102">
        <f t="shared" si="2"/>
        <v>80000</v>
      </c>
      <c r="T8" s="94">
        <f>(C146-C148)*T10</f>
        <v>80000</v>
      </c>
      <c r="U8" s="94">
        <f>T8*(T20*(6+2*C67))*0.15</f>
        <v>0</v>
      </c>
      <c r="V8" s="99">
        <f>IF(T8-U8-$T$19*(($L$7*0.3*$J$10*(1+0.4*$C$68)*(1+0.15*$C$46)))&gt;0,$T$19*($L$7*0.3*$J$10*(1+0.4*$C$68)*(1+0.15*$C$46)),T8-U8)</f>
        <v>11765.66776</v>
      </c>
      <c r="W8" s="27"/>
      <c r="X8" s="27"/>
    </row>
    <row r="9">
      <c r="B9" s="16" t="s">
        <v>50</v>
      </c>
      <c r="C9" s="25">
        <f>Inputs!C11</f>
        <v>1053.5</v>
      </c>
      <c r="D9" s="115">
        <f>C9+225*15/2/120*IF(1&lt;(IF(C9&gt;C8,1,0)+IF(C9&gt;C10,1,0)+IF(C9&gt;C11,1,0)),E27,0)</f>
        <v>1053.5</v>
      </c>
      <c r="E9" s="115">
        <f>IF(D9&lt;=1320,D9,IF(D9&lt;=1760,1320+0.9*(D9-1320),IF(D9&lt;=2200,1716+0.8*(D9-1760),IF(D9&lt;=2640,2068+0.7*(D9-2200),IF(D9&lt;=3520,2376+0.6*(D9-2640),IF(D9&lt;=8800,2904+0.5*(D9-3520),5544))))))</f>
        <v>1053.5</v>
      </c>
      <c r="G9" s="16" t="s">
        <v>192</v>
      </c>
      <c r="H9" s="118">
        <f>(1+(C29+C33)*0.01)*E9/4400+(C29+C33)*0.01</f>
        <v>0.2394318182</v>
      </c>
      <c r="I9" s="16" t="s">
        <v>194</v>
      </c>
      <c r="J9" s="132">
        <f>(1+H9)*(1+C27*0.15/18)*(1+0.1*C104)*(1+0.02*C49)*(1+0.01*K134)</f>
        <v>1.524574934</v>
      </c>
      <c r="K9" s="91" t="s">
        <v>198</v>
      </c>
      <c r="L9" s="133">
        <f>3/10*J9</f>
        <v>0.4573724803</v>
      </c>
      <c r="N9" s="134" t="s">
        <v>200</v>
      </c>
      <c r="O9" s="135">
        <f>P9/$J$13/$L$10/(1-C51*0.12/C152*1.13*(1-exp(-3*6/60*55/120)))/(1-$C$135*$C$130*$D$130*0.075)/(1-0.08*$C$80)/(1-IF(C127&gt;1,1)*0.06*E127)/(1-(0.04*10*(1/S40)*C100*(1-IF(OR(D100=1,AND(C152&lt;4,C131=1)),0,1)*IF(D100=2,1-(1-(0.75)^((5+(H15/2))/H15))/(1+3*(1-(0.75)^((5+(H15/2))/H15))*C82),1)*IF(NOT(OR(OR(D100=1,AND(C152&lt;4,C131=1)),D100=2)),1-(1-(0.75)^((4+(H15/2))/H15)),1))))/(1-C120*0.025)</f>
        <v>0</v>
      </c>
      <c r="P9" s="94">
        <f>S9/(1-($T$52*8)*(0.3+0.1*$E$139))</f>
        <v>0</v>
      </c>
      <c r="Q9" s="136"/>
      <c r="R9" s="94">
        <f t="shared" si="1"/>
        <v>0</v>
      </c>
      <c r="S9" s="102">
        <f t="shared" si="2"/>
        <v>0</v>
      </c>
      <c r="T9" s="135">
        <f>C148*T10</f>
        <v>0</v>
      </c>
      <c r="U9" s="135">
        <f>T8*(T20*(6+2*C67))*0.15</f>
        <v>0</v>
      </c>
      <c r="V9" s="135">
        <f>IF(T8+T9-U8-U9-V8&gt;0,MIN($T$19*($L$7*0.3*$J$10*(1+0.4*$C$68)*(1+0.15*$C$46))-V8,T8+T9-U8-U9-V8),0)
</f>
        <v>0</v>
      </c>
      <c r="W9" s="136"/>
      <c r="X9" s="136"/>
    </row>
    <row r="10">
      <c r="B10" s="16" t="s">
        <v>55</v>
      </c>
      <c r="C10" s="25">
        <f>Inputs!C12</f>
        <v>1514.5</v>
      </c>
      <c r="D10" s="115">
        <f>C10+65*E24+225*15/2/120*IF(1&lt;(IF(C10&gt;C8,1,0)+IF(C10&gt;C9,0)+IF(C10&gt;C11,1,0)),E27,0)</f>
        <v>1514.5</v>
      </c>
      <c r="E10" s="115">
        <f>IF(D10&lt;=1620,D10,IF(D10&lt;=2160,1622+0.9*(D10-1620),IF(D10&lt;=2700,2106+0.8*(D10-2160),IF(D10&lt;=3240,2538+0.7*(D10-2700),IF(D10&lt;=4320,2916+0.6*(D10-3240),IF(D10&lt;=10800,3564+0.5*(D10-4320),6804))))))</f>
        <v>1514.5</v>
      </c>
      <c r="G10" s="16" t="s">
        <v>210</v>
      </c>
      <c r="H10" s="118">
        <f>E10/5400+(E26+E33)*0.01</f>
        <v>0.280462963</v>
      </c>
      <c r="I10" s="61" t="s">
        <v>226</v>
      </c>
      <c r="J10" s="119">
        <f>1+H10</f>
        <v>1.280462963</v>
      </c>
      <c r="K10" s="61" t="s">
        <v>228</v>
      </c>
      <c r="L10" s="119">
        <f>1-H10/2</f>
        <v>0.8597685185</v>
      </c>
      <c r="N10" s="138" t="s">
        <v>230</v>
      </c>
      <c r="O10" s="140">
        <f t="shared" ref="O10:S10" si="4">SUM(O6:O9)</f>
        <v>3720571.088</v>
      </c>
      <c r="P10" s="140">
        <f t="shared" si="4"/>
        <v>510579.8249</v>
      </c>
      <c r="Q10" s="140">
        <f t="shared" si="4"/>
        <v>328767.1233</v>
      </c>
      <c r="R10" s="140">
        <f t="shared" si="4"/>
        <v>400000</v>
      </c>
      <c r="S10" s="140">
        <f t="shared" si="4"/>
        <v>400000</v>
      </c>
      <c r="T10" s="142">
        <f>C145</f>
        <v>400000</v>
      </c>
      <c r="U10" s="140">
        <f>SUM(U6:U9)</f>
        <v>0</v>
      </c>
      <c r="V10" s="140">
        <f>sum(V6:V9)</f>
        <v>11765.66776</v>
      </c>
      <c r="W10" s="140">
        <f>(Y77+C27*0.0011*L7*(1-C144))</f>
        <v>384443.5455</v>
      </c>
      <c r="X10" s="152">
        <f>(MAX((T10-U10-V10-W10),0)*(1-$T$76*(10+2*C92))+MAX((T10-U10-V10-W10*(1.3+0.05*C92)),0)*($T$76*(10+2*C92))/(1.3+0.05*C92))/IF(D100=2,(1+0.06*(1-T40*(1-(0.75)^((5+(H15/2))/H15))/(1+3*(1-(0.75)^((5+(H15/2))/H15))*C82)/(1-(0.75)^((5+(H15/2))/H15)))),(1+0.02*C49))</f>
        <v>1257.474567</v>
      </c>
    </row>
    <row r="11">
      <c r="B11" s="16" t="s">
        <v>62</v>
      </c>
      <c r="C11" s="25">
        <f>Inputs!C13</f>
        <v>479.5</v>
      </c>
      <c r="D11" s="115">
        <f>C11+225*15/2/120*IF(1&lt;(IF(C11&gt;C8,1,0)+IF(C11&gt;C10,1,0)+IF(C11&gt;C9,1,0)),E27,0)</f>
        <v>479.5</v>
      </c>
      <c r="E11" s="115">
        <f>IF(D11&lt;=1380,D11,IF(D11&lt;=1840,1380+0.9*(D11-1380),IF(D11&lt;=2300,1794+0.8*(D11-1840),IF(D11&lt;=2760,2162+0.7*(D11-2300),IF(D11&lt;=3680,2484+0.6*(D11-2760),IF(D11&lt;=9200,3036+0.5*(D11-3680),5796))))))</f>
        <v>479.5</v>
      </c>
      <c r="G11" s="16" t="s">
        <v>232</v>
      </c>
      <c r="H11" s="118">
        <f>0.16+E11/2300+0.002*(C131*K134)</f>
        <v>0.3835236353</v>
      </c>
      <c r="I11" s="91" t="s">
        <v>253</v>
      </c>
      <c r="J11" s="119">
        <f t="shared" ref="J11:J12" si="5">H11</f>
        <v>0.3835236353</v>
      </c>
      <c r="K11" s="16" t="s">
        <v>255</v>
      </c>
      <c r="L11" s="52">
        <f>1+H11/2</f>
        <v>1.191761818</v>
      </c>
    </row>
    <row r="12">
      <c r="B12" s="61" t="s">
        <v>64</v>
      </c>
      <c r="C12" s="25">
        <f>Inputs!C14</f>
        <v>0</v>
      </c>
      <c r="D12" s="115">
        <f t="shared" ref="D12:D13" si="6">C12</f>
        <v>0</v>
      </c>
      <c r="E12" s="115">
        <f>IF(D12&lt;=690,D12,IF(D12&lt;=1035,690+0.8*(D12-690),IF(D12&lt;=1380,966+0.6*(D12-1035),1173+0.4*(D12-1380))))</f>
        <v>0</v>
      </c>
      <c r="G12" s="16" t="s">
        <v>256</v>
      </c>
      <c r="H12" s="159">
        <f>E12/6900+C71*0.03+C131*E138*0.02</f>
        <v>0.03</v>
      </c>
      <c r="I12" s="16" t="s">
        <v>264</v>
      </c>
      <c r="J12" s="119">
        <f t="shared" si="5"/>
        <v>0.03</v>
      </c>
      <c r="K12" s="16" t="s">
        <v>266</v>
      </c>
      <c r="L12" s="119">
        <f>J12+C111*0.15*MIN(8*T42,1)+0.06*(10+2*$C$72)*T54*(1+C131*E138)</f>
        <v>0.185</v>
      </c>
    </row>
    <row r="13">
      <c r="B13" s="61" t="s">
        <v>66</v>
      </c>
      <c r="C13" s="25">
        <f>Inputs!C15</f>
        <v>0</v>
      </c>
      <c r="D13" s="115">
        <f t="shared" si="6"/>
        <v>0</v>
      </c>
      <c r="E13" s="115">
        <f>IF(D13&lt;=368,D13,IF(D13&lt;=552,368+0.8*(D13-368),IF(D13&lt;=736,515.2+0.6*(D13-552),625.6+0.4*(D13-736))))</f>
        <v>0</v>
      </c>
      <c r="G13" s="16" t="s">
        <v>270</v>
      </c>
      <c r="H13" s="159">
        <f>E13/3680+C70*0.03</f>
        <v>0</v>
      </c>
      <c r="I13" s="16" t="s">
        <v>272</v>
      </c>
      <c r="J13" s="119">
        <f>1-H13</f>
        <v>1</v>
      </c>
      <c r="K13" s="16" t="s">
        <v>273</v>
      </c>
      <c r="L13" s="84">
        <f>622/19130+0.03+(L6+L8)/((L6+L8)*1+1/0.94)+0.05*8*T28</f>
        <v>0.2639229608</v>
      </c>
      <c r="N13" s="170" t="s">
        <v>24</v>
      </c>
      <c r="V13" s="171"/>
    </row>
    <row r="14">
      <c r="B14" s="16" t="s">
        <v>68</v>
      </c>
      <c r="C14" s="174">
        <f>Inputs!C16</f>
        <v>151.4</v>
      </c>
      <c r="D14" s="27"/>
      <c r="E14" s="27"/>
      <c r="G14" s="16" t="s">
        <v>277</v>
      </c>
      <c r="H14" s="159">
        <f>0.03+0.02*C32</f>
        <v>0.03</v>
      </c>
      <c r="I14" s="91" t="s">
        <v>279</v>
      </c>
      <c r="J14" s="133">
        <f>(1+E30*0.05*(1.13*(1-exp(-1*J9*15/60))))*(1+C57*0.06*(1-0.85^(5/(3/((1/(1-0.15*C107))*(1+C130))))))*(1+C117*0.05)*IF(D100=2,(1+0.06*C119*(1-T40*(1-(0.75)^((5+(H15/2))/H15))/(1+3*(1-(0.75)^((5+(H15/2))/H15))*C82)/(1-(0.75)^((5+(H15/2))/H15)))),(1+0.06*(14-5*C131*E137)*C119*(1/S40)))*(1+IF(C127&gt;2,2,IF(C127=2,1,0))*0.03*E127)</f>
        <v>1.187331929</v>
      </c>
      <c r="K14" s="91" t="s">
        <v>281</v>
      </c>
      <c r="L14" s="84">
        <f>MAX(L13-0.015*(C153-90),0)+MAX(H14-0.015*(C153-90),0)+MAX(0.03-0.015*(C153-90),0)</f>
        <v>0.3239229608</v>
      </c>
      <c r="N14" s="176" t="s">
        <v>71</v>
      </c>
      <c r="O14" s="176" t="s">
        <v>115</v>
      </c>
      <c r="P14" s="176" t="s">
        <v>150</v>
      </c>
      <c r="Q14" s="176" t="s">
        <v>282</v>
      </c>
      <c r="R14" s="176" t="s">
        <v>283</v>
      </c>
      <c r="S14" s="176" t="s">
        <v>284</v>
      </c>
    </row>
    <row r="15">
      <c r="B15" s="61" t="s">
        <v>69</v>
      </c>
      <c r="C15" s="174">
        <f>Inputs!C17</f>
        <v>3.6</v>
      </c>
      <c r="D15" s="27"/>
      <c r="E15" s="27"/>
      <c r="G15" s="16" t="s">
        <v>285</v>
      </c>
      <c r="H15" s="178">
        <f>C15/(J9*(1+0.06*(3+1.5*C130*C136)*C59*D59))/((195.5+21.9*C152-0.673*C152^2)/195.5)</f>
        <v>1.378599312</v>
      </c>
      <c r="I15" s="176" t="s">
        <v>286</v>
      </c>
      <c r="J15" s="133">
        <f>(1+E30*0.05*(1.13*(1-exp(-1*J9*15/60))))*IF(D100=2,(1+0.06*C119*(1-T40*(1-(0.75)^((5+(H15/2))/H15))/(1+3*(1-(0.75)^((5+(H15/2))/H15))*C82)/(1-(0.75)^((5+(H15/2))/H15)))),(1+0.02*C49))*(1+C73*0.15*(5+2*C68)*(1/S19*C149*(1-C150)))*(1+0.01*E31)</f>
        <v>1.04</v>
      </c>
      <c r="K15" s="176" t="s">
        <v>288</v>
      </c>
      <c r="L15" s="133">
        <f>IF(C127=4,1/(2.5+(2/(1-(L14+0.3*(0.151+0.367*(J8)-0.0791*(J8)^2+0.0086*(J8)^3)))-1+IF(C152=1,0.5,0))/C152),1/(2.5+(2/(1-(L14+0.3*T38*(8+C110*4)))-1+IF(C152=1,0.5,0))/C152))</f>
        <v>0.3269240909</v>
      </c>
      <c r="N15" s="181">
        <f>IF(X10=0,"Self-Sufficient (+"&amp;Round(-((T10-U10-V10-W10)*(1-$T$76*(10+2*C92))+(T10-U10-V10-W10*(1.3+0.05*C92))*($T$76*(10+2*C92)))/O10%,2)&amp;"%)",($O$10-$X$10)/$O$10)</f>
        <v>0.9996620211</v>
      </c>
      <c r="O15" s="182">
        <f t="shared" ref="O15:P15" si="7">V77</f>
        <v>324430.9328</v>
      </c>
      <c r="P15" s="182">
        <f t="shared" si="7"/>
        <v>112067.4741</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9369364.527</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11517616.61</v>
      </c>
      <c r="S15" s="182">
        <f>$L$7*O10/T10*(0.7+0.3/(1-0.15*C79-0.05*IF(C79&gt;0,1,0)))*(1+($T$76*(10+2*C92))*0.3)</f>
        <v>21754755.47</v>
      </c>
    </row>
    <row r="16">
      <c r="F16" s="192"/>
    </row>
    <row r="17">
      <c r="A17" s="2"/>
      <c r="B17" s="70" t="s">
        <v>70</v>
      </c>
      <c r="D17" s="2"/>
      <c r="E17" s="2"/>
      <c r="G17" s="30" t="s">
        <v>292</v>
      </c>
      <c r="H17" s="9" t="s">
        <v>255</v>
      </c>
      <c r="I17" s="8" t="s">
        <v>293</v>
      </c>
      <c r="J17" s="8" t="s">
        <v>294</v>
      </c>
      <c r="K17" s="9" t="s">
        <v>295</v>
      </c>
      <c r="L17" s="9" t="s">
        <v>296</v>
      </c>
      <c r="M17" s="8" t="s">
        <v>297</v>
      </c>
      <c r="N17" s="8" t="s">
        <v>298</v>
      </c>
      <c r="O17" s="8" t="s">
        <v>299</v>
      </c>
      <c r="P17" s="9" t="s">
        <v>300</v>
      </c>
      <c r="Q17" s="8" t="s">
        <v>301</v>
      </c>
      <c r="R17" s="8" t="s">
        <v>302</v>
      </c>
      <c r="S17" s="8" t="s">
        <v>303</v>
      </c>
      <c r="T17" s="8" t="s">
        <v>304</v>
      </c>
      <c r="U17" s="8" t="s">
        <v>305</v>
      </c>
      <c r="V17" s="9" t="s">
        <v>115</v>
      </c>
      <c r="W17" s="9" t="s">
        <v>150</v>
      </c>
      <c r="X17" s="8" t="s">
        <v>306</v>
      </c>
      <c r="Y17" s="9" t="s">
        <v>307</v>
      </c>
      <c r="Z17" s="8" t="s">
        <v>308</v>
      </c>
      <c r="AA17" s="8" t="s">
        <v>309</v>
      </c>
      <c r="AB17" s="9" t="s">
        <v>310</v>
      </c>
    </row>
    <row r="18">
      <c r="A18" s="2"/>
      <c r="B18" s="59" t="s">
        <v>72</v>
      </c>
      <c r="C18" s="59" t="s">
        <v>73</v>
      </c>
      <c r="D18" s="59" t="s">
        <v>74</v>
      </c>
      <c r="E18" s="59" t="s">
        <v>75</v>
      </c>
      <c r="G18" s="193" t="s">
        <v>195</v>
      </c>
      <c r="H18" s="194"/>
      <c r="I18" s="194"/>
      <c r="J18" s="194"/>
      <c r="K18" s="194"/>
      <c r="L18" s="194"/>
      <c r="M18" s="194"/>
      <c r="N18" s="194"/>
      <c r="O18" s="195"/>
      <c r="P18" s="194"/>
      <c r="Q18" s="196">
        <f>1.5/$J$9</f>
        <v>0.983880796</v>
      </c>
      <c r="R18" s="197">
        <v>120.0</v>
      </c>
      <c r="S18" s="198">
        <f>R18+$C$151</f>
        <v>120.8</v>
      </c>
      <c r="T18" s="196">
        <f>1/S18*C102*D102</f>
        <v>0</v>
      </c>
      <c r="U18" s="199">
        <f>T18*Q18</f>
        <v>0</v>
      </c>
      <c r="V18" s="194"/>
      <c r="W18" s="194"/>
      <c r="X18" s="194"/>
      <c r="Y18" s="194"/>
      <c r="Z18" s="194"/>
      <c r="AA18" s="195"/>
      <c r="AB18" s="194"/>
    </row>
    <row r="19">
      <c r="A19" s="2"/>
      <c r="B19" s="174" t="str">
        <f>Inputs!B21</f>
        <v/>
      </c>
      <c r="C19" s="25">
        <f>Inputs!C21</f>
        <v>1</v>
      </c>
      <c r="D19" s="79"/>
      <c r="E19" s="79"/>
      <c r="G19" s="61" t="s">
        <v>311</v>
      </c>
      <c r="H19" s="201"/>
      <c r="I19" s="194"/>
      <c r="J19" s="203"/>
      <c r="K19" s="195"/>
      <c r="L19" s="195"/>
      <c r="M19" s="195"/>
      <c r="N19" s="194"/>
      <c r="O19" s="196">
        <f>AA19/T19</f>
        <v>58.26106481</v>
      </c>
      <c r="P19" s="194"/>
      <c r="Q19" s="194"/>
      <c r="R19" s="197">
        <v>60.0</v>
      </c>
      <c r="S19" s="196">
        <f>(R19-20*C68+20*C81)</f>
        <v>40</v>
      </c>
      <c r="T19" s="196">
        <f>1/S19*C149*C150</f>
        <v>0.01</v>
      </c>
      <c r="U19" s="195"/>
      <c r="V19" s="195"/>
      <c r="W19" s="195"/>
      <c r="X19" s="195"/>
      <c r="Y19" s="194"/>
      <c r="Z19" s="194"/>
      <c r="AA19" s="196">
        <f>T19*$J$10*(1+0.4*$C$68)*(1+0.15*$C$46)*25</f>
        <v>0.5826106481</v>
      </c>
      <c r="AB19" s="194"/>
    </row>
    <row r="20">
      <c r="A20" s="2"/>
      <c r="B20" s="59" t="s">
        <v>76</v>
      </c>
      <c r="C20" s="59" t="s">
        <v>77</v>
      </c>
      <c r="D20" s="59" t="s">
        <v>78</v>
      </c>
      <c r="G20" s="59" t="s">
        <v>141</v>
      </c>
      <c r="H20" s="27"/>
      <c r="I20" s="194"/>
      <c r="J20" s="194"/>
      <c r="K20" s="194"/>
      <c r="L20" s="194"/>
      <c r="M20" s="194"/>
      <c r="N20" s="194"/>
      <c r="O20" s="194"/>
      <c r="P20" s="194"/>
      <c r="Q20" s="196">
        <f t="shared" ref="Q20:Q22" si="8">1.5/$J$9</f>
        <v>0.983880796</v>
      </c>
      <c r="R20" s="204">
        <v>240.0</v>
      </c>
      <c r="S20" s="205">
        <f>240-60*C67</f>
        <v>180</v>
      </c>
      <c r="T20" s="196">
        <f>1/S20*C61*D61</f>
        <v>0</v>
      </c>
      <c r="U20" s="199">
        <f t="shared" ref="U20:U22" si="9">T20*Q20</f>
        <v>0</v>
      </c>
      <c r="V20" s="194"/>
      <c r="W20" s="195"/>
      <c r="X20" s="195"/>
      <c r="Y20" s="194"/>
      <c r="Z20" s="194"/>
      <c r="AA20" s="194"/>
      <c r="AB20" s="194"/>
    </row>
    <row r="21">
      <c r="A21" s="2"/>
      <c r="B21" s="25" t="str">
        <f>Inputs!B23</f>
        <v/>
      </c>
      <c r="C21" s="25" t="str">
        <f>Inputs!C23</f>
        <v/>
      </c>
      <c r="D21" s="78"/>
      <c r="G21" s="59" t="s">
        <v>313</v>
      </c>
      <c r="H21" s="206">
        <v>1.5</v>
      </c>
      <c r="I21" s="194"/>
      <c r="J21" s="207">
        <f>($J$6*(1+$E$116)*(1+$D$157)+$C$14*6)*H21*$J$10*$L$11*(1+0.01*E25)</f>
        <v>9466.337868</v>
      </c>
      <c r="K21" s="196">
        <f>J21*$J$8*$C$152*$J$14*(1+0.08*C120*D120)
</f>
        <v>70711.93832</v>
      </c>
      <c r="L21" s="209">
        <f>K21/$C$152</f>
        <v>14142.38766</v>
      </c>
      <c r="M21" s="209">
        <f>K21*$L$12</f>
        <v>13081.70859</v>
      </c>
      <c r="N21" s="194"/>
      <c r="O21" s="194"/>
      <c r="P21" s="194"/>
      <c r="Q21" s="196">
        <f t="shared" si="8"/>
        <v>0.983880796</v>
      </c>
      <c r="R21" s="197">
        <v>180.0</v>
      </c>
      <c r="S21" s="198">
        <f t="shared" ref="S21:S22" si="10">R21+$C$151</f>
        <v>180.8</v>
      </c>
      <c r="T21" s="196">
        <f>1/S21*E25</f>
        <v>0</v>
      </c>
      <c r="U21" s="199">
        <f t="shared" si="9"/>
        <v>0</v>
      </c>
      <c r="V21" s="196">
        <f>T21*K21</f>
        <v>0</v>
      </c>
      <c r="W21" s="196">
        <f>T21*L21</f>
        <v>0</v>
      </c>
      <c r="X21" s="196">
        <f>T21*M21</f>
        <v>0</v>
      </c>
      <c r="Y21" s="196">
        <f>X21*(1-$C$144)</f>
        <v>0</v>
      </c>
      <c r="Z21" s="194"/>
      <c r="AA21" s="194"/>
      <c r="AB21" s="194"/>
    </row>
    <row r="22">
      <c r="A22" s="2"/>
      <c r="B22" s="2"/>
      <c r="E22" s="2"/>
      <c r="G22" s="61" t="s">
        <v>314</v>
      </c>
      <c r="H22" s="201"/>
      <c r="I22" s="194"/>
      <c r="J22" s="203"/>
      <c r="K22" s="195"/>
      <c r="L22" s="195"/>
      <c r="M22" s="195"/>
      <c r="N22" s="194"/>
      <c r="O22" s="211">
        <f>20</f>
        <v>20</v>
      </c>
      <c r="P22" s="194"/>
      <c r="Q22" s="196">
        <f t="shared" si="8"/>
        <v>0.983880796</v>
      </c>
      <c r="R22" s="197">
        <v>120.0</v>
      </c>
      <c r="S22" s="198">
        <f t="shared" si="10"/>
        <v>120.8</v>
      </c>
      <c r="T22" s="196">
        <f>1/S22*C28</f>
        <v>0</v>
      </c>
      <c r="U22" s="199">
        <f t="shared" si="9"/>
        <v>0</v>
      </c>
      <c r="V22" s="195"/>
      <c r="W22" s="195"/>
      <c r="X22" s="195"/>
      <c r="Y22" s="194"/>
      <c r="Z22" s="194"/>
      <c r="AA22" s="196">
        <f>T22*O22</f>
        <v>0</v>
      </c>
      <c r="AB22" s="194"/>
    </row>
    <row r="23">
      <c r="A23" s="2"/>
      <c r="B23" s="70" t="s">
        <v>79</v>
      </c>
      <c r="D23" s="2"/>
      <c r="E23" s="2"/>
      <c r="G23" s="61" t="s">
        <v>315</v>
      </c>
      <c r="H23" s="212">
        <f>5*C15/12*1.25*1.2</f>
        <v>2.25</v>
      </c>
      <c r="I23" s="194"/>
      <c r="J23" s="207">
        <f>($J$6*(1+$E$116)*(1+$D$157)+169*15/120*$C$24+$C$14*6)*H23*$J$10*$L$11</f>
        <v>14199.5068</v>
      </c>
      <c r="K23" s="196">
        <f>J23*$J$8*0.7*$J$14*(1+0.08*C120*D120)
</f>
        <v>14849.50705</v>
      </c>
      <c r="L23" s="209">
        <f>K23</f>
        <v>14849.50705</v>
      </c>
      <c r="M23" s="209">
        <f>K23*$L$12</f>
        <v>2747.158804</v>
      </c>
      <c r="N23" s="215"/>
      <c r="O23" s="194"/>
      <c r="P23" s="194"/>
      <c r="Q23" s="195"/>
      <c r="R23" s="216">
        <f>C15</f>
        <v>3.6</v>
      </c>
      <c r="S23" s="209">
        <f>H15</f>
        <v>1.378599312</v>
      </c>
      <c r="T23" s="209">
        <f>1/S23</f>
        <v>0.7253739295</v>
      </c>
      <c r="U23" s="217"/>
      <c r="V23" s="196">
        <f t="shared" ref="V23:V24" si="11">T23*K23</f>
        <v>10771.44528</v>
      </c>
      <c r="W23" s="196">
        <f t="shared" ref="W23:W24" si="12">T23*L23</f>
        <v>10771.44528</v>
      </c>
      <c r="X23" s="196">
        <f t="shared" ref="X23:X24" si="13">T23*M23</f>
        <v>1992.717376</v>
      </c>
      <c r="Y23" s="196">
        <f t="shared" ref="Y23:Y29" si="14">X23*(1-$C$144)</f>
        <v>1594.173901</v>
      </c>
      <c r="Z23" s="194"/>
      <c r="AA23" s="194"/>
      <c r="AB23" s="194"/>
    </row>
    <row r="24">
      <c r="A24" s="2"/>
      <c r="B24" s="61" t="s">
        <v>80</v>
      </c>
      <c r="C24" s="25">
        <f>Inputs!C26</f>
        <v>0</v>
      </c>
      <c r="D24" s="82" t="s">
        <v>81</v>
      </c>
      <c r="E24" s="25">
        <f>Inputs!E26</f>
        <v>0</v>
      </c>
      <c r="F24" s="2"/>
      <c r="G24" s="59" t="s">
        <v>316</v>
      </c>
      <c r="H24" s="218">
        <f>0.1115*1.4/6*1.36*1.075*15</f>
        <v>0.5705455</v>
      </c>
      <c r="I24" s="204">
        <v>1.15</v>
      </c>
      <c r="J24" s="219">
        <f>($J$6*(1+$E$116)*(1+$D$157)+169*15/120*$C$24+$C$14*6)*H24*$J$10*$L$11*I24*(1+0.01*C24)</f>
        <v>4140.748629</v>
      </c>
      <c r="K24" s="196">
        <f>(J24*$J$8*INT($J$9*10/1+1)*0.7*$J$14+J24*7.875*1.25*$J$8*$C$152/SQRT(MAX(1,$C$152/8))*$J$14)*(1+0.15*$C$152/SQRT(MAX(1,$C$152/8))*(1+$C$131*0.05*MIN(1,5/$C$152))*J10)</f>
        <v>727368.0093</v>
      </c>
      <c r="L24" s="196">
        <f>(J24*$J$8*INT($J$9*10/1+1)*0.7*$J$14+J24*7.875*1.25*$J$8/SQRT(MAX(1,$C$152/8))*$J$14)+(K24/(1+0.15*$C$152/SQRT(MAX(1,$C$152/8))*(1+$C$131*0.05*MIN(1,5/$C$152))*J10))*(0.15*1/SQRT(MAX(1,$C$152/8))*(1+$C$131*0.05)*J10)</f>
        <v>199182.7069</v>
      </c>
      <c r="M24" s="196">
        <f>K24/((1+$C$131*0.05*MIN(1,5/$C$152)))/$C$152</f>
        <v>138546.2875</v>
      </c>
      <c r="N24" s="194"/>
      <c r="O24" s="194"/>
      <c r="P24" s="194"/>
      <c r="Q24" s="195"/>
      <c r="R24" s="195"/>
      <c r="S24" s="196">
        <f>S38</f>
        <v>90.8</v>
      </c>
      <c r="T24" s="196">
        <f>1/S24*C131</f>
        <v>0.01101321586</v>
      </c>
      <c r="U24" s="222"/>
      <c r="V24" s="196">
        <f t="shared" si="11"/>
        <v>8010.660895</v>
      </c>
      <c r="W24" s="196">
        <f t="shared" si="12"/>
        <v>2193.642146</v>
      </c>
      <c r="X24" s="196">
        <f t="shared" si="13"/>
        <v>1525.840171</v>
      </c>
      <c r="Y24" s="196">
        <f t="shared" si="14"/>
        <v>1220.672136</v>
      </c>
      <c r="Z24" s="194"/>
      <c r="AA24" s="194"/>
      <c r="AB24" s="194"/>
    </row>
    <row r="25">
      <c r="A25" s="2"/>
      <c r="B25" s="61" t="s">
        <v>83</v>
      </c>
      <c r="C25" s="25">
        <f>Inputs!C27</f>
        <v>0</v>
      </c>
      <c r="D25" s="82" t="s">
        <v>84</v>
      </c>
      <c r="E25" s="25">
        <f>Inputs!E27</f>
        <v>0</v>
      </c>
      <c r="F25" s="2"/>
      <c r="G25" s="61" t="s">
        <v>177</v>
      </c>
      <c r="H25" s="206">
        <f>1.4256*1.15</f>
        <v>1.63944</v>
      </c>
      <c r="I25" s="204">
        <v>1.15</v>
      </c>
      <c r="J25" s="207">
        <f>($J$6*(1+$E$116)*(1+$D$157)+169*15/120*$C$24+$C$14*6)*H25*$J$10*$L$11*I25*(1+0.01*$E$25)*(1+0.3*C130)</f>
        <v>11898.27793</v>
      </c>
      <c r="K25" s="196">
        <f>J25*$J$8*$C$152*$J$14*(1+C130*0.15*$B$19*(1+0.2*$C$63))*(1+$C$131*0.05*MIN(1,5/$C$152))*$H$135*(1+0.08*C120*D120)
</f>
        <v>93322.02403</v>
      </c>
      <c r="L25" s="209">
        <f t="shared" ref="L25:L26" si="15">K25/$C$152</f>
        <v>18664.40481</v>
      </c>
      <c r="M25" s="209">
        <f>K25*$L$12</f>
        <v>17264.57445</v>
      </c>
      <c r="N25" s="194"/>
      <c r="O25" s="194"/>
      <c r="P25" s="195"/>
      <c r="Q25" s="196">
        <f>1.5/$J$9</f>
        <v>0.983880796</v>
      </c>
      <c r="R25" s="197">
        <v>7.5</v>
      </c>
      <c r="S25" s="196">
        <f>1/((1/(R25/J9))+(C113/((R25/J9)/((1/(1-0.15*C107))/3*(1+C130)*(1-(1-H8)^C152)*0.25))))</f>
        <v>4.91940398</v>
      </c>
      <c r="T25" s="196">
        <f>MIN(1/S25,MAX((1-SUM(U19:U23,U29:U41,U43:U50,U52:U76)-($L$9+SUM(Z19:Z50,Z52:Z76))*Q51/(-N51)+(SUM(AA19:AA24,AA26:AA41,AA43:AA50,AA52:AA76)+(($L$9+SUM(Z19:Z50)+SUM(Z52:Z76))*O51/(-N51)))/O42*Q42)/Q25*(-O42/(O25-O42)),(1+C130)/24-T47*C130*0.5))</f>
        <v>0.04166666667</v>
      </c>
      <c r="U25" s="199">
        <f>T25*Q25</f>
        <v>0.04099503317</v>
      </c>
      <c r="V25" s="196">
        <f>(T25+C108*T51*(1-(1-0.15)*(1-0.15*MAX(4,C152-1)))*1.5)*K25</f>
        <v>40872.21588</v>
      </c>
      <c r="W25" s="196">
        <f>(T25+C108*T51*(1-(1-0.15)*(1-0.15*MAX(4,C152-1)))*1.5)*L25</f>
        <v>8174.443176</v>
      </c>
      <c r="X25" s="196">
        <f>(T25+C108*T51*0.15*1.5)*M25</f>
        <v>2274.357875</v>
      </c>
      <c r="Y25" s="196">
        <f t="shared" si="14"/>
        <v>1819.4863</v>
      </c>
      <c r="Z25" s="194"/>
      <c r="AA25" s="195"/>
      <c r="AB25" s="195"/>
    </row>
    <row r="26">
      <c r="A26" s="2"/>
      <c r="B26" s="61" t="s">
        <v>85</v>
      </c>
      <c r="C26" s="25">
        <f>Inputs!C28</f>
        <v>0</v>
      </c>
      <c r="D26" s="82" t="s">
        <v>86</v>
      </c>
      <c r="E26" s="25">
        <f>Inputs!E28</f>
        <v>0</v>
      </c>
      <c r="F26" s="2"/>
      <c r="G26" s="59" t="s">
        <v>161</v>
      </c>
      <c r="H26" s="218">
        <v>1.2</v>
      </c>
      <c r="I26" s="204">
        <v>1.15</v>
      </c>
      <c r="J26" s="207">
        <f>($J$6*(1+$E$116)*(1+$D$157)+169*15/120*$C$24+$C$14*6)*H26*$J$10*$L$11*I26*(1+0.01*$E$25)</f>
        <v>8709.030839</v>
      </c>
      <c r="K26" s="196">
        <f>J26*$J$8*$C$152*$J$14*(1+$C$131*0.05*MIN(1,5/$C$152))*(1+0.08*C120*D120)
</f>
        <v>68307.73242</v>
      </c>
      <c r="L26" s="196">
        <f t="shared" si="15"/>
        <v>13661.54648</v>
      </c>
      <c r="M26" s="196">
        <f>K26*(1+$L$12)*1.25</f>
        <v>101180.8286</v>
      </c>
      <c r="N26" s="194"/>
      <c r="O26" s="194"/>
      <c r="P26" s="194"/>
      <c r="Q26" s="195"/>
      <c r="R26" s="204">
        <v>120.0</v>
      </c>
      <c r="S26" s="204">
        <v>120.0</v>
      </c>
      <c r="T26" s="196">
        <f>1/S26*C76</f>
        <v>0</v>
      </c>
      <c r="U26" s="222"/>
      <c r="V26" s="196">
        <f>T26*K26</f>
        <v>0</v>
      </c>
      <c r="W26" s="196">
        <f>T26*L26</f>
        <v>0</v>
      </c>
      <c r="X26" s="196">
        <f t="shared" ref="X26:X28" si="16">T26*M26</f>
        <v>0</v>
      </c>
      <c r="Y26" s="196">
        <f t="shared" si="14"/>
        <v>0</v>
      </c>
      <c r="Z26" s="195"/>
      <c r="AA26" s="195"/>
      <c r="AB26" s="194"/>
    </row>
    <row r="27">
      <c r="A27" s="2"/>
      <c r="B27" s="61" t="s">
        <v>88</v>
      </c>
      <c r="C27" s="25">
        <f>Inputs!C29</f>
        <v>0</v>
      </c>
      <c r="D27" s="82" t="s">
        <v>89</v>
      </c>
      <c r="E27" s="25">
        <f>Inputs!E29</f>
        <v>0</v>
      </c>
      <c r="F27" s="2"/>
      <c r="G27" s="59" t="s">
        <v>208</v>
      </c>
      <c r="H27" s="224"/>
      <c r="I27" s="194"/>
      <c r="J27" s="194"/>
      <c r="K27" s="194"/>
      <c r="L27" s="194"/>
      <c r="M27" s="196">
        <f>V10/T19</f>
        <v>1176566.776</v>
      </c>
      <c r="N27" s="194"/>
      <c r="O27" s="194"/>
      <c r="P27" s="194"/>
      <c r="Q27" s="195"/>
      <c r="R27" s="194"/>
      <c r="S27" s="194"/>
      <c r="T27" s="196">
        <f>T19*C112</f>
        <v>0</v>
      </c>
      <c r="U27" s="222"/>
      <c r="V27" s="222"/>
      <c r="W27" s="222"/>
      <c r="X27" s="196">
        <f t="shared" si="16"/>
        <v>0</v>
      </c>
      <c r="Y27" s="196">
        <f t="shared" si="14"/>
        <v>0</v>
      </c>
      <c r="Z27" s="195"/>
      <c r="AA27" s="194"/>
      <c r="AB27" s="194"/>
    </row>
    <row r="28">
      <c r="A28" s="2"/>
      <c r="B28" s="61" t="s">
        <v>90</v>
      </c>
      <c r="C28" s="25">
        <f>Inputs!C30</f>
        <v>0</v>
      </c>
      <c r="D28" s="82" t="s">
        <v>91</v>
      </c>
      <c r="E28" s="25">
        <f>Inputs!E30</f>
        <v>0</v>
      </c>
      <c r="F28" s="2"/>
      <c r="G28" s="59" t="s">
        <v>215</v>
      </c>
      <c r="H28" s="206">
        <v>0.64</v>
      </c>
      <c r="I28" s="204">
        <v>1.15</v>
      </c>
      <c r="J28" s="207">
        <f>($J$6*(1+$E$116)*(1+$D$157)+169*15/120*$C$24+$C$14*6)*H28*$J$10*$L$11*I28*(1+0.01*E25)</f>
        <v>4644.816447</v>
      </c>
      <c r="K28" s="196">
        <f>J28*$J$8*$C$152/SQRT(MAX(1,$C$152/8))*$J$14*9*(1+0.08*C120*D120)*(1+$C$131*0.05*MIN(1,5/$C$152))</f>
        <v>327877.1156</v>
      </c>
      <c r="L28" s="196">
        <f t="shared" ref="L28:L29" si="17">K28/$C$152</f>
        <v>65575.42312</v>
      </c>
      <c r="M28" s="209">
        <f>K28*$L$12</f>
        <v>60657.26639</v>
      </c>
      <c r="N28" s="194"/>
      <c r="O28" s="219">
        <f>MIN(C152,5)*2*9</f>
        <v>90</v>
      </c>
      <c r="P28" s="194"/>
      <c r="Q28" s="195"/>
      <c r="R28" s="194"/>
      <c r="S28" s="194"/>
      <c r="T28" s="196">
        <f>T38*C118</f>
        <v>0</v>
      </c>
      <c r="U28" s="222"/>
      <c r="V28" s="196">
        <f>T28*K28</f>
        <v>0</v>
      </c>
      <c r="W28" s="196">
        <f>T28*L28</f>
        <v>0</v>
      </c>
      <c r="X28" s="196">
        <f t="shared" si="16"/>
        <v>0</v>
      </c>
      <c r="Y28" s="196">
        <f t="shared" si="14"/>
        <v>0</v>
      </c>
      <c r="Z28" s="195"/>
      <c r="AA28" s="196">
        <f>T28*O28</f>
        <v>0</v>
      </c>
      <c r="AB28" s="194"/>
    </row>
    <row r="29">
      <c r="A29" s="2"/>
      <c r="B29" s="61" t="s">
        <v>92</v>
      </c>
      <c r="C29" s="25">
        <f>Inputs!C31</f>
        <v>0</v>
      </c>
      <c r="D29" s="82" t="s">
        <v>93</v>
      </c>
      <c r="E29" s="25">
        <f>Inputs!E31</f>
        <v>0</v>
      </c>
      <c r="F29" s="2"/>
      <c r="G29" s="61" t="s">
        <v>321</v>
      </c>
      <c r="H29" s="237">
        <f>0.3348*24/3*(1/(1-0.15*C107))</f>
        <v>3.151058824</v>
      </c>
      <c r="I29" s="204">
        <v>1.15</v>
      </c>
      <c r="J29" s="207">
        <f>($J$6*(1+$E$116)*(1+$D$157)+169*15/120*$C$24+$C$14*6)*H29*$J$10*$L$11*I29*(1+0.01*E25)</f>
        <v>22868.89039</v>
      </c>
      <c r="K29" s="196">
        <f>J29*$J$8*$C$152*$J$14*(1+0.4*C117*D117)*(1+$C$131*0.05*MIN(1,5/$C$152))*(1+0.08*C120*D120)*(1+0.15*C131)/(1+0.05*C117)
</f>
        <v>259314.9799</v>
      </c>
      <c r="L29" s="196">
        <f t="shared" si="17"/>
        <v>51862.99599</v>
      </c>
      <c r="M29" s="196">
        <f>K29*(1+0.85*$C$107+$L$12)*1.25</f>
        <v>659632.4802</v>
      </c>
      <c r="N29" s="194"/>
      <c r="O29" s="194"/>
      <c r="P29" s="194"/>
      <c r="Q29" s="195"/>
      <c r="R29" s="194"/>
      <c r="S29" s="194"/>
      <c r="T29" s="195"/>
      <c r="U29" s="222"/>
      <c r="V29" s="196">
        <f>K29/24*(1+C130)</f>
        <v>10804.79083</v>
      </c>
      <c r="W29" s="196">
        <f>L29/24*(1+C130)</f>
        <v>2160.958166</v>
      </c>
      <c r="X29" s="196">
        <f>M29/24*(1+C130)</f>
        <v>27484.68668</v>
      </c>
      <c r="Y29" s="196">
        <f t="shared" si="14"/>
        <v>21987.74934</v>
      </c>
      <c r="Z29" s="195"/>
      <c r="AA29" s="195"/>
      <c r="AB29" s="194"/>
    </row>
    <row r="30">
      <c r="A30" s="2"/>
      <c r="B30" s="59" t="s">
        <v>94</v>
      </c>
      <c r="C30" s="25">
        <f>Inputs!C32</f>
        <v>0</v>
      </c>
      <c r="D30" s="59" t="s">
        <v>95</v>
      </c>
      <c r="E30" s="25">
        <f>Inputs!E32</f>
        <v>0</v>
      </c>
      <c r="F30" s="2"/>
      <c r="G30" s="59" t="s">
        <v>327</v>
      </c>
      <c r="H30" s="224"/>
      <c r="I30" s="194"/>
      <c r="J30" s="194"/>
      <c r="K30" s="194"/>
      <c r="L30" s="194"/>
      <c r="M30" s="209">
        <f>MIN(J11*(MAX(5*0.2*T10*(1+0.05*C111),7/100*L7)*(1+0.15*C42))*$J$10*(1+0.15*C46)*(1+0.2*C115),(0.5+0.15*C114)*L7*MAX(1,T42/0.2)/(1+($T$76*(10+2*C92))*(0.3+0.05*C92)))</f>
        <v>370024.8434</v>
      </c>
      <c r="N30" s="194"/>
      <c r="O30" s="194"/>
      <c r="P30" s="194"/>
      <c r="Q30" s="194"/>
      <c r="R30" s="194"/>
      <c r="S30" s="194"/>
      <c r="T30" s="196">
        <f>T42</f>
        <v>0.4013494365</v>
      </c>
      <c r="U30" s="222"/>
      <c r="V30" s="222"/>
      <c r="W30" s="222"/>
      <c r="X30" s="196">
        <f>MIN(T30,0.2)*M30</f>
        <v>74004.96868</v>
      </c>
      <c r="Y30" s="196">
        <f t="shared" ref="Y30:Y33" si="18">X30</f>
        <v>74004.96868</v>
      </c>
      <c r="Z30" s="195"/>
      <c r="AA30" s="195"/>
      <c r="AB30" s="194"/>
    </row>
    <row r="31">
      <c r="A31" s="2"/>
      <c r="B31" s="59" t="s">
        <v>96</v>
      </c>
      <c r="C31" s="25">
        <f>Inputs!C33</f>
        <v>0</v>
      </c>
      <c r="D31" s="59" t="s">
        <v>97</v>
      </c>
      <c r="E31" s="25">
        <f>Inputs!E33</f>
        <v>0</v>
      </c>
      <c r="F31" s="2"/>
      <c r="G31" s="59" t="s">
        <v>328</v>
      </c>
      <c r="H31" s="218">
        <v>9.0</v>
      </c>
      <c r="I31" s="194"/>
      <c r="J31" s="219">
        <f>($J$6*(1+$E$116)*(1+$D$157)+169*15/120*$C$24+$C$14*6)*H31*$J$10*$L$11*(1+0.01*E25)</f>
        <v>56798.02721</v>
      </c>
      <c r="K31" s="196">
        <f>J31*$J$8*(2*$C$152/3+1/3)*(1+$C$131*0.05*MIN(1,5.5/($C$152+0.5)))*$H$135
</f>
        <v>266613.9526</v>
      </c>
      <c r="L31" s="196">
        <f>K31/(2*$C$152/3+1/3)</f>
        <v>72712.89617</v>
      </c>
      <c r="M31" s="209">
        <f>K31*$L$12</f>
        <v>49323.58123</v>
      </c>
      <c r="N31" s="194"/>
      <c r="O31" s="194"/>
      <c r="P31" s="194"/>
      <c r="Q31" s="195"/>
      <c r="R31" s="195"/>
      <c r="S31" s="195"/>
      <c r="T31" s="196">
        <f>T42/10*C158</f>
        <v>0.04013494365</v>
      </c>
      <c r="U31" s="222"/>
      <c r="V31" s="196">
        <f t="shared" ref="V31:V33" si="19">T31*K31</f>
        <v>10700.53597</v>
      </c>
      <c r="W31" s="196">
        <f t="shared" ref="W31:W33" si="20">T31*L31</f>
        <v>2918.327991</v>
      </c>
      <c r="X31" s="196">
        <f t="shared" ref="X31:X33" si="21">T31*M31</f>
        <v>1979.599154</v>
      </c>
      <c r="Y31" s="196">
        <f t="shared" si="18"/>
        <v>1979.599154</v>
      </c>
      <c r="Z31" s="194"/>
      <c r="AA31" s="194"/>
      <c r="AB31" s="194"/>
    </row>
    <row r="32">
      <c r="A32" s="2"/>
      <c r="B32" s="59" t="s">
        <v>98</v>
      </c>
      <c r="C32" s="25">
        <f>Inputs!C34</f>
        <v>0</v>
      </c>
      <c r="D32" s="59" t="s">
        <v>99</v>
      </c>
      <c r="E32" s="25">
        <f>Inputs!E34</f>
        <v>0</v>
      </c>
      <c r="F32" s="2"/>
      <c r="G32" s="61" t="s">
        <v>193</v>
      </c>
      <c r="H32" s="206">
        <f>0.235*1.4/6*1.075</f>
        <v>0.05894583333</v>
      </c>
      <c r="I32" s="204">
        <v>1.0</v>
      </c>
      <c r="J32" s="219">
        <f>($J$6*(1+$E$116)*(1+$D$157)+169*15/120*$C$24+$C$14*6)*H32*$J$10*$L$11*I32*(1+0.01*C24)</f>
        <v>372.0007828</v>
      </c>
      <c r="K32" s="196">
        <f>J32*$J$8*INT($J$9*D101/1.4+1)*0.7*$J$14</f>
        <v>4146.63318</v>
      </c>
      <c r="L32" s="196">
        <f>K32</f>
        <v>4146.63318</v>
      </c>
      <c r="M32" s="196">
        <f>L7*0.5*0.15</f>
        <v>126217.095</v>
      </c>
      <c r="N32" s="194"/>
      <c r="O32" s="194"/>
      <c r="P32" s="194"/>
      <c r="Q32" s="195"/>
      <c r="R32" s="197">
        <f>60/5</f>
        <v>12</v>
      </c>
      <c r="S32" s="196">
        <f>R32/1.13</f>
        <v>10.61946903</v>
      </c>
      <c r="T32" s="196">
        <f>1/S32*C101</f>
        <v>0</v>
      </c>
      <c r="U32" s="222"/>
      <c r="V32" s="196">
        <f t="shared" si="19"/>
        <v>0</v>
      </c>
      <c r="W32" s="196">
        <f t="shared" si="20"/>
        <v>0</v>
      </c>
      <c r="X32" s="196">
        <f t="shared" si="21"/>
        <v>0</v>
      </c>
      <c r="Y32" s="196">
        <f t="shared" si="18"/>
        <v>0</v>
      </c>
      <c r="Z32" s="194"/>
      <c r="AA32" s="194"/>
      <c r="AB32" s="194"/>
    </row>
    <row r="33">
      <c r="A33" s="2"/>
      <c r="B33" s="59" t="s">
        <v>100</v>
      </c>
      <c r="C33" s="25">
        <f>Inputs!C35</f>
        <v>0</v>
      </c>
      <c r="D33" s="59" t="s">
        <v>101</v>
      </c>
      <c r="E33" s="25">
        <f>Inputs!E35</f>
        <v>0</v>
      </c>
      <c r="F33" s="2"/>
      <c r="G33" s="59" t="s">
        <v>211</v>
      </c>
      <c r="H33" s="218">
        <v>1.1</v>
      </c>
      <c r="I33" s="204">
        <v>1.15</v>
      </c>
      <c r="J33" s="207">
        <f>($J$6*(1+$E$116)*(1+$D$157)+169*15/120*$C$24+$C$14*6)*H33*$J$10*$L$11*I33*(1+0.01*$E$25)</f>
        <v>7983.278269</v>
      </c>
      <c r="K33" s="196">
        <f>J33*$J$8*$J$14*(1+$C$131*0.05*MIN(1,5/$C$152))*$H$135*(1+0.08*C127)
</f>
        <v>16017.89849</v>
      </c>
      <c r="L33" s="196">
        <f>K33/C$152</f>
        <v>3203.579699</v>
      </c>
      <c r="M33" s="209">
        <f>K33*$L$12</f>
        <v>2963.311221</v>
      </c>
      <c r="N33" s="194"/>
      <c r="O33" s="194"/>
      <c r="P33" s="194"/>
      <c r="Q33" s="203"/>
      <c r="R33" s="204">
        <v>0.5</v>
      </c>
      <c r="S33" s="196">
        <f>1/T42</f>
        <v>2.491594379</v>
      </c>
      <c r="T33" s="196">
        <f>1/S33*C114</f>
        <v>0</v>
      </c>
      <c r="U33" s="203"/>
      <c r="V33" s="196">
        <f t="shared" si="19"/>
        <v>0</v>
      </c>
      <c r="W33" s="196">
        <f t="shared" si="20"/>
        <v>0</v>
      </c>
      <c r="X33" s="196">
        <f t="shared" si="21"/>
        <v>0</v>
      </c>
      <c r="Y33" s="196">
        <f t="shared" si="18"/>
        <v>0</v>
      </c>
      <c r="Z33" s="194"/>
      <c r="AA33" s="194"/>
      <c r="AB33" s="194"/>
    </row>
    <row r="34">
      <c r="A34" s="2"/>
      <c r="B34" s="59" t="s">
        <v>102</v>
      </c>
      <c r="C34" s="25">
        <f>Inputs!C36</f>
        <v>0</v>
      </c>
      <c r="D34" s="59" t="s">
        <v>103</v>
      </c>
      <c r="E34" s="25">
        <f>Inputs!E36</f>
        <v>0</v>
      </c>
      <c r="F34" s="2"/>
      <c r="G34" s="59" t="s">
        <v>329</v>
      </c>
      <c r="H34" s="252"/>
      <c r="I34" s="203"/>
      <c r="J34" s="203"/>
      <c r="K34" s="203"/>
      <c r="L34" s="203"/>
      <c r="M34" s="203"/>
      <c r="N34" s="194"/>
      <c r="O34" s="194"/>
      <c r="P34" s="194"/>
      <c r="Q34" s="203"/>
      <c r="R34" s="203"/>
      <c r="S34" s="203"/>
      <c r="T34" s="203"/>
      <c r="U34" s="203"/>
      <c r="V34" s="203"/>
      <c r="W34" s="203"/>
      <c r="X34" s="196">
        <f>T10*0.02*E33</f>
        <v>0</v>
      </c>
      <c r="Y34" s="196">
        <f t="shared" ref="Y34:Y36" si="22">X34*(1-$C$144)</f>
        <v>0</v>
      </c>
      <c r="Z34" s="194"/>
      <c r="AA34" s="194"/>
      <c r="AB34" s="194"/>
    </row>
    <row r="35">
      <c r="A35" s="2"/>
      <c r="B35" s="59" t="s">
        <v>104</v>
      </c>
      <c r="C35" s="25">
        <f>Inputs!C37</f>
        <v>0</v>
      </c>
      <c r="D35" s="59"/>
      <c r="E35" s="25" t="str">
        <f>Inputs!E37</f>
        <v/>
      </c>
      <c r="F35" s="2">
        <f>H35/H25</f>
        <v>3.81283853</v>
      </c>
      <c r="G35" s="61" t="s">
        <v>218</v>
      </c>
      <c r="H35" s="218">
        <f>4.8084*1.3</f>
        <v>6.25092</v>
      </c>
      <c r="I35" s="204">
        <v>1.15</v>
      </c>
      <c r="J35" s="207">
        <f>($J$6*(1+$E$116)*(1+$D$157)+169*15/120*$C$24+$C$14*6)*H35*$J$10*$L$11*I35*(1+0.01*$E$25)</f>
        <v>45366.21254</v>
      </c>
      <c r="K35" s="196">
        <f>J35*$J$8*$C$152/SQRT(MAX(1,$C$152/8))*$J$14*(1+$C$131*0.05*MIN(1,5/$C$152))*(1+0.08*C120*D120)+24/(1+C130)*V29*D121*0.25*(1+0.08*C120*D120)</f>
        <v>422725.0738</v>
      </c>
      <c r="L35" s="196">
        <f>K35/$C$152</f>
        <v>84545.01476</v>
      </c>
      <c r="M35" s="196">
        <f>K35*$L$12+24/(1+C130)*V29*D121*0.25*(1+0.08*C120*D120)*(1+0.5*$C$107+$L$12)*1.25+K35*C125*1.5*J11*J10*(1+0.15*C46)*(1+0.2*C115)/(1-$C$144)</f>
        <v>219119.1402</v>
      </c>
      <c r="N35" s="194"/>
      <c r="O35" s="194"/>
      <c r="P35" s="194"/>
      <c r="Q35" s="196">
        <f>(1+0.5*D121)/$J$9</f>
        <v>0.983880796</v>
      </c>
      <c r="R35" s="204">
        <v>45.0</v>
      </c>
      <c r="S35" s="198">
        <f>(R35/(1+$C$125*22.5*1.1/60*1.13*$J$9))+$C$151</f>
        <v>45.8</v>
      </c>
      <c r="T35" s="196">
        <f>1/S35*C121</f>
        <v>0</v>
      </c>
      <c r="U35" s="199">
        <f t="shared" ref="U35:U36" si="23">T35*Q35</f>
        <v>0</v>
      </c>
      <c r="V35" s="196">
        <f t="shared" ref="V35:V36" si="24">T35*K35</f>
        <v>0</v>
      </c>
      <c r="W35" s="196">
        <f t="shared" ref="W35:W36" si="25">T35*L35</f>
        <v>0</v>
      </c>
      <c r="X35" s="196">
        <f t="shared" ref="X35:X36" si="26">T35*M35</f>
        <v>0</v>
      </c>
      <c r="Y35" s="196">
        <f t="shared" si="22"/>
        <v>0</v>
      </c>
      <c r="Z35" s="194"/>
      <c r="AA35" s="194"/>
      <c r="AB35" s="194"/>
    </row>
    <row r="36">
      <c r="A36" s="2"/>
      <c r="B36" s="2"/>
      <c r="C36" s="2"/>
      <c r="D36" s="2"/>
      <c r="E36" s="2"/>
      <c r="F36" s="2"/>
      <c r="G36" s="59" t="s">
        <v>330</v>
      </c>
      <c r="H36" s="253">
        <v>2.52</v>
      </c>
      <c r="I36" s="203"/>
      <c r="J36" s="207">
        <f>($J$6*(1+$E$116)*(1+$D$157)+$C$14*6)*H36*$J$10*$L$11</f>
        <v>15903.44762</v>
      </c>
      <c r="K36" s="196">
        <f>J36*$J$8*$J$14*(1+0.08*C120*D120)</f>
        <v>23759.21128</v>
      </c>
      <c r="L36" s="196">
        <f>K36</f>
        <v>23759.21128</v>
      </c>
      <c r="M36" s="194"/>
      <c r="N36" s="194"/>
      <c r="O36" s="194"/>
      <c r="P36" s="194"/>
      <c r="Q36" s="196">
        <f>1.5/$J$9</f>
        <v>0.983880796</v>
      </c>
      <c r="R36" s="197">
        <v>90.0</v>
      </c>
      <c r="S36" s="198">
        <f>R36+$C$151</f>
        <v>90.8</v>
      </c>
      <c r="T36" s="196">
        <f>1/S36*IF($E$29=1,1,0)</f>
        <v>0</v>
      </c>
      <c r="U36" s="199">
        <f t="shared" si="23"/>
        <v>0</v>
      </c>
      <c r="V36" s="196">
        <f t="shared" si="24"/>
        <v>0</v>
      </c>
      <c r="W36" s="196">
        <f t="shared" si="25"/>
        <v>0</v>
      </c>
      <c r="X36" s="196">
        <f t="shared" si="26"/>
        <v>0</v>
      </c>
      <c r="Y36" s="196">
        <f t="shared" si="22"/>
        <v>0</v>
      </c>
      <c r="Z36" s="194"/>
      <c r="AA36" s="194"/>
      <c r="AB36" s="194"/>
    </row>
    <row r="37">
      <c r="A37" s="2"/>
      <c r="B37" s="90" t="s">
        <v>105</v>
      </c>
      <c r="C37" s="91" t="s">
        <v>106</v>
      </c>
      <c r="D37" s="91" t="s">
        <v>107</v>
      </c>
      <c r="E37" s="2"/>
      <c r="F37" s="2"/>
      <c r="G37" s="59" t="s">
        <v>331</v>
      </c>
      <c r="H37" s="254"/>
      <c r="I37" s="255"/>
      <c r="J37" s="255"/>
      <c r="K37" s="255"/>
      <c r="L37" s="255"/>
      <c r="M37" s="194"/>
      <c r="N37" s="204">
        <v>1.0</v>
      </c>
      <c r="O37" s="194"/>
      <c r="P37" s="255"/>
      <c r="Q37" s="255"/>
      <c r="R37" s="255"/>
      <c r="S37" s="255"/>
      <c r="T37" s="196">
        <f>F127</f>
        <v>0.1402974432</v>
      </c>
      <c r="U37" s="195"/>
      <c r="V37" s="195"/>
      <c r="W37" s="195"/>
      <c r="X37" s="195"/>
      <c r="Y37" s="194"/>
      <c r="Z37" s="196">
        <f>T37*N37</f>
        <v>0.1402974432</v>
      </c>
      <c r="AA37" s="194"/>
      <c r="AB37" s="194"/>
    </row>
    <row r="38">
      <c r="A38" s="93" t="s">
        <v>108</v>
      </c>
      <c r="B38" s="59" t="s">
        <v>109</v>
      </c>
      <c r="C38" s="25">
        <f>Inputs!C40</f>
        <v>1</v>
      </c>
      <c r="D38" s="78"/>
      <c r="E38" s="2"/>
      <c r="G38" s="61"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2066007.829</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641712.8202</v>
      </c>
      <c r="M38" s="194"/>
      <c r="N38" s="194"/>
      <c r="O38" s="194"/>
      <c r="P38" s="256">
        <f>D105*C105</f>
        <v>5</v>
      </c>
      <c r="Q38" s="196">
        <f>1.5/$J$9</f>
        <v>0.983880796</v>
      </c>
      <c r="R38" s="197">
        <v>120.0</v>
      </c>
      <c r="S38" s="196">
        <f>120-30*C105+$C$151</f>
        <v>90.8</v>
      </c>
      <c r="T38" s="196">
        <f>1/S38*C98*C149</f>
        <v>0.01101321586</v>
      </c>
      <c r="U38" s="199">
        <f>T38*Q38</f>
        <v>0.01083569159</v>
      </c>
      <c r="V38" s="196">
        <f t="shared" ref="V38:V40" si="27">T38*K38</f>
        <v>22753.39019</v>
      </c>
      <c r="W38" s="196">
        <f t="shared" ref="W38:W40" si="28">T38*L38</f>
        <v>7067.321808</v>
      </c>
      <c r="X38" s="195"/>
      <c r="Y38" s="194"/>
      <c r="Z38" s="194"/>
      <c r="AA38" s="194"/>
      <c r="AB38" s="196">
        <f>P38*T38</f>
        <v>0.0550660793</v>
      </c>
    </row>
    <row r="39">
      <c r="A39" s="97"/>
      <c r="B39" s="59" t="s">
        <v>110</v>
      </c>
      <c r="C39" s="25">
        <f>Inputs!C41</f>
        <v>1</v>
      </c>
      <c r="D39" s="78"/>
      <c r="E39" s="2"/>
      <c r="G39" s="59"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452787.6408</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179503.2611</v>
      </c>
      <c r="M39" s="194"/>
      <c r="N39" s="255"/>
      <c r="O39" s="255"/>
      <c r="P39" s="194"/>
      <c r="Q39" s="255"/>
      <c r="R39" s="255"/>
      <c r="S39" s="255">
        <f>IF(OR(D100=1,AND(C152&lt;4,C131=1)),MAX((10-5*C131*E137+H15*3.5+C151),12),0)+IF(NOT(OR(D100=1,AND(C152&lt;4,C131=1))),15-5*C131*E137-C82,0)</f>
        <v>14</v>
      </c>
      <c r="T39" s="196">
        <f>IF(C127&gt;3,1,0)*0.1*(T40+T43+T51+T57+T63)</f>
        <v>0.05623539705</v>
      </c>
      <c r="U39" s="195"/>
      <c r="V39" s="196">
        <f t="shared" si="27"/>
        <v>25462.69276</v>
      </c>
      <c r="W39" s="196">
        <f t="shared" si="28"/>
        <v>10094.43716</v>
      </c>
      <c r="X39" s="195"/>
      <c r="Y39" s="194"/>
      <c r="Z39" s="194"/>
      <c r="AA39" s="194"/>
      <c r="AB39" s="195"/>
    </row>
    <row r="40">
      <c r="A40" s="98"/>
      <c r="B40" s="59" t="s">
        <v>111</v>
      </c>
      <c r="C40" s="25">
        <f>Inputs!C42</f>
        <v>1</v>
      </c>
      <c r="D40" s="78"/>
      <c r="E40" s="2"/>
      <c r="G40" s="61" t="s">
        <v>333</v>
      </c>
      <c r="H40" s="237">
        <f>0.083*(11+2*C107)*1.3*1.25</f>
        <v>1.753375</v>
      </c>
      <c r="I40" s="204">
        <f>1.48*1.15</f>
        <v>1.702</v>
      </c>
      <c r="J40" s="207">
        <f>($J$6*(1+$E$116)*(1+$D$157)+169*15/120*$C$24+$C$14*6)*H40*$J$10*$L$11*I40*(1+0.01*E25)</f>
        <v>18833.2429</v>
      </c>
      <c r="K40" s="196">
        <f>J40*$J$8*$C$152*$J$14*(1+$C$131*0.05*MIN(1,5/$C$152))*(1+0.08*C120*D120)
</f>
        <v>147715.1867</v>
      </c>
      <c r="L40" s="196">
        <f>K40/$C$152</f>
        <v>29543.03735</v>
      </c>
      <c r="M40" s="196">
        <f>K40*$L$12+($J$6*(1+$E$116)*(1+$D$157)+4925*15/120*C24+$C$14*6)*0.375*(D97+2*C104)*$J$10*$J$8*$L$11*C94*(1-IF(OR(D100=1,AND(C152&lt;4,C131=1)),0,1)*IF(D100=2,1-(1-(0.75)^((5+(H15/2))/H15))/(1+3*(1-(0.75)^((5+(H15/2))/H15))*C82),1)*IF(NOT(OR(OR(D100=1,AND(C152&lt;4,C131=1)),D100=2)),1-(1-(0.75)^((4+(H15/2))/H15)),1))</f>
        <v>43535.63882</v>
      </c>
      <c r="N40" s="196">
        <f>-1*IF(OR(D100=1,AND(C152&lt;4,C131=1)),0,1)*IF(D100=2,1-(1-(0.75)^((5+(H15/2))/H15))/(1+3*(1-(0.75)^((5+(H15/2))/H15))*C82),1)*IF(NOT(OR(OR(D100=1,AND(C152&lt;4,C131=1)),D100=2)),1-(1-(0.75)^((4+(H15/2))/H15)),1)</f>
        <v>-0.3758559437</v>
      </c>
      <c r="O40" s="196">
        <f>10*IF(OR(D100=1,AND(C152&lt;4,C131=1)),C94,1)*IF(D100=2,IF(C94&gt;0,1,1-(1-(0.75)^((5+(H15/2))/H15))/(1+3*(1-(0.75)^((5+(H15/2))/H15))*C82)),1)*IF(NOT(OR(OR(D100=1,AND(C152&lt;4,C131=1)),D100=2)),IF(C94&gt;0,1,1-(1-(0.75)^((4+(H15/2))/H15))),1)</f>
        <v>10</v>
      </c>
      <c r="P40" s="194"/>
      <c r="Q40" s="196">
        <f>1.5/$J$9</f>
        <v>0.983880796</v>
      </c>
      <c r="R40" s="197">
        <v>15.0</v>
      </c>
      <c r="S40" s="196">
        <f>IF(OR(D100=1,AND(C152&lt;4,C131=1)),MAX((10-5*C131*E137+H15*3.5+C151),12),0)+IF(NOT(OR(D100=1,AND(C152&lt;4,C131=1))),15-5*C131*E137-C82,0)</f>
        <v>14</v>
      </c>
      <c r="T40" s="196">
        <f>1/S40</f>
        <v>0.07142857143</v>
      </c>
      <c r="U40" s="199">
        <f>T40*Q40</f>
        <v>0.07027719971</v>
      </c>
      <c r="V40" s="196">
        <f t="shared" si="27"/>
        <v>10551.08477</v>
      </c>
      <c r="W40" s="196">
        <f t="shared" si="28"/>
        <v>2110.216954</v>
      </c>
      <c r="X40" s="196">
        <f t="shared" ref="X40:X41" si="29">T40*M40</f>
        <v>3109.688487</v>
      </c>
      <c r="Y40" s="196">
        <f>X40*(1-$C$144)</f>
        <v>2487.75079</v>
      </c>
      <c r="Z40" s="196">
        <f>T40*N40</f>
        <v>-0.02684685312</v>
      </c>
      <c r="AA40" s="196">
        <f>T40*O40</f>
        <v>0.7142857143</v>
      </c>
      <c r="AB40" s="194"/>
    </row>
    <row r="41">
      <c r="A41" s="93" t="s">
        <v>112</v>
      </c>
      <c r="B41" s="59" t="s">
        <v>113</v>
      </c>
      <c r="C41" s="25">
        <f>Inputs!C43</f>
        <v>1</v>
      </c>
      <c r="D41" s="78"/>
      <c r="E41" s="1"/>
      <c r="G41" s="59" t="s">
        <v>135</v>
      </c>
      <c r="H41" s="254"/>
      <c r="I41" s="194"/>
      <c r="J41" s="194"/>
      <c r="K41" s="255"/>
      <c r="L41" s="255"/>
      <c r="M41" s="196">
        <f>$L$7*(0.2+0.1*C62)*$J$10</f>
        <v>430976.8412</v>
      </c>
      <c r="N41" s="194"/>
      <c r="O41" s="194"/>
      <c r="P41" s="194"/>
      <c r="Q41" s="194"/>
      <c r="R41" s="197">
        <v>120.0</v>
      </c>
      <c r="S41" s="198">
        <f>R41-30*C62+$C$151</f>
        <v>120.8</v>
      </c>
      <c r="T41" s="196">
        <f>1/S41*C56</f>
        <v>0</v>
      </c>
      <c r="U41" s="222"/>
      <c r="V41" s="222"/>
      <c r="W41" s="222"/>
      <c r="X41" s="196">
        <f t="shared" si="29"/>
        <v>0</v>
      </c>
      <c r="Y41" s="196">
        <f>X41</f>
        <v>0</v>
      </c>
      <c r="Z41" s="194"/>
      <c r="AA41" s="194"/>
      <c r="AB41" s="194"/>
    </row>
    <row r="42">
      <c r="A42" s="97"/>
      <c r="B42" s="59" t="s">
        <v>114</v>
      </c>
      <c r="C42" s="25">
        <f>Inputs!C44</f>
        <v>1</v>
      </c>
      <c r="D42" s="78"/>
      <c r="E42" s="2"/>
      <c r="G42" s="259" t="s">
        <v>110</v>
      </c>
      <c r="H42" s="260">
        <f>1.5312*1.2*1.12</f>
        <v>2.0579328</v>
      </c>
      <c r="I42" s="204">
        <f>2.3</f>
        <v>2.3</v>
      </c>
      <c r="J42" s="207">
        <f>($J$6*(1+$E$116)*(1+$D$157)+169*15/120*$C$24+$C$14*6)*H42*$J$10*$L$11*I42*(1+0.12*C130)</f>
        <v>29871.00036</v>
      </c>
      <c r="K42" s="196">
        <f>J42*$J$8*0.7*(1+C99*0.08*MIN((T25+C108*T51*(1-(1-0.15)*(1-0.15*MAX(4,C152-1))))/T42*C152,5))*(1+0.6*C19*(1+0.2*C63))*$J$14*(1+0.08*C120)*(1+0.05*K134)*MAX((1+0.2*C63*C19),MIN((1+0.2*C63*C19)+C106*0.75*(C152-1),(1+0.2*C63*C19)+C106*1.5))</f>
        <v>272610.7645</v>
      </c>
      <c r="L42" s="196">
        <f>K42*(1+0.2*C63*C19)/MAX((1+0.2*C63*C19),MIN((1+0.2*C63*C19)+C106*0.75*(C152-1),(1+0.2*C63*C19)+C106*1.5))</f>
        <v>121160.3398</v>
      </c>
      <c r="M42" s="196">
        <f>K42*$L$12+MAX(5*0.2*T10*(1+0.05*C111),7/100*L7)*(1+C99*0.08*MIN((T25+C108*T51*(1-(1-0.15)*(1-0.15*MAX(4,C152-1))))/T42*C152,5))*$J$10*$J$15*(1+0.15*C42)</f>
        <v>889709.06</v>
      </c>
      <c r="N42" s="194"/>
      <c r="O42" s="196">
        <f>(-45)+5*C91+IF(C42&gt;0,5,0)+10*8*T26</f>
        <v>-35</v>
      </c>
      <c r="P42" s="194"/>
      <c r="Q42" s="196">
        <f t="shared" ref="Q42:Q43" si="30">1.5/$J$9</f>
        <v>0.983880796</v>
      </c>
      <c r="R42" s="194"/>
      <c r="S42" s="194"/>
      <c r="T42" s="196">
        <f>-(SUM(AA19:AA41,AA43:AA76))/O42</f>
        <v>0.4013494365</v>
      </c>
      <c r="U42" s="199">
        <f t="shared" ref="U42:U43" si="31">T42*Q42</f>
        <v>0.3948800031</v>
      </c>
      <c r="V42" s="196">
        <f t="shared" ref="V42:V44" si="32">T42*K42</f>
        <v>109412.1767</v>
      </c>
      <c r="W42" s="196">
        <f t="shared" ref="W42:W44" si="33">T42*L42</f>
        <v>48627.6341</v>
      </c>
      <c r="X42" s="196">
        <f>MIN(T42,0.2)*M42</f>
        <v>177941.812</v>
      </c>
      <c r="Y42" s="196">
        <f t="shared" ref="Y42:Y48" si="34">X42*(1-$C$144)</f>
        <v>142353.4496</v>
      </c>
      <c r="Z42" s="194"/>
      <c r="AA42" s="196">
        <f t="shared" ref="AA42:AA43" si="35">T42*O42</f>
        <v>-14.04723028</v>
      </c>
      <c r="AB42" s="194"/>
    </row>
    <row r="43">
      <c r="A43" s="98"/>
      <c r="B43" s="59" t="s">
        <v>116</v>
      </c>
      <c r="C43" s="25">
        <f>Inputs!C45</f>
        <v>1</v>
      </c>
      <c r="D43" s="78"/>
      <c r="E43" s="2"/>
      <c r="G43" s="61" t="s">
        <v>334</v>
      </c>
      <c r="H43" s="263">
        <f>0.4374</f>
        <v>0.4374</v>
      </c>
      <c r="I43" s="204">
        <v>1.15</v>
      </c>
      <c r="J43" s="207">
        <f>($J$6*(1+$E$116)*(1+$D$157)+169*15/120*$C$24+$C$14*6)*H43*$J$10*$L$11*I43*(1+0.01*E25)</f>
        <v>3174.441741</v>
      </c>
      <c r="K43" s="196">
        <f>J43*$J$8*$J$14*(1+$C$131*0.05)*(1+0.08*C120*D120)</f>
        <v>4979.633694</v>
      </c>
      <c r="L43" s="209">
        <f t="shared" ref="L43:L46" si="36">K43</f>
        <v>4979.633694</v>
      </c>
      <c r="M43" s="209">
        <f>K43*$L$12</f>
        <v>921.2322333</v>
      </c>
      <c r="N43" s="197">
        <v>-1.0</v>
      </c>
      <c r="O43" s="211">
        <v>10.0</v>
      </c>
      <c r="P43" s="204">
        <v>2.0</v>
      </c>
      <c r="Q43" s="196">
        <f t="shared" si="30"/>
        <v>0.983880796</v>
      </c>
      <c r="R43" s="204">
        <v>6.0</v>
      </c>
      <c r="S43" s="198">
        <f>IF(4*Q43&gt;=R43,4*Q43,(IF(5*Q43&gt;=R43,5*Q43,(IF(6*Q43&gt;=R43,6*Q43,(IF(7*Q43&gt;=R43,7*Q43,(8*Q43))))))))</f>
        <v>6.887165572</v>
      </c>
      <c r="T43" s="196">
        <f>MIN(1/S43,(L15-SUM(AB19:AB42)-SUM(AB44:AB56)-SUM(AB61:AB76))/2)*D87</f>
        <v>0</v>
      </c>
      <c r="U43" s="199">
        <f t="shared" si="31"/>
        <v>0</v>
      </c>
      <c r="V43" s="196">
        <f t="shared" si="32"/>
        <v>0</v>
      </c>
      <c r="W43" s="196">
        <f t="shared" si="33"/>
        <v>0</v>
      </c>
      <c r="X43" s="196">
        <f t="shared" ref="X43:X44" si="37">T43*M43</f>
        <v>0</v>
      </c>
      <c r="Y43" s="196">
        <f t="shared" si="34"/>
        <v>0</v>
      </c>
      <c r="Z43" s="196">
        <f>T43*N43</f>
        <v>0</v>
      </c>
      <c r="AA43" s="196">
        <f t="shared" si="35"/>
        <v>0</v>
      </c>
      <c r="AB43" s="196">
        <f>P43*T43</f>
        <v>0</v>
      </c>
    </row>
    <row r="44">
      <c r="A44" s="93" t="s">
        <v>117</v>
      </c>
      <c r="B44" s="59" t="s">
        <v>118</v>
      </c>
      <c r="C44" s="25">
        <f>Inputs!C46</f>
        <v>1</v>
      </c>
      <c r="D44" s="264">
        <f>Inputs!D46</f>
        <v>0</v>
      </c>
      <c r="E44" s="2"/>
      <c r="G44" s="59" t="s">
        <v>335</v>
      </c>
      <c r="H44" s="263">
        <f>0.22</f>
        <v>0.22</v>
      </c>
      <c r="I44" s="255"/>
      <c r="J44" s="207">
        <f t="shared" ref="J44:J45" si="38">($J$6*(1+$E$116)*(1+$D$157)+$C$14*6)*H44*$J$10*$L$11</f>
        <v>1388.396221</v>
      </c>
      <c r="K44" s="196">
        <f>J44*$J$8*$J$14*(1+0.08*C120*D120)</f>
        <v>2074.216858</v>
      </c>
      <c r="L44" s="196">
        <f t="shared" si="36"/>
        <v>2074.216858</v>
      </c>
      <c r="M44" s="196">
        <f>K44*(1+$L$12)</f>
        <v>2457.946976</v>
      </c>
      <c r="N44" s="255"/>
      <c r="O44" s="255"/>
      <c r="P44" s="194"/>
      <c r="Q44" s="255"/>
      <c r="R44" s="197">
        <f>60/3</f>
        <v>20</v>
      </c>
      <c r="S44" s="196">
        <f>R44/1.13/$J$9</f>
        <v>11.60921293</v>
      </c>
      <c r="T44" s="196">
        <f>1/S44*IF($E$28=1,1,0)</f>
        <v>0</v>
      </c>
      <c r="U44" s="194"/>
      <c r="V44" s="196">
        <f t="shared" si="32"/>
        <v>0</v>
      </c>
      <c r="W44" s="196">
        <f t="shared" si="33"/>
        <v>0</v>
      </c>
      <c r="X44" s="196">
        <f t="shared" si="37"/>
        <v>0</v>
      </c>
      <c r="Y44" s="196">
        <f t="shared" si="34"/>
        <v>0</v>
      </c>
      <c r="Z44" s="194"/>
      <c r="AA44" s="194"/>
      <c r="AB44" s="194"/>
    </row>
    <row r="45">
      <c r="A45" s="97"/>
      <c r="B45" s="59" t="s">
        <v>119</v>
      </c>
      <c r="C45" s="25">
        <f>Inputs!C47</f>
        <v>1</v>
      </c>
      <c r="D45" s="78"/>
      <c r="E45" s="2"/>
      <c r="G45" s="59" t="s">
        <v>336</v>
      </c>
      <c r="H45" s="253">
        <v>0.075</v>
      </c>
      <c r="I45" s="255"/>
      <c r="J45" s="207">
        <f t="shared" si="38"/>
        <v>473.3168934</v>
      </c>
      <c r="K45" s="209">
        <f>J45*$J$8*$J$14*(1+0.08*C120*D120)</f>
        <v>707.1193832</v>
      </c>
      <c r="L45" s="196">
        <f t="shared" si="36"/>
        <v>707.1193832</v>
      </c>
      <c r="M45" s="196">
        <f t="shared" ref="M45:M47" si="39">K45*$L$12</f>
        <v>130.8170859</v>
      </c>
      <c r="N45" s="255"/>
      <c r="O45" s="255"/>
      <c r="P45" s="194"/>
      <c r="Q45" s="255"/>
      <c r="R45" s="194"/>
      <c r="S45" s="194"/>
      <c r="T45" s="194"/>
      <c r="U45" s="194"/>
      <c r="V45" s="209">
        <f>IF(IF($E$28=2,1,0),1.13*(exp(6*12*J9/60)-1)*(1-(1-exp(-6*12*J9/60))^3)*K45/6,0)</f>
        <v>0</v>
      </c>
      <c r="W45" s="196">
        <f>V45</f>
        <v>0</v>
      </c>
      <c r="X45" s="196">
        <f>V45*$L$12</f>
        <v>0</v>
      </c>
      <c r="Y45" s="196">
        <f t="shared" si="34"/>
        <v>0</v>
      </c>
      <c r="Z45" s="194"/>
      <c r="AA45" s="194"/>
      <c r="AB45" s="194"/>
    </row>
    <row r="46">
      <c r="A46" s="97"/>
      <c r="B46" s="59" t="s">
        <v>120</v>
      </c>
      <c r="C46" s="25">
        <f>Inputs!C48</f>
        <v>2</v>
      </c>
      <c r="D46" s="78"/>
      <c r="E46" s="2"/>
      <c r="G46" s="59" t="s">
        <v>337</v>
      </c>
      <c r="H46" s="253">
        <f>7.1545*1.2*1.2</f>
        <v>10.30248</v>
      </c>
      <c r="I46" s="204">
        <v>1.15</v>
      </c>
      <c r="J46" s="207">
        <f t="shared" ref="J46:J47" si="40">($J$6*(1+$E$116)*(1+$D$157)+169*15/120*$C$24+$C$14*6)*H46*$J$10*$L$11*I46*(1+0.01*$E$25)</f>
        <v>74770.51336</v>
      </c>
      <c r="K46" s="196">
        <f>J46*$J$8*$J$14*(1+C130*0.15*$B$19*(1+0.2*$C$63))*$H$135*(1+0.08*C120*D120)
</f>
        <v>111704.6107</v>
      </c>
      <c r="L46" s="196">
        <f t="shared" si="36"/>
        <v>111704.6107</v>
      </c>
      <c r="M46" s="196">
        <f t="shared" si="39"/>
        <v>20665.35297</v>
      </c>
      <c r="N46" s="194"/>
      <c r="O46" s="194"/>
      <c r="P46" s="194"/>
      <c r="Q46" s="194"/>
      <c r="R46" s="194"/>
      <c r="S46" s="194"/>
      <c r="T46" s="196">
        <f>T64*(3-C137)+T38</f>
        <v>0.01101321586</v>
      </c>
      <c r="U46" s="194"/>
      <c r="V46" s="196">
        <f t="shared" ref="V46:V47" si="41">T46*K46</f>
        <v>1230.22699</v>
      </c>
      <c r="W46" s="196">
        <f t="shared" ref="W46:W47" si="42">T46*L46</f>
        <v>1230.22699</v>
      </c>
      <c r="X46" s="196">
        <f t="shared" ref="X46:X48" si="43">T46*M46</f>
        <v>227.5919931</v>
      </c>
      <c r="Y46" s="196">
        <f t="shared" si="34"/>
        <v>182.0735945</v>
      </c>
      <c r="Z46" s="194"/>
      <c r="AA46" s="194"/>
      <c r="AB46" s="194"/>
    </row>
    <row r="47">
      <c r="A47" s="97"/>
      <c r="B47" s="59" t="s">
        <v>122</v>
      </c>
      <c r="C47" s="25">
        <f>Inputs!C49</f>
        <v>0</v>
      </c>
      <c r="D47" s="78"/>
      <c r="E47" s="2"/>
      <c r="G47" s="59" t="s">
        <v>338</v>
      </c>
      <c r="H47" s="253">
        <f>3.91*1.2</f>
        <v>4.692</v>
      </c>
      <c r="I47" s="204">
        <v>1.15</v>
      </c>
      <c r="J47" s="207">
        <f t="shared" si="40"/>
        <v>34052.31058</v>
      </c>
      <c r="K47" s="196">
        <f>J47*$J$8*$C$152/SQRT(MAX(1,$C$152/8))*$J$14*(1+C130*0.15*$B$19*(1+0.2*$C$63))*$H$135*(1+0.08*C120*D120)
</f>
        <v>254364.9845</v>
      </c>
      <c r="L47" s="209">
        <f>K47/$C$152</f>
        <v>50872.99691</v>
      </c>
      <c r="M47" s="209">
        <f t="shared" si="39"/>
        <v>47057.52214</v>
      </c>
      <c r="N47" s="194"/>
      <c r="O47" s="194"/>
      <c r="P47" s="194"/>
      <c r="Q47" s="194"/>
      <c r="R47" s="194"/>
      <c r="S47" s="194"/>
      <c r="T47" s="196">
        <f>T64*(3-C137)+T38</f>
        <v>0.01101321586</v>
      </c>
      <c r="U47" s="194"/>
      <c r="V47" s="196">
        <f t="shared" si="41"/>
        <v>2801.376482</v>
      </c>
      <c r="W47" s="196">
        <f t="shared" si="42"/>
        <v>560.2752963</v>
      </c>
      <c r="X47" s="196">
        <f t="shared" si="43"/>
        <v>518.2546491</v>
      </c>
      <c r="Y47" s="196">
        <f t="shared" si="34"/>
        <v>414.6037193</v>
      </c>
      <c r="Z47" s="194"/>
      <c r="AA47" s="194"/>
      <c r="AB47" s="194"/>
    </row>
    <row r="48">
      <c r="A48" s="97"/>
      <c r="B48" s="59" t="s">
        <v>123</v>
      </c>
      <c r="C48" s="25">
        <f>Inputs!C50</f>
        <v>0</v>
      </c>
      <c r="D48" s="78"/>
      <c r="E48" s="2"/>
      <c r="G48" s="59" t="s">
        <v>339</v>
      </c>
      <c r="H48" s="252"/>
      <c r="I48" s="203"/>
      <c r="J48" s="203"/>
      <c r="K48" s="255"/>
      <c r="L48" s="203"/>
      <c r="M48" s="196">
        <f>L7*0.2</f>
        <v>336578.92</v>
      </c>
      <c r="N48" s="194"/>
      <c r="O48" s="194"/>
      <c r="P48" s="194"/>
      <c r="Q48" s="194"/>
      <c r="R48" s="204">
        <v>120.0</v>
      </c>
      <c r="S48" s="198">
        <f t="shared" ref="S48:S50" si="44">R48+$C$151</f>
        <v>120.8</v>
      </c>
      <c r="T48" s="196">
        <f>1/S48*C34</f>
        <v>0</v>
      </c>
      <c r="U48" s="194"/>
      <c r="V48" s="194"/>
      <c r="W48" s="194"/>
      <c r="X48" s="196">
        <f t="shared" si="43"/>
        <v>0</v>
      </c>
      <c r="Y48" s="196">
        <f t="shared" si="34"/>
        <v>0</v>
      </c>
      <c r="Z48" s="194"/>
      <c r="AA48" s="194"/>
      <c r="AB48" s="194"/>
    </row>
    <row r="49">
      <c r="A49" s="97"/>
      <c r="B49" s="59" t="s">
        <v>125</v>
      </c>
      <c r="C49" s="25">
        <f>Inputs!C51</f>
        <v>2</v>
      </c>
      <c r="D49" s="78"/>
      <c r="E49" s="2"/>
      <c r="G49" s="59" t="s">
        <v>196</v>
      </c>
      <c r="H49" s="252"/>
      <c r="I49" s="203"/>
      <c r="J49" s="203"/>
      <c r="K49" s="255"/>
      <c r="L49" s="203"/>
      <c r="M49" s="203"/>
      <c r="N49" s="194"/>
      <c r="O49" s="194"/>
      <c r="P49" s="256">
        <f>MIN(C90*C152,6)</f>
        <v>5</v>
      </c>
      <c r="Q49" s="196">
        <f t="shared" ref="Q49:Q51" si="45">1.5/$J$9</f>
        <v>0.983880796</v>
      </c>
      <c r="R49" s="204">
        <v>90.0</v>
      </c>
      <c r="S49" s="198">
        <f t="shared" si="44"/>
        <v>90.8</v>
      </c>
      <c r="T49" s="196">
        <f>1/S49*C103*D103</f>
        <v>0</v>
      </c>
      <c r="U49" s="199">
        <f t="shared" ref="U49:U51" si="46">T49*Q49</f>
        <v>0</v>
      </c>
      <c r="V49" s="194"/>
      <c r="W49" s="194"/>
      <c r="X49" s="194"/>
      <c r="Y49" s="194"/>
      <c r="Z49" s="194"/>
      <c r="AA49" s="194"/>
      <c r="AB49" s="196">
        <f>P49*T49</f>
        <v>0</v>
      </c>
    </row>
    <row r="50">
      <c r="A50" s="97"/>
      <c r="B50" s="59" t="s">
        <v>126</v>
      </c>
      <c r="C50" s="25">
        <f>Inputs!C52</f>
        <v>0</v>
      </c>
      <c r="D50" s="78"/>
      <c r="E50" s="2"/>
      <c r="G50" s="59" t="s">
        <v>340</v>
      </c>
      <c r="H50" s="253">
        <v>3.78</v>
      </c>
      <c r="I50" s="203"/>
      <c r="J50" s="207">
        <f>($J$6*(1+$E$116)*(1+$D$157)+$C$14*6)*H50*$J$10*$L$11</f>
        <v>23855.17143</v>
      </c>
      <c r="K50" s="255"/>
      <c r="L50" s="203"/>
      <c r="M50" s="196">
        <f>J50*$J$8*$J$15</f>
        <v>30248.56481</v>
      </c>
      <c r="N50" s="194"/>
      <c r="O50" s="194"/>
      <c r="P50" s="194"/>
      <c r="Q50" s="196">
        <f t="shared" si="45"/>
        <v>0.983880796</v>
      </c>
      <c r="R50" s="197">
        <v>90.0</v>
      </c>
      <c r="S50" s="198">
        <f t="shared" si="44"/>
        <v>90.8</v>
      </c>
      <c r="T50" s="196">
        <f>1/S50*IF($E$29=2,1,0)</f>
        <v>0</v>
      </c>
      <c r="U50" s="199">
        <f t="shared" si="46"/>
        <v>0</v>
      </c>
      <c r="V50" s="194"/>
      <c r="W50" s="194"/>
      <c r="X50" s="196">
        <f>T50*M50</f>
        <v>0</v>
      </c>
      <c r="Y50" s="196">
        <f t="shared" ref="Y50:Y51" si="47">X50*(1-$C$144)</f>
        <v>0</v>
      </c>
      <c r="Z50" s="194"/>
      <c r="AA50" s="194"/>
      <c r="AB50" s="194"/>
    </row>
    <row r="51">
      <c r="A51" s="97"/>
      <c r="B51" s="59" t="s">
        <v>128</v>
      </c>
      <c r="C51" s="25">
        <f>Inputs!C53</f>
        <v>1</v>
      </c>
      <c r="D51" s="78"/>
      <c r="G51" s="61" t="s">
        <v>175</v>
      </c>
      <c r="H51" s="253">
        <f>1.31112*1.2*1.25</f>
        <v>1.96668</v>
      </c>
      <c r="I51" s="204">
        <v>1.15</v>
      </c>
      <c r="J51" s="207">
        <f>($J$6*(1+$E$116)*(1+$D$157)+169*15/120*$C$24+$C$14*6)*H51*$J$10*$L$11*I51*(1+0.15*C93)</f>
        <v>14273.23064</v>
      </c>
      <c r="K51" s="196">
        <f>J51*$J$8*0.7*IF($C$152&lt;=5,IF($C$152&lt;3,$C$152,2+IF($C$43&gt;0,$C$152-2,0)*((14-5*C131*E137)/S40)),2+IF($C$43&gt;0,3,0)*((14-5*C131*E137)/S40))*$J$14*(1+0.08*C120*D120)</f>
        <v>74633.02844</v>
      </c>
      <c r="L51" s="196">
        <f>K51/IF($C$152&lt;=5,IF($C$152&lt;3,$C$152,2+IF($C$43&gt;0,$C$152-2,0)*((14-5*C131*E137)/S40)),2+IF($C$43&gt;0,3,0)*((14-5*C131*E137)/S40))</f>
        <v>14926.60569</v>
      </c>
      <c r="M51" s="196">
        <f>K51*$L$12+IF($C$152&lt;=5,IF($C$152&lt;3,$C$152,2+IF($C$43&gt;0,$C$152-2,0)*((14-5*C131*E137)/S40)),2+IF($C$43&gt;0,3,0)*((14-5*C131*E137)/S40))*$L$7*0.0025*$C$95</f>
        <v>13807.11026</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5"/>
        <v>0.983880796</v>
      </c>
      <c r="R51" s="194"/>
      <c r="S51" s="194"/>
      <c r="T51" s="196">
        <f>MIN(($L$9+SUM(Z19:Z50)+SUM(Z52:Z76))/(-N51),MAX((1-SUM(U18:U41,U43:U50,U52:U76)+SUM(AA19:AA41,AA43:AA50,AA52:AA76)/O42*Q42)/Q51*(-O42/(O51-O42)),0))</f>
        <v>0.4003060619</v>
      </c>
      <c r="U51" s="199">
        <f t="shared" si="46"/>
        <v>0.3938534468</v>
      </c>
      <c r="V51" s="196">
        <f>(T51-T74+3*(1-C131*T38*(8+C110*4))*C116/(9/(1/(0.5+(2/((L14+0.3*(1-(1-(T38*(8+C110*4)))*(1-IF(C127&gt;3,1,0)*(1-0.875^(8*(T40+T43+T51+T57+T63)))))))-1+IF(C152=1,0.5,0))/C152))+9/(1/(0.5+(2/((L14+0.3*(1-(1-(T38*(8+C110*4)))*(1-IF(C127&gt;3,1,0)*(1-0.875^(8*(T40+T43+T51+T57+T63)))))))-1+IF(C152=1,0.5,0))/C152))/2*((0.8/3^(C152-1))/(1-(0.8/3^(C152-1))))+6)+1.5*(1-C131*(T38*(8+C110*4))/(1-(1-(T38*(8+C110*4)))*(1-IF(C127&gt;3,1,0)*(1-0.875^(8*(T40+T43+T51+T57+T63))))))*F127)*K51</f>
        <v>39245.06523</v>
      </c>
      <c r="W51" s="196">
        <f>(T51-T74+3*(1-C131*T38*(8+C110*4))*C116/(9/(1/(0.5+(2/((L14+0.3*(1-(1-(T38*(8+C110*4)))*(1-IF(C127&gt;3,1,0)*(1-0.875^(8*(T40+T43+T51+T57+T63)))))))-1+IF(C152=1,0.5,0))/C152))+9/(1/(0.5+(2/((L14+0.3*(1-(1-(T38*(8+C110*4)))*(1-IF(C127&gt;3,1,0)*(1-0.875^(8*(T40+T43+T51+T57+T63)))))))-1+IF(C152=1,0.5,0))/C152))/2*((0.8/3^(C152-1))/(1-(0.8/3^(C152-1))))+6)+1.5*(1-C131*(T38*(8+C110*4))/(1-(1-(T38*(8+C110*4)))*(1-IF(C127&gt;3,1,0)*(1-0.875^(8*(T40+T43+T51+T57+T63))))))*F127)*L51</f>
        <v>7849.013046</v>
      </c>
      <c r="X51" s="196">
        <f>(T51-T74)*M51</f>
        <v>2872.971253</v>
      </c>
      <c r="Y51" s="196">
        <f t="shared" si="47"/>
        <v>2298.377002</v>
      </c>
      <c r="Z51" s="196">
        <f>T51*N51</f>
        <v>-0.4003060619</v>
      </c>
      <c r="AA51" s="196">
        <f>T51*O51</f>
        <v>10.00765155</v>
      </c>
      <c r="AB51" s="194"/>
    </row>
    <row r="52">
      <c r="A52" s="110" t="s">
        <v>129</v>
      </c>
      <c r="B52" s="59" t="s">
        <v>130</v>
      </c>
      <c r="C52" s="25">
        <f>Inputs!C54</f>
        <v>1</v>
      </c>
      <c r="D52" s="78"/>
      <c r="E52" s="2"/>
      <c r="G52" s="61"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59" t="s">
        <v>132</v>
      </c>
      <c r="C53" s="25">
        <f>Inputs!C55</f>
        <v>0</v>
      </c>
      <c r="D53" s="78"/>
      <c r="E53" s="2"/>
      <c r="G53" s="59" t="s">
        <v>342</v>
      </c>
      <c r="H53" s="27"/>
      <c r="I53" s="194"/>
      <c r="J53" s="207">
        <f>J29*0.2</f>
        <v>4573.778078</v>
      </c>
      <c r="K53" s="196">
        <f>J53*$J$8*IF($C$152&lt;=5,IF($C$152&lt;3,$C$152,IF($C$43&gt;0,$C$152,2)*(14-5*C131*E137)/$S$40+2*($S$40-(14-5*C131*E137))/$S$40),IF($C$43&gt;0,5,2)*(14-5*C131*E137)/$S$40+2*($S$40-(14-5*C131*E137))/$S$40)*$J$14*(1+$C$131*0.05)*(1+0.08*C120*D120)</f>
        <v>35873.61383</v>
      </c>
      <c r="L53" s="196">
        <f>K53/IF($C$152&lt;=5,IF($C$152&lt;3,$C$152,IF($C$43&gt;0,$C$152,2)*(14-5*C131*E137)/$S$40+2*($S$40-(14-5*C131*E137))/$S$40),IF($C$43&gt;0,5,2)*(14-5*C131*E137)/$S$40+2*($S$40-(14-5*C131*E137))/$S$40)</f>
        <v>7174.722765</v>
      </c>
      <c r="M53" s="209">
        <f>K53*$L$12</f>
        <v>6636.618558</v>
      </c>
      <c r="N53" s="194"/>
      <c r="O53" s="194"/>
      <c r="P53" s="194"/>
      <c r="Q53" s="194"/>
      <c r="R53" s="194"/>
      <c r="S53" s="194"/>
      <c r="T53" s="196">
        <f>C131*T74</f>
        <v>0.1922269492</v>
      </c>
      <c r="U53" s="194"/>
      <c r="V53" s="196">
        <f>T53*K53*C131</f>
        <v>6895.875341</v>
      </c>
      <c r="W53" s="196">
        <f>T53*L53*C131</f>
        <v>1379.175068</v>
      </c>
      <c r="X53" s="196">
        <f>T53*M53*C131</f>
        <v>1275.736938</v>
      </c>
      <c r="Y53" s="196">
        <f>X53*(1-$C$144)</f>
        <v>1020.58955</v>
      </c>
      <c r="Z53" s="195"/>
      <c r="AA53" s="195"/>
      <c r="AB53" s="194"/>
    </row>
    <row r="54">
      <c r="A54" s="97"/>
      <c r="B54" s="59" t="s">
        <v>133</v>
      </c>
      <c r="C54" s="25">
        <f>Inputs!C56</f>
        <v>1</v>
      </c>
      <c r="D54" s="78"/>
      <c r="E54" s="2"/>
      <c r="G54" s="59"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59" t="s">
        <v>134</v>
      </c>
      <c r="C55" s="25">
        <f>Inputs!C57</f>
        <v>1</v>
      </c>
      <c r="D55" s="78"/>
      <c r="E55" s="2"/>
      <c r="G55" s="59" t="s">
        <v>204</v>
      </c>
      <c r="H55" s="27"/>
      <c r="I55" s="194"/>
      <c r="J55" s="194"/>
      <c r="K55" s="194"/>
      <c r="L55" s="255"/>
      <c r="M55" s="196">
        <f>M42*0.2/(1+C99*0.08*MIN((T25+C108*T51*(1-(1-0.15)*(1-0.15*MAX(4,C152-1))))/T42*C152,5))</f>
        <v>136370.5714</v>
      </c>
      <c r="N55" s="194"/>
      <c r="O55" s="194"/>
      <c r="P55" s="194"/>
      <c r="Q55" s="194"/>
      <c r="R55" s="194"/>
      <c r="S55" s="194"/>
      <c r="T55" s="196">
        <f>T42*C109</f>
        <v>0.4013494365</v>
      </c>
      <c r="U55" s="194"/>
      <c r="V55" s="255"/>
      <c r="W55" s="255"/>
      <c r="X55" s="196">
        <f t="shared" ref="X55:X57" si="48">T55*M55</f>
        <v>54732.252</v>
      </c>
      <c r="Y55" s="196">
        <f t="shared" ref="Y55:Y57" si="49">X55*(1-$C$144)</f>
        <v>43785.8016</v>
      </c>
      <c r="Z55" s="195"/>
      <c r="AA55" s="195"/>
      <c r="AB55" s="194"/>
    </row>
    <row r="56">
      <c r="A56" s="97"/>
      <c r="B56" s="59" t="s">
        <v>135</v>
      </c>
      <c r="C56" s="25">
        <f>Inputs!C58</f>
        <v>0</v>
      </c>
      <c r="D56" s="78"/>
      <c r="E56" s="2"/>
      <c r="G56" s="59" t="s">
        <v>344</v>
      </c>
      <c r="H56" s="253">
        <v>4.2</v>
      </c>
      <c r="I56" s="194"/>
      <c r="J56" s="207">
        <f>($J$6*(1+$E$116)*(1+$D$157)+$C$14*6)*H56*$J$10*$L$11</f>
        <v>26505.74603</v>
      </c>
      <c r="K56" s="196">
        <f>J56*$J$8*$C$152/SQRT(MAX(1,$C$152/8))*$J$14*(1+0.08*C120*D120)
</f>
        <v>197993.4273</v>
      </c>
      <c r="L56" s="196">
        <f>K56/$C$152</f>
        <v>39598.68546</v>
      </c>
      <c r="M56" s="196">
        <f t="shared" ref="M56:M57" si="50">K56*$L$12</f>
        <v>36628.78405</v>
      </c>
      <c r="N56" s="194"/>
      <c r="O56" s="194"/>
      <c r="P56" s="194"/>
      <c r="Q56" s="196">
        <f t="shared" ref="Q56:Q57" si="51">1.5/$J$9</f>
        <v>0.983880796</v>
      </c>
      <c r="R56" s="204">
        <v>150.0</v>
      </c>
      <c r="S56" s="198">
        <f>R56+$C$151</f>
        <v>150.8</v>
      </c>
      <c r="T56" s="196">
        <f>1/S56*E31</f>
        <v>0</v>
      </c>
      <c r="U56" s="199">
        <f t="shared" ref="U56:U57" si="52">T56*Q56</f>
        <v>0</v>
      </c>
      <c r="V56" s="196">
        <f t="shared" ref="V56:V57" si="53">T56*K56</f>
        <v>0</v>
      </c>
      <c r="W56" s="196">
        <f t="shared" ref="W56:W57" si="54">T56*L56</f>
        <v>0</v>
      </c>
      <c r="X56" s="196">
        <f t="shared" si="48"/>
        <v>0</v>
      </c>
      <c r="Y56" s="196">
        <f t="shared" si="49"/>
        <v>0</v>
      </c>
      <c r="Z56" s="195"/>
      <c r="AA56" s="195"/>
      <c r="AB56" s="194"/>
    </row>
    <row r="57">
      <c r="A57" s="97"/>
      <c r="B57" s="59" t="s">
        <v>136</v>
      </c>
      <c r="C57" s="25">
        <f>Inputs!C59</f>
        <v>1</v>
      </c>
      <c r="D57" s="78"/>
      <c r="E57" s="2"/>
      <c r="G57" s="61" t="s">
        <v>176</v>
      </c>
      <c r="H57" s="253">
        <f>1.471*1.5</f>
        <v>2.2065</v>
      </c>
      <c r="I57" s="204">
        <v>1.15</v>
      </c>
      <c r="J57" s="207">
        <f>($J$6*(1+$E$116)*(1+$D$157)+169*15/120*$C$24+$C$14*6)*H57*$J$10*$L$11*I57</f>
        <v>16013.73045</v>
      </c>
      <c r="K57" s="196">
        <f>J57*$J$8*0.7*$J$14*(1+0.08*C120*D120)
</f>
        <v>16746.77907</v>
      </c>
      <c r="L57" s="196">
        <f>K57</f>
        <v>16746.77907</v>
      </c>
      <c r="M57" s="196">
        <f t="shared" si="50"/>
        <v>3098.154127</v>
      </c>
      <c r="N57" s="197">
        <v>-2.0</v>
      </c>
      <c r="O57" s="211">
        <f>20</f>
        <v>20</v>
      </c>
      <c r="P57" s="204">
        <v>3.0</v>
      </c>
      <c r="Q57" s="196">
        <f t="shared" si="51"/>
        <v>0.983880796</v>
      </c>
      <c r="R57" s="194"/>
      <c r="S57" s="194"/>
      <c r="T57" s="196">
        <f>MAX((L15-SUM(AB19:AB56)-SUM(AB58:AB76))/3,T47)</f>
        <v>0.0906193372</v>
      </c>
      <c r="U57" s="199">
        <f t="shared" si="52"/>
        <v>0.08915862562</v>
      </c>
      <c r="V57" s="196">
        <f t="shared" si="53"/>
        <v>1517.582019</v>
      </c>
      <c r="W57" s="196">
        <f t="shared" si="54"/>
        <v>1517.582019</v>
      </c>
      <c r="X57" s="196">
        <f t="shared" si="48"/>
        <v>280.7526736</v>
      </c>
      <c r="Y57" s="196">
        <f t="shared" si="49"/>
        <v>224.6021388</v>
      </c>
      <c r="Z57" s="196">
        <f>(T57-T47/(2))*N57</f>
        <v>-0.1702254585</v>
      </c>
      <c r="AA57" s="196">
        <f t="shared" ref="AA57:AA58" si="55">T57*O57</f>
        <v>1.812386744</v>
      </c>
      <c r="AB57" s="196">
        <f>P57*T57</f>
        <v>0.2718580116</v>
      </c>
    </row>
    <row r="58">
      <c r="A58" s="97"/>
      <c r="B58" s="59" t="s">
        <v>137</v>
      </c>
      <c r="C58" s="25">
        <f>Inputs!C60</f>
        <v>0</v>
      </c>
      <c r="D58" s="78"/>
      <c r="G58" s="59"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5"/>
        <v>0</v>
      </c>
      <c r="AB58" s="194"/>
    </row>
    <row r="59">
      <c r="A59" s="110" t="s">
        <v>138</v>
      </c>
      <c r="B59" s="59" t="s">
        <v>139</v>
      </c>
      <c r="C59" s="25">
        <f>Inputs!C61</f>
        <v>1</v>
      </c>
      <c r="D59" s="264">
        <f>Inputs!D61</f>
        <v>0.9</v>
      </c>
      <c r="E59" s="2"/>
      <c r="G59" s="59" t="s">
        <v>249</v>
      </c>
      <c r="H59" s="27"/>
      <c r="I59" s="278"/>
      <c r="J59" s="194"/>
      <c r="K59" s="256">
        <f>SUM(V25,V26,K28/10*C118,V29,V35,V40,V43,V53,K68/10*C123,IF(C131=1,V74*T51/T74,0))*10*0.15*0.15*$C$152/SQRT(MAX(1,$C$152/8))*(1+$C$131*0.05*MIN(1,5/$C$152))*J10*(1+0.08*C120*D120)</f>
        <v>174737.8144</v>
      </c>
      <c r="L59" s="209">
        <f>K59/$C$152</f>
        <v>34947.56289</v>
      </c>
      <c r="M59" s="196">
        <f>K59/((1+$C$131*0.05*MIN(1,5/$C$152)))/$C$152</f>
        <v>33283.39323</v>
      </c>
      <c r="N59" s="195"/>
      <c r="O59" s="195"/>
      <c r="P59" s="194"/>
      <c r="Q59" s="194"/>
      <c r="R59" s="194"/>
      <c r="S59" s="194"/>
      <c r="T59" s="196">
        <f>T24*C131*E141</f>
        <v>0.01101321586</v>
      </c>
      <c r="U59" s="278"/>
      <c r="V59" s="196">
        <f>T59*K59</f>
        <v>1924.425269</v>
      </c>
      <c r="W59" s="196">
        <f>T59*L59</f>
        <v>384.8850538</v>
      </c>
      <c r="X59" s="196">
        <f>T59*M59</f>
        <v>366.5571941</v>
      </c>
      <c r="Y59" s="196">
        <f>X59*(1-$C$144)</f>
        <v>293.2457553</v>
      </c>
      <c r="Z59" s="194"/>
      <c r="AA59" s="194"/>
      <c r="AB59" s="194"/>
    </row>
    <row r="60">
      <c r="A60" s="97"/>
      <c r="B60" s="59" t="s">
        <v>140</v>
      </c>
      <c r="C60" s="25">
        <f>Inputs!C62</f>
        <v>1</v>
      </c>
      <c r="D60" s="78"/>
      <c r="G60" s="59" t="s">
        <v>133</v>
      </c>
      <c r="H60" s="27"/>
      <c r="I60" s="278"/>
      <c r="J60" s="194"/>
      <c r="K60" s="194"/>
      <c r="L60" s="195"/>
      <c r="M60" s="196">
        <f>K23*0.5*(1+0.15*C46)*(1+C130)</f>
        <v>9652.179581</v>
      </c>
      <c r="N60" s="195"/>
      <c r="O60" s="195"/>
      <c r="P60" s="194"/>
      <c r="Q60" s="194"/>
      <c r="R60" s="194"/>
      <c r="S60" s="194"/>
      <c r="T60" s="196">
        <f>T23*C54</f>
        <v>0.7253739295</v>
      </c>
      <c r="U60" s="278"/>
      <c r="V60" s="194"/>
      <c r="W60" s="194"/>
      <c r="X60" s="196">
        <f>T60*M60+C130*T47*(K46+K47)*0.1*(1+0.15*C46)*C54</f>
        <v>7001.439431</v>
      </c>
      <c r="Y60" s="196">
        <f>X60</f>
        <v>7001.439431</v>
      </c>
      <c r="Z60" s="194"/>
      <c r="AA60" s="194"/>
      <c r="AB60" s="194"/>
    </row>
    <row r="61">
      <c r="A61" s="97"/>
      <c r="B61" s="59" t="s">
        <v>141</v>
      </c>
      <c r="C61" s="25">
        <f>Inputs!C63</f>
        <v>1</v>
      </c>
      <c r="D61" s="264">
        <f>Inputs!D63</f>
        <v>0</v>
      </c>
      <c r="E61" s="2"/>
      <c r="G61" s="59" t="s">
        <v>111</v>
      </c>
      <c r="H61" s="218">
        <f>0.5875*2/6*1.075</f>
        <v>0.2105208333</v>
      </c>
      <c r="I61" s="204">
        <v>1.0</v>
      </c>
      <c r="J61" s="219">
        <f>($J$6*(1+$E$116)*(1+$D$157)+169*15/120*$C$24+$C$14*6)*H61*$J$10*$L$11*I61*(1+0.01*C24)</f>
        <v>1328.574224</v>
      </c>
      <c r="K61" s="196">
        <f>J61*$J$8*0.7*(INT($J$9*60/2+1)+(60*$J$9*10+25)/40*1.35)*$J$14*(1+$C$131*0.05)</f>
        <v>109861.8312</v>
      </c>
      <c r="L61" s="196">
        <f t="shared" ref="L61:L65" si="56">K61</f>
        <v>109861.8312</v>
      </c>
      <c r="M61" s="195"/>
      <c r="N61" s="195"/>
      <c r="O61" s="195"/>
      <c r="P61" s="194"/>
      <c r="Q61" s="194"/>
      <c r="R61" s="197">
        <v>120.0</v>
      </c>
      <c r="S61" s="256">
        <f>120-30*C130*C138</f>
        <v>120</v>
      </c>
      <c r="T61" s="196">
        <f>1/S61*C40</f>
        <v>0.008333333333</v>
      </c>
      <c r="U61" s="194"/>
      <c r="V61" s="196">
        <f t="shared" ref="V61:V65" si="57">T61*K61</f>
        <v>915.5152597</v>
      </c>
      <c r="W61" s="196">
        <f t="shared" ref="W61:W65" si="58">T61*L61</f>
        <v>915.5152597</v>
      </c>
      <c r="X61" s="194"/>
      <c r="Y61" s="194"/>
      <c r="Z61" s="194"/>
      <c r="AA61" s="194"/>
      <c r="AB61" s="194"/>
    </row>
    <row r="62">
      <c r="A62" s="97"/>
      <c r="B62" s="59" t="s">
        <v>142</v>
      </c>
      <c r="C62" s="25">
        <f>Inputs!C64</f>
        <v>0</v>
      </c>
      <c r="D62" s="78"/>
      <c r="E62" s="2"/>
      <c r="G62" s="59" t="s">
        <v>72</v>
      </c>
      <c r="H62" s="253">
        <v>0.01127</v>
      </c>
      <c r="I62" s="204">
        <v>1.15</v>
      </c>
      <c r="J62" s="207">
        <f>($J$6*(1+$E$116)*(1+$D$157)+169*15/120*$C$24+$C$14*6)*H62*$J$10*$L$11*I62*(1+0.01*E25)</f>
        <v>81.79231463</v>
      </c>
      <c r="K62" s="209">
        <f>J62*$J$8*$J$14*(1+0.2*C63)*(1+0.08*C120*D120)*(1+0.15*$B$19*(1+0.2*$C$63))</f>
        <v>146.6339323</v>
      </c>
      <c r="L62" s="196">
        <f t="shared" si="56"/>
        <v>146.6339323</v>
      </c>
      <c r="M62" s="196">
        <f t="shared" ref="M62:M65" si="59">K62*$L$12</f>
        <v>27.12727747</v>
      </c>
      <c r="N62" s="194"/>
      <c r="O62" s="194"/>
      <c r="P62" s="194"/>
      <c r="Q62" s="194"/>
      <c r="R62" s="194"/>
      <c r="S62" s="194"/>
      <c r="T62" s="196">
        <f>$B$19*(T23+T35*$C$152+T42*MIN((C152-1)*C106+1,2*C106+1)+T51*IF($C$152&lt;=5,IF($C$152&lt;3,$C$152,2+IF(C43&gt;0,$C$152-2,0)*10/S40+2*(S40-10)/S40),2+IF(C43&gt;0,3,0)*10/S40+2*(S40-10)/S40)+T57)</f>
        <v>0</v>
      </c>
      <c r="U62" s="194"/>
      <c r="V62" s="196">
        <f t="shared" si="57"/>
        <v>0</v>
      </c>
      <c r="W62" s="196">
        <f t="shared" si="58"/>
        <v>0</v>
      </c>
      <c r="X62" s="196">
        <f t="shared" ref="X62:X66" si="60">T62*M62</f>
        <v>0</v>
      </c>
      <c r="Y62" s="196">
        <f t="shared" ref="Y62:Y66" si="61">X62*(1-$C$144)</f>
        <v>0</v>
      </c>
      <c r="Z62" s="194"/>
      <c r="AA62" s="194"/>
      <c r="AB62" s="194"/>
    </row>
    <row r="63">
      <c r="A63" s="97"/>
      <c r="B63" s="59" t="s">
        <v>143</v>
      </c>
      <c r="C63" s="25">
        <f>Inputs!C65</f>
        <v>1</v>
      </c>
      <c r="D63" s="78"/>
      <c r="E63" s="2"/>
      <c r="G63" s="59" t="s">
        <v>345</v>
      </c>
      <c r="H63" s="253">
        <f>3.07125*1.2*1.2</f>
        <v>4.4226</v>
      </c>
      <c r="I63" s="204">
        <v>1.15</v>
      </c>
      <c r="J63" s="207">
        <f>($J$6*(1+$E$116)*(1+$D$157)+169*15/120*$C$24+$C$14*6)*H63*$J$10*$L$11*I63*(1+0.01*E25)*1.05</f>
        <v>33701.98981</v>
      </c>
      <c r="K63" s="196">
        <f>J63*$J$8*$J$14*(1+0.15*$B$19*(1+0.2*$C$63))*(1+0.08*C120*D120)</f>
        <v>50349.62957</v>
      </c>
      <c r="L63" s="196">
        <f t="shared" si="56"/>
        <v>50349.62957</v>
      </c>
      <c r="M63" s="196">
        <f t="shared" si="59"/>
        <v>9314.68147</v>
      </c>
      <c r="N63" s="197">
        <v>-2.0</v>
      </c>
      <c r="O63" s="211">
        <f>20</f>
        <v>20</v>
      </c>
      <c r="P63" s="204">
        <f>3</f>
        <v>3</v>
      </c>
      <c r="Q63" s="196">
        <f>1.5/$J$9</f>
        <v>0.983880796</v>
      </c>
      <c r="R63" s="204">
        <v>45.0</v>
      </c>
      <c r="S63" s="198">
        <f>2*R63/(2+C137)+$C$151</f>
        <v>45.8</v>
      </c>
      <c r="T63" s="196">
        <f>1/S63*C130</f>
        <v>0</v>
      </c>
      <c r="U63" s="199">
        <f>T63*Q63</f>
        <v>0</v>
      </c>
      <c r="V63" s="196">
        <f t="shared" si="57"/>
        <v>0</v>
      </c>
      <c r="W63" s="196">
        <f t="shared" si="58"/>
        <v>0</v>
      </c>
      <c r="X63" s="196">
        <f t="shared" si="60"/>
        <v>0</v>
      </c>
      <c r="Y63" s="196">
        <f t="shared" si="61"/>
        <v>0</v>
      </c>
      <c r="Z63" s="196">
        <f>T63*N63</f>
        <v>0</v>
      </c>
      <c r="AA63" s="196">
        <f>T63*O63</f>
        <v>0</v>
      </c>
      <c r="AB63" s="196">
        <f>P63*T63</f>
        <v>0</v>
      </c>
    </row>
    <row r="64">
      <c r="A64" s="110" t="s">
        <v>144</v>
      </c>
      <c r="B64" s="59" t="s">
        <v>145</v>
      </c>
      <c r="C64" s="25">
        <f>Inputs!C66</f>
        <v>0</v>
      </c>
      <c r="D64" s="78"/>
      <c r="G64" s="59" t="s">
        <v>346</v>
      </c>
      <c r="H64" s="253">
        <f>0.3779*1.2</f>
        <v>0.45348</v>
      </c>
      <c r="I64" s="204">
        <v>1.15</v>
      </c>
      <c r="J64" s="207">
        <f>($J$6*(1+$E$116)*(1+$D$157)+169*15/120*$C$24+$C$14*6)*H64*$J$10*$L$11*I64*(1+0.01*E25)*1.05</f>
        <v>3455.699892</v>
      </c>
      <c r="K64" s="196">
        <f>J64*$J$8*$J$14*(1+0.15*$B$19*(1+0.2*$C$63))*$H$134*(1+0.15)*(1+0.05*(1+H8))*(1+0.08*C120*D120)</f>
        <v>251961.6242</v>
      </c>
      <c r="L64" s="196">
        <f t="shared" si="56"/>
        <v>251961.6242</v>
      </c>
      <c r="M64" s="196">
        <f t="shared" si="59"/>
        <v>46612.90047</v>
      </c>
      <c r="N64" s="194"/>
      <c r="O64" s="194"/>
      <c r="P64" s="194"/>
      <c r="Q64" s="194"/>
      <c r="R64" s="194"/>
      <c r="S64" s="194"/>
      <c r="T64" s="196">
        <f>T63</f>
        <v>0</v>
      </c>
      <c r="U64" s="194"/>
      <c r="V64" s="196">
        <f t="shared" si="57"/>
        <v>0</v>
      </c>
      <c r="W64" s="196">
        <f t="shared" si="58"/>
        <v>0</v>
      </c>
      <c r="X64" s="196">
        <f t="shared" si="60"/>
        <v>0</v>
      </c>
      <c r="Y64" s="196">
        <f t="shared" si="61"/>
        <v>0</v>
      </c>
      <c r="Z64" s="194"/>
      <c r="AA64" s="194"/>
      <c r="AB64" s="194"/>
    </row>
    <row r="65">
      <c r="A65" s="97"/>
      <c r="B65" s="59" t="s">
        <v>146</v>
      </c>
      <c r="C65" s="25">
        <f>Inputs!C67</f>
        <v>0</v>
      </c>
      <c r="D65" s="78"/>
      <c r="E65" s="2"/>
      <c r="G65" s="61" t="s">
        <v>347</v>
      </c>
      <c r="H65" s="263">
        <v>0.5</v>
      </c>
      <c r="I65" s="194"/>
      <c r="J65" s="219">
        <f>(360+343*0.429/0.5*(1+0.05*C21)+$J$6*(1+$E$116)*(1+$D$157)+$C$14*6)*H65*$J$10*$L$11</f>
        <v>3654.674525</v>
      </c>
      <c r="K65" s="209">
        <f>J65*$J$8*$J$14*(1+0.08*C120*D120)</f>
        <v>5459.959769</v>
      </c>
      <c r="L65" s="196">
        <f t="shared" si="56"/>
        <v>5459.959769</v>
      </c>
      <c r="M65" s="196">
        <f t="shared" si="59"/>
        <v>1010.092557</v>
      </c>
      <c r="N65" s="194"/>
      <c r="O65" s="194"/>
      <c r="P65" s="194"/>
      <c r="Q65" s="196">
        <f>1.5/$J$9</f>
        <v>0.983880796</v>
      </c>
      <c r="R65" s="197">
        <v>90.0</v>
      </c>
      <c r="S65" s="198">
        <f>R65+$C$151</f>
        <v>90.8</v>
      </c>
      <c r="T65" s="196">
        <f>1/S65*C29</f>
        <v>0</v>
      </c>
      <c r="U65" s="199">
        <f>T65*Q65</f>
        <v>0</v>
      </c>
      <c r="V65" s="196">
        <f t="shared" si="57"/>
        <v>0</v>
      </c>
      <c r="W65" s="196">
        <f t="shared" si="58"/>
        <v>0</v>
      </c>
      <c r="X65" s="196">
        <f t="shared" si="60"/>
        <v>0</v>
      </c>
      <c r="Y65" s="196">
        <f t="shared" si="61"/>
        <v>0</v>
      </c>
      <c r="Z65" s="194"/>
      <c r="AA65" s="194"/>
      <c r="AB65" s="194"/>
    </row>
    <row r="66">
      <c r="A66" s="97"/>
      <c r="B66" s="59" t="s">
        <v>147</v>
      </c>
      <c r="C66" s="25">
        <f>Inputs!C68</f>
        <v>1</v>
      </c>
      <c r="D66" s="78"/>
      <c r="E66" s="2"/>
      <c r="G66" s="59" t="s">
        <v>348</v>
      </c>
      <c r="H66" s="27"/>
      <c r="I66" s="194"/>
      <c r="J66" s="194"/>
      <c r="K66" s="194"/>
      <c r="L66" s="194"/>
      <c r="M66" s="196">
        <f>$L$7*0.48*(1+0.2*C63)</f>
        <v>969347.2896</v>
      </c>
      <c r="N66" s="194"/>
      <c r="O66" s="194"/>
      <c r="P66" s="194"/>
      <c r="Q66" s="194"/>
      <c r="R66" s="204">
        <v>360.0</v>
      </c>
      <c r="S66" s="204">
        <v>360.0</v>
      </c>
      <c r="T66" s="196">
        <f>1/S66*C19</f>
        <v>0.002777777778</v>
      </c>
      <c r="U66" s="194"/>
      <c r="V66" s="194"/>
      <c r="W66" s="194"/>
      <c r="X66" s="196">
        <f t="shared" si="60"/>
        <v>2692.63136</v>
      </c>
      <c r="Y66" s="196">
        <f t="shared" si="61"/>
        <v>2154.105088</v>
      </c>
      <c r="Z66" s="194"/>
      <c r="AA66" s="194"/>
      <c r="AB66" s="194"/>
    </row>
    <row r="67">
      <c r="A67" s="97"/>
      <c r="B67" s="59" t="s">
        <v>148</v>
      </c>
      <c r="C67" s="25">
        <f>Inputs!C69</f>
        <v>1</v>
      </c>
      <c r="D67" s="78"/>
      <c r="G67" s="59" t="s">
        <v>113</v>
      </c>
      <c r="H67" s="27"/>
      <c r="I67" s="194"/>
      <c r="J67" s="194"/>
      <c r="K67" s="194"/>
      <c r="L67" s="194"/>
      <c r="M67" s="194"/>
      <c r="N67" s="194"/>
      <c r="O67" s="211">
        <v>3.0</v>
      </c>
      <c r="P67" s="194"/>
      <c r="Q67" s="194"/>
      <c r="R67" s="285">
        <f>60/10.8</f>
        <v>5.555555556</v>
      </c>
      <c r="S67" s="198">
        <f>1/(10.8*J9*1.13/60)</f>
        <v>3.22478137</v>
      </c>
      <c r="T67" s="196">
        <f>1/S67*C41</f>
        <v>0.3100985417</v>
      </c>
      <c r="U67" s="194"/>
      <c r="V67" s="194"/>
      <c r="W67" s="194"/>
      <c r="X67" s="194"/>
      <c r="Y67" s="194"/>
      <c r="Z67" s="194"/>
      <c r="AA67" s="196">
        <f>T67*O67</f>
        <v>0.930295625</v>
      </c>
      <c r="AB67" s="194"/>
    </row>
    <row r="68">
      <c r="A68" s="97"/>
      <c r="B68" s="59" t="s">
        <v>149</v>
      </c>
      <c r="C68" s="25">
        <f>Inputs!C70</f>
        <v>1</v>
      </c>
      <c r="D68" s="78"/>
      <c r="G68" s="59" t="s">
        <v>220</v>
      </c>
      <c r="H68" s="253">
        <v>2.76</v>
      </c>
      <c r="I68" s="194"/>
      <c r="J68" s="207">
        <f>($J$6*(1+$E$116)*(1+$D$157)+169*15/120*$C$24+$C$14*6)*H68*$J$10*$L$11*(1+0.01*$E$25)</f>
        <v>17418.06168</v>
      </c>
      <c r="K68" s="196">
        <f>J68*$J$8*$J$14*(1+$C$131*0.05*MIN(1,5/$C$152))*$C$152/SQRT(MAX(1,$C$152/8))*(1+0.02*-AA42*8*((O42-5*IF(C42&gt;0,1,0))/O42))*(1+0.08*C120*D120)</f>
        <v>487530.9198</v>
      </c>
      <c r="L68" s="209">
        <f t="shared" ref="L68:L69" si="62">K68/$C$152</f>
        <v>97506.18396</v>
      </c>
      <c r="M68" s="196">
        <f>K68*(0.18+$L$12)</f>
        <v>177948.7857</v>
      </c>
      <c r="N68" s="194"/>
      <c r="O68" s="194"/>
      <c r="P68" s="194"/>
      <c r="Q68" s="194"/>
      <c r="R68" s="194"/>
      <c r="S68" s="194"/>
      <c r="T68" s="196">
        <f>T28*C123</f>
        <v>0</v>
      </c>
      <c r="U68" s="194"/>
      <c r="V68" s="196">
        <f t="shared" ref="V68:V69" si="63">T68*K68</f>
        <v>0</v>
      </c>
      <c r="W68" s="196">
        <f t="shared" ref="W68:W69" si="64">T68*L68</f>
        <v>0</v>
      </c>
      <c r="X68" s="196">
        <f t="shared" ref="X68:X69" si="65">T68*M68</f>
        <v>0</v>
      </c>
      <c r="Y68" s="196">
        <f t="shared" ref="Y68:Y69" si="66">X68*(1-$C$144)</f>
        <v>0</v>
      </c>
      <c r="Z68" s="194"/>
      <c r="AA68" s="194"/>
      <c r="AB68" s="194"/>
    </row>
    <row r="69">
      <c r="A69" s="97"/>
      <c r="B69" s="59" t="s">
        <v>151</v>
      </c>
      <c r="C69" s="25">
        <f>Inputs!C71</f>
        <v>1</v>
      </c>
      <c r="D69" s="78"/>
      <c r="G69" s="59" t="s">
        <v>349</v>
      </c>
      <c r="H69" s="27"/>
      <c r="I69" s="204">
        <v>1.15</v>
      </c>
      <c r="J69" s="194"/>
      <c r="K69" s="196">
        <f>K64*1/10*($C$152-1)*$I$69*1.05*IF(D100=2,(1+0.06*C119*(1-T40*(1-(0.75)^((5+(H15/2))/H15))/(1+3*(1-(0.75)^((5+(H15/2))/H15))*C82)/(1-(0.75)^((5+(H15/2))/H15)))),(1+0.06*(14-5*C131*E137)*C119*(1/S40)))</f>
        <v>128999.3124</v>
      </c>
      <c r="L69" s="196">
        <f t="shared" si="62"/>
        <v>25799.86247</v>
      </c>
      <c r="M69" s="196">
        <f>K69*$L$12</f>
        <v>23864.87279</v>
      </c>
      <c r="N69" s="194"/>
      <c r="O69" s="194"/>
      <c r="P69" s="194"/>
      <c r="Q69" s="194"/>
      <c r="R69" s="194"/>
      <c r="S69" s="194"/>
      <c r="T69" s="196">
        <f>T64</f>
        <v>0</v>
      </c>
      <c r="U69" s="194"/>
      <c r="V69" s="196">
        <f t="shared" si="63"/>
        <v>0</v>
      </c>
      <c r="W69" s="196">
        <f t="shared" si="64"/>
        <v>0</v>
      </c>
      <c r="X69" s="196">
        <f t="shared" si="65"/>
        <v>0</v>
      </c>
      <c r="Y69" s="196">
        <f t="shared" si="66"/>
        <v>0</v>
      </c>
      <c r="Z69" s="194"/>
      <c r="AA69" s="194"/>
      <c r="AB69" s="194"/>
    </row>
    <row r="70">
      <c r="A70" s="110" t="s">
        <v>152</v>
      </c>
      <c r="B70" s="59" t="s">
        <v>153</v>
      </c>
      <c r="C70" s="25">
        <f>Inputs!C72</f>
        <v>0</v>
      </c>
      <c r="D70" s="78"/>
      <c r="G70" s="59"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59" t="s">
        <v>154</v>
      </c>
      <c r="C71" s="25">
        <f>Inputs!C73</f>
        <v>1</v>
      </c>
      <c r="D71" s="78"/>
      <c r="G71" s="61" t="s">
        <v>351</v>
      </c>
      <c r="H71" s="263">
        <f>1.25*0.25</f>
        <v>0.3125</v>
      </c>
      <c r="I71" s="194"/>
      <c r="J71" s="207">
        <f>($J$6*(1+$E$116)*(1+$D$157)+$C$14*6)*H71*$J$10*$L$11</f>
        <v>1972.153723</v>
      </c>
      <c r="K71" s="196">
        <f>J71*$J$8*$J$14*(1+0.08*C120*D120)*(1+$C$131*0.05*MIN(1,5/$C$152))</f>
        <v>3093.647302</v>
      </c>
      <c r="L71" s="196">
        <f>K71</f>
        <v>3093.647302</v>
      </c>
      <c r="M71" s="196">
        <f>K71*(1+$L$12)</f>
        <v>3665.972053</v>
      </c>
      <c r="N71" s="194"/>
      <c r="O71" s="194"/>
      <c r="P71" s="194"/>
      <c r="Q71" s="195"/>
      <c r="R71" s="197">
        <v>15.0</v>
      </c>
      <c r="S71" s="288">
        <f>15</f>
        <v>15</v>
      </c>
      <c r="T71" s="196">
        <f>1/S71*C25</f>
        <v>0</v>
      </c>
      <c r="U71" s="222"/>
      <c r="V71" s="196">
        <f>T71*K71</f>
        <v>0</v>
      </c>
      <c r="W71" s="196">
        <f>T71*L71</f>
        <v>0</v>
      </c>
      <c r="X71" s="196">
        <f t="shared" ref="X71:X75" si="67">T71*M71</f>
        <v>0</v>
      </c>
      <c r="Y71" s="196">
        <f>X71*(1-$C$144)</f>
        <v>0</v>
      </c>
      <c r="Z71" s="194"/>
      <c r="AA71" s="194"/>
      <c r="AB71" s="194"/>
    </row>
    <row r="72">
      <c r="A72" s="98"/>
      <c r="B72" s="59" t="s">
        <v>155</v>
      </c>
      <c r="C72" s="25">
        <f>Inputs!C74</f>
        <v>0</v>
      </c>
      <c r="D72" s="78"/>
      <c r="G72" s="59" t="s">
        <v>223</v>
      </c>
      <c r="H72" s="27"/>
      <c r="I72" s="194"/>
      <c r="J72" s="194"/>
      <c r="K72" s="194"/>
      <c r="L72" s="194"/>
      <c r="M72" s="196">
        <f>MIN(L7,V29*(10+2*C92)*6)*J10*(1+0.15*C46)</f>
        <v>1510796.685</v>
      </c>
      <c r="N72" s="194"/>
      <c r="O72" s="194"/>
      <c r="P72" s="194"/>
      <c r="Q72" s="194"/>
      <c r="R72" s="194"/>
      <c r="S72" s="194"/>
      <c r="T72" s="196">
        <f>T76*C126</f>
        <v>0.04678661658</v>
      </c>
      <c r="U72" s="194"/>
      <c r="V72" s="194"/>
      <c r="W72" s="194"/>
      <c r="X72" s="196">
        <f t="shared" si="67"/>
        <v>70685.06525</v>
      </c>
      <c r="Y72" s="196">
        <f>X72</f>
        <v>70685.06525</v>
      </c>
      <c r="Z72" s="194"/>
      <c r="AA72" s="194"/>
      <c r="AB72" s="194"/>
    </row>
    <row r="73">
      <c r="A73" s="110" t="s">
        <v>156</v>
      </c>
      <c r="B73" s="59" t="s">
        <v>157</v>
      </c>
      <c r="C73" s="25">
        <f>Inputs!C75</f>
        <v>0</v>
      </c>
      <c r="D73" s="78"/>
      <c r="G73" s="61" t="s">
        <v>352</v>
      </c>
      <c r="H73" s="27"/>
      <c r="I73" s="194"/>
      <c r="J73" s="194"/>
      <c r="K73" s="194"/>
      <c r="L73" s="194"/>
      <c r="M73" s="196">
        <f>$L$7*0.04*(1+0.2*C63)</f>
        <v>80778.9408</v>
      </c>
      <c r="N73" s="194"/>
      <c r="O73" s="194"/>
      <c r="P73" s="194"/>
      <c r="Q73" s="194"/>
      <c r="R73" s="197">
        <f>60/3</f>
        <v>20</v>
      </c>
      <c r="S73" s="196">
        <f>R73/1.13/$J$9</f>
        <v>11.60921293</v>
      </c>
      <c r="T73" s="196">
        <f>1/S73*B21</f>
        <v>0</v>
      </c>
      <c r="U73" s="194"/>
      <c r="V73" s="194"/>
      <c r="W73" s="194"/>
      <c r="X73" s="196">
        <f t="shared" si="67"/>
        <v>0</v>
      </c>
      <c r="Y73" s="196">
        <f t="shared" ref="Y73:Y75" si="68">X73*(1-$C$144)</f>
        <v>0</v>
      </c>
      <c r="Z73" s="194"/>
      <c r="AA73" s="194"/>
      <c r="AB73" s="194"/>
    </row>
    <row r="74">
      <c r="A74" s="97"/>
      <c r="B74" s="59" t="s">
        <v>158</v>
      </c>
      <c r="C74" s="25">
        <f>Inputs!C76</f>
        <v>1</v>
      </c>
      <c r="D74" s="78"/>
      <c r="G74" s="59" t="s">
        <v>353</v>
      </c>
      <c r="H74" s="289">
        <f>0.907*1.25</f>
        <v>1.13375</v>
      </c>
      <c r="I74" s="204">
        <v>1.15</v>
      </c>
      <c r="J74" s="207">
        <f>($J$6*(1+$E$116)*(1+$D$157)+169*15/120*$C$24+$C$14*6)*H74*$J$10*$L$11*I74*(1+0.15*C93)*(1+0.01*$E$25)*(1+0.1*C43)</f>
        <v>9051.041737</v>
      </c>
      <c r="K74" s="196">
        <f>J74*$J$8*IF($C$152&lt;=5,IF($C$152&lt;3,$C$152,IF($C$43&gt;0,$C$152,2)*(14-5*C131*E137)/$S$40+2*($S$40-(14-5*C131*E137))/$S$40),IF($C$43&gt;0,5,2)*(14-5*C131*E137)/$S$40+2*($S$40-(14-5*C131*E137))/$S$40)*$J$14*(1+$C$131*0.2)*(1+0.08*C120*D120)</f>
        <v>81131.696</v>
      </c>
      <c r="L74" s="196">
        <f>K74/IF($C$152&lt;=5,IF($C$152&lt;3,$C$152,IF($C$43&gt;0,$C$152,2)*(14-5*C131*E137)/$S$40+2*($S$40-(14-5*C131*E137))/$S$40),IF($C$43&gt;0,5,2)*(14-5*C131*E137)/$S$40+2*($S$40-(14-5*C131*E137))/$S$40)</f>
        <v>16226.3392</v>
      </c>
      <c r="M74" s="196">
        <f>K74*$L$12+IF($C$152&lt;=5,IF($C$152&lt;3,$C$152,IF($C$43&gt;0,$C$152,2)*(14-5*C131*E137)/$S$40+2*($S$40-(14-5*C131*E137))/$S$40),IF($C$43&gt;0,5,2)*(14-5*C131*E137)/$S$40+2*($S$40-(14-5*C131*E137))/$S$40)*$L$7*0.0025*$C$95+$L$7*0.02*$J$10</f>
        <v>58107.04788</v>
      </c>
      <c r="N74" s="194"/>
      <c r="O74" s="194"/>
      <c r="P74" s="194"/>
      <c r="Q74" s="194"/>
      <c r="R74" s="194"/>
      <c r="S74" s="194"/>
      <c r="T74" s="196">
        <f>C131*((T38*(8+C110*4))*T51+(1-T38*(8+C110*4))*((0.35+0.05*14/S40*E136)*T42+(E140*0.35*0.15)*T42))</f>
        <v>0.1922269492</v>
      </c>
      <c r="U74" s="194"/>
      <c r="V74" s="196">
        <f>(T74+(C131*T38*(8+C110*4))*C116/(9/(1/(0.5+(2/((L14+0.3*(1-(1-(T38*(8+C110*4)))*(1-IF(C127&gt;3,1,0)*(1-0.875^(8*(T40+T43+T51+T57+T63)))))))-1+IF(C152=1,0.5,0))/C152))+9/(1/(0.5+(2/((L14+0.3*(1-(1-(T38*(8+C110*4)))*(1-IF(C127&gt;3,1,0)*(1-0.875^(8*(T40+T43+T51+T57+T63)))))))-1+IF(C152=1,0.5,0))/C152))/2*((0.8/3^(C152-1))/(1-(0.8/3^(C152-1))))+6)+1.5*C131*F127*((T38*(8+C110*4))/(1-(1-(T38*(8+C110*4)))*(1-IF(C127&gt;3,1,0)*(1-0.875^(8*(T40+T43+T51+T57+T63)))))))*K74</f>
        <v>20561.87291</v>
      </c>
      <c r="W74" s="196">
        <f>(T74+(C131*T38*(8+C110*4))*C116/(9/(1/(0.5+(2/((L14+0.3*(1-(1-(T38*(8+C110*4)))*(1-IF(C127&gt;3,1,0)*(1-0.875^(8*(T40+T43+T51+T57+T63)))))))-1+IF(C152=1,0.5,0))/C152))+9/(1/(0.5+(2/((L14+0.3*(1-(1-(T38*(8+C110*4)))*(1-IF(C127&gt;3,1,0)*(1-0.875^(8*(T40+T43+T51+T57+T63)))))))-1+IF(C152=1,0.5,0))/C152))/2*((0.8/3^(C152-1))/(1-(0.8/3^(C152-1))))+6)+1.5*C131*F127*((T38*(8+C110*4))/(1-(1-(T38*(8+C110*4)))*(1-IF(C127&gt;3,1,0)*(1-0.875^(8*(T40+T43+T51+T57+T63)))))))*L74</f>
        <v>4112.374582</v>
      </c>
      <c r="X74" s="196">
        <f t="shared" si="67"/>
        <v>11169.74054</v>
      </c>
      <c r="Y74" s="196">
        <f t="shared" si="68"/>
        <v>8935.79243</v>
      </c>
      <c r="Z74" s="194"/>
      <c r="AA74" s="194"/>
      <c r="AB74" s="293"/>
    </row>
    <row r="75">
      <c r="A75" s="97"/>
      <c r="B75" s="59" t="s">
        <v>160</v>
      </c>
      <c r="C75" s="25">
        <f>Inputs!C77</f>
        <v>1</v>
      </c>
      <c r="D75" s="78"/>
      <c r="G75" s="59" t="s">
        <v>354</v>
      </c>
      <c r="H75" s="253">
        <f>1.766*1.2</f>
        <v>2.1192</v>
      </c>
      <c r="I75" s="204">
        <v>1.15</v>
      </c>
      <c r="J75" s="207">
        <f>($J$6*(1+$E$116)*(1+$D$157)+169*15/120*$C$24+$C$14*6)*H75*$J$10*$L$11*I75*(1+0.01*$E$25)</f>
        <v>15380.14846</v>
      </c>
      <c r="K75" s="196">
        <f>J75*($J$8+2)/2*(1+$C$152)*$J$14*(1+0.15*$B$19*(1+0.2*$C$63))*(H8*0.05/2+1)*(1+0.08*C120*D120)</f>
        <v>183004.0595</v>
      </c>
      <c r="L75" s="196">
        <f>K75*2/(1+$C$152)</f>
        <v>61001.35316</v>
      </c>
      <c r="M75" s="196">
        <f>K75*$L$12</f>
        <v>33855.751</v>
      </c>
      <c r="N75" s="194"/>
      <c r="O75" s="194"/>
      <c r="P75" s="194"/>
      <c r="Q75" s="194"/>
      <c r="R75" s="194"/>
      <c r="S75" s="194"/>
      <c r="T75" s="196">
        <f>T63</f>
        <v>0</v>
      </c>
      <c r="U75" s="293"/>
      <c r="V75" s="196">
        <f>T75*K75</f>
        <v>0</v>
      </c>
      <c r="W75" s="196">
        <f>T75*L75</f>
        <v>0</v>
      </c>
      <c r="X75" s="196">
        <f t="shared" si="67"/>
        <v>0</v>
      </c>
      <c r="Y75" s="196">
        <f t="shared" si="68"/>
        <v>0</v>
      </c>
      <c r="Z75" s="293"/>
      <c r="AA75" s="293"/>
      <c r="AB75" s="293"/>
    </row>
    <row r="76">
      <c r="A76" s="98"/>
      <c r="B76" s="59" t="s">
        <v>161</v>
      </c>
      <c r="C76" s="25">
        <f>Inputs!C78</f>
        <v>0</v>
      </c>
      <c r="D76" s="78"/>
      <c r="G76" s="61" t="s">
        <v>179</v>
      </c>
      <c r="H76" s="27"/>
      <c r="I76" s="194"/>
      <c r="J76" s="194"/>
      <c r="K76" s="194"/>
      <c r="L76" s="194"/>
      <c r="M76" s="194"/>
      <c r="N76" s="194"/>
      <c r="O76" s="194"/>
      <c r="P76" s="194"/>
      <c r="Q76" s="194"/>
      <c r="R76" s="295">
        <f>90</f>
        <v>90</v>
      </c>
      <c r="S76" s="287">
        <f>R76/(1-AA42/5*C122*((O42-5*IF(C42&gt;0,1,0))/O42))</f>
        <v>21.3736336</v>
      </c>
      <c r="T76" s="287">
        <f>1/S76*C89*C149</f>
        <v>0.04678661658</v>
      </c>
      <c r="U76" s="293"/>
      <c r="V76" s="293"/>
      <c r="W76" s="298"/>
      <c r="X76" s="298"/>
      <c r="Y76" s="293"/>
      <c r="Z76" s="293"/>
      <c r="AA76" s="293"/>
      <c r="AB76" s="293"/>
    </row>
    <row r="77">
      <c r="A77" s="110" t="s">
        <v>162</v>
      </c>
      <c r="B77" s="59" t="s">
        <v>163</v>
      </c>
      <c r="C77" s="25">
        <f>Inputs!C79</f>
        <v>2</v>
      </c>
      <c r="D77" s="78"/>
      <c r="T77" s="299" t="s">
        <v>230</v>
      </c>
      <c r="U77" s="300">
        <f t="shared" ref="U77:AB77" si="69">sum(U19:U76)</f>
        <v>1</v>
      </c>
      <c r="V77" s="140">
        <f t="shared" si="69"/>
        <v>324430.9328</v>
      </c>
      <c r="W77" s="140">
        <f t="shared" si="69"/>
        <v>112067.4741</v>
      </c>
      <c r="X77" s="140">
        <f t="shared" si="69"/>
        <v>442136.6637</v>
      </c>
      <c r="Y77" s="140">
        <f t="shared" si="69"/>
        <v>384443.5455</v>
      </c>
      <c r="Z77" s="140">
        <f t="shared" si="69"/>
        <v>-0.4570809304</v>
      </c>
      <c r="AA77" s="140">
        <f t="shared" si="69"/>
        <v>0</v>
      </c>
      <c r="AB77" s="152">
        <f t="shared" si="69"/>
        <v>0.3269240909</v>
      </c>
    </row>
    <row r="78">
      <c r="A78" s="97"/>
      <c r="B78" s="59" t="s">
        <v>165</v>
      </c>
      <c r="C78" s="25">
        <f>Inputs!C80</f>
        <v>0</v>
      </c>
      <c r="D78" s="78"/>
    </row>
    <row r="79">
      <c r="A79" s="98"/>
      <c r="B79" s="59" t="s">
        <v>166</v>
      </c>
      <c r="C79" s="25">
        <f>Inputs!C81</f>
        <v>2</v>
      </c>
      <c r="D79" s="78"/>
    </row>
    <row r="80">
      <c r="A80" s="120" t="s">
        <v>168</v>
      </c>
      <c r="B80" s="59" t="s">
        <v>169</v>
      </c>
      <c r="C80" s="25">
        <f>Inputs!C82</f>
        <v>1</v>
      </c>
      <c r="D80" s="78"/>
      <c r="S80" s="301"/>
    </row>
    <row r="81">
      <c r="A81" s="122"/>
      <c r="B81" s="59" t="s">
        <v>171</v>
      </c>
      <c r="C81" s="25">
        <f>Inputs!C83</f>
        <v>0</v>
      </c>
      <c r="D81" s="78"/>
      <c r="S81" s="62"/>
    </row>
    <row r="82">
      <c r="A82" s="122"/>
      <c r="B82" s="59" t="s">
        <v>172</v>
      </c>
      <c r="C82" s="25">
        <f>Inputs!C84</f>
        <v>1</v>
      </c>
      <c r="D82" s="78"/>
      <c r="S82" s="301"/>
    </row>
    <row r="83">
      <c r="A83" s="123"/>
      <c r="B83" s="59" t="s">
        <v>173</v>
      </c>
      <c r="C83" s="25">
        <f>Inputs!C85</f>
        <v>0</v>
      </c>
      <c r="D83" s="78"/>
    </row>
    <row r="84">
      <c r="A84" s="2"/>
      <c r="R84" s="302"/>
    </row>
    <row r="85">
      <c r="A85" s="2"/>
      <c r="B85" s="90" t="s">
        <v>174</v>
      </c>
      <c r="C85" s="91" t="s">
        <v>106</v>
      </c>
      <c r="D85" s="91" t="s">
        <v>107</v>
      </c>
      <c r="E85" s="2"/>
    </row>
    <row r="86">
      <c r="A86" s="125" t="s">
        <v>108</v>
      </c>
      <c r="B86" s="59" t="s">
        <v>175</v>
      </c>
      <c r="C86" s="25">
        <f>Inputs!C88</f>
        <v>1</v>
      </c>
      <c r="D86" s="78"/>
    </row>
    <row r="87">
      <c r="A87" s="93" t="s">
        <v>112</v>
      </c>
      <c r="B87" s="59" t="s">
        <v>176</v>
      </c>
      <c r="C87" s="25">
        <f>Inputs!C89</f>
        <v>1</v>
      </c>
      <c r="D87" s="25">
        <f>Inputs!D89</f>
        <v>0</v>
      </c>
    </row>
    <row r="88">
      <c r="A88" s="98"/>
      <c r="B88" s="59" t="s">
        <v>177</v>
      </c>
      <c r="C88" s="25">
        <f>Inputs!C90</f>
        <v>1</v>
      </c>
      <c r="D88" s="78"/>
    </row>
    <row r="89">
      <c r="A89" s="110" t="s">
        <v>117</v>
      </c>
      <c r="B89" s="59" t="s">
        <v>179</v>
      </c>
      <c r="C89" s="25">
        <f>Inputs!C91</f>
        <v>1</v>
      </c>
      <c r="D89" s="78"/>
    </row>
    <row r="90">
      <c r="A90" s="98"/>
      <c r="B90" s="59" t="s">
        <v>180</v>
      </c>
      <c r="C90" s="25">
        <f>Inputs!C92</f>
        <v>1</v>
      </c>
      <c r="D90" s="78"/>
    </row>
    <row r="91">
      <c r="A91" s="110" t="s">
        <v>129</v>
      </c>
      <c r="B91" s="59" t="s">
        <v>181</v>
      </c>
      <c r="C91" s="25">
        <f>Inputs!C93</f>
        <v>1</v>
      </c>
      <c r="D91" s="78"/>
    </row>
    <row r="92">
      <c r="A92" s="97"/>
      <c r="B92" s="59" t="s">
        <v>182</v>
      </c>
      <c r="C92" s="25">
        <f>Inputs!C94</f>
        <v>2</v>
      </c>
      <c r="D92" s="78"/>
      <c r="E92" s="2"/>
    </row>
    <row r="93">
      <c r="A93" s="97"/>
      <c r="B93" s="59" t="s">
        <v>184</v>
      </c>
      <c r="C93" s="25">
        <f>Inputs!C95</f>
        <v>0</v>
      </c>
      <c r="D93" s="78"/>
      <c r="W93" s="4"/>
    </row>
    <row r="94">
      <c r="A94" s="98"/>
      <c r="B94" s="59" t="s">
        <v>185</v>
      </c>
      <c r="C94" s="25">
        <f>Inputs!C96</f>
        <v>1</v>
      </c>
      <c r="D94" s="78"/>
    </row>
    <row r="95">
      <c r="A95" s="110" t="s">
        <v>138</v>
      </c>
      <c r="B95" s="59" t="s">
        <v>186</v>
      </c>
      <c r="C95" s="25">
        <f>Inputs!C97</f>
        <v>0</v>
      </c>
      <c r="D95" s="78"/>
    </row>
    <row r="96">
      <c r="A96" s="97"/>
      <c r="B96" s="59" t="s">
        <v>187</v>
      </c>
      <c r="C96" s="25">
        <f>Inputs!C98</f>
        <v>1</v>
      </c>
      <c r="D96" s="78"/>
    </row>
    <row r="97">
      <c r="A97" s="97"/>
      <c r="B97" s="59" t="s">
        <v>188</v>
      </c>
      <c r="C97" s="25">
        <f>Inputs!C99</f>
        <v>1</v>
      </c>
      <c r="D97" s="25">
        <f>Inputs!D99</f>
        <v>7</v>
      </c>
      <c r="N97" s="303"/>
    </row>
    <row r="98">
      <c r="A98" s="97"/>
      <c r="B98" s="59" t="s">
        <v>189</v>
      </c>
      <c r="C98" s="25">
        <f>Inputs!C100</f>
        <v>1</v>
      </c>
      <c r="D98" s="78"/>
    </row>
    <row r="99">
      <c r="A99" s="97"/>
      <c r="B99" s="59" t="s">
        <v>190</v>
      </c>
      <c r="C99" s="25">
        <f>Inputs!C101</f>
        <v>1</v>
      </c>
      <c r="D99" s="78"/>
    </row>
    <row r="100">
      <c r="A100" s="97"/>
      <c r="B100" s="59" t="s">
        <v>191</v>
      </c>
      <c r="C100" s="25">
        <f>Inputs!C102</f>
        <v>0</v>
      </c>
      <c r="D100" s="25">
        <f>Inputs!D102</f>
        <v>0</v>
      </c>
      <c r="O100" s="4"/>
    </row>
    <row r="101">
      <c r="A101" s="98"/>
      <c r="B101" s="59" t="s">
        <v>193</v>
      </c>
      <c r="C101" s="25">
        <f>Inputs!C103</f>
        <v>0</v>
      </c>
      <c r="D101" s="25">
        <f>Inputs!D103</f>
        <v>10</v>
      </c>
      <c r="O101" s="4"/>
    </row>
    <row r="102">
      <c r="A102" s="110" t="s">
        <v>144</v>
      </c>
      <c r="B102" s="59" t="s">
        <v>195</v>
      </c>
      <c r="C102" s="25">
        <f>Inputs!C104</f>
        <v>0</v>
      </c>
      <c r="D102" s="25">
        <f>Inputs!D104</f>
        <v>0</v>
      </c>
    </row>
    <row r="103">
      <c r="A103" s="97"/>
      <c r="B103" s="59" t="s">
        <v>196</v>
      </c>
      <c r="C103" s="25">
        <f>Inputs!C105</f>
        <v>1</v>
      </c>
      <c r="D103" s="25">
        <f>Inputs!D105</f>
        <v>0</v>
      </c>
    </row>
    <row r="104">
      <c r="A104" s="97"/>
      <c r="B104" s="59" t="s">
        <v>197</v>
      </c>
      <c r="C104" s="25">
        <f>Inputs!C106</f>
        <v>1</v>
      </c>
      <c r="D104" s="78"/>
    </row>
    <row r="105">
      <c r="A105" s="97"/>
      <c r="B105" s="59" t="s">
        <v>199</v>
      </c>
      <c r="C105" s="25">
        <f>Inputs!C107</f>
        <v>1</v>
      </c>
      <c r="D105" s="25">
        <f>Inputs!D107</f>
        <v>5</v>
      </c>
      <c r="S105" s="304"/>
    </row>
    <row r="106">
      <c r="A106" s="97"/>
      <c r="B106" s="59" t="s">
        <v>201</v>
      </c>
      <c r="C106" s="25">
        <f>Inputs!C108</f>
        <v>1</v>
      </c>
      <c r="D106" s="78"/>
      <c r="J106" s="305"/>
      <c r="K106" s="305"/>
      <c r="L106" s="306"/>
      <c r="O106" s="306"/>
    </row>
    <row r="107">
      <c r="A107" s="97"/>
      <c r="B107" s="59" t="s">
        <v>202</v>
      </c>
      <c r="C107" s="25">
        <f>Inputs!C109</f>
        <v>1</v>
      </c>
      <c r="D107" s="78"/>
      <c r="J107" s="307"/>
      <c r="L107" s="306"/>
      <c r="O107" s="306"/>
    </row>
    <row r="108">
      <c r="A108" s="110" t="s">
        <v>152</v>
      </c>
      <c r="B108" s="59" t="s">
        <v>203</v>
      </c>
      <c r="C108" s="25">
        <f>Inputs!C110</f>
        <v>1</v>
      </c>
      <c r="D108" s="78"/>
      <c r="J108" s="307"/>
      <c r="L108" s="306"/>
      <c r="O108" s="306"/>
    </row>
    <row r="109">
      <c r="A109" s="97"/>
      <c r="B109" s="59" t="s">
        <v>204</v>
      </c>
      <c r="C109" s="25">
        <f>Inputs!C111</f>
        <v>1</v>
      </c>
      <c r="D109" s="78"/>
      <c r="J109" s="307"/>
      <c r="L109" s="306"/>
      <c r="O109" s="306"/>
    </row>
    <row r="110">
      <c r="A110" s="97"/>
      <c r="B110" s="59" t="s">
        <v>205</v>
      </c>
      <c r="C110" s="25">
        <f>Inputs!C112</f>
        <v>1</v>
      </c>
      <c r="D110" s="78"/>
      <c r="J110" s="307"/>
      <c r="L110" s="306"/>
      <c r="O110" s="306"/>
    </row>
    <row r="111">
      <c r="A111" s="97"/>
      <c r="B111" s="59" t="s">
        <v>207</v>
      </c>
      <c r="C111" s="25">
        <f>Inputs!C113</f>
        <v>1</v>
      </c>
      <c r="D111" s="78"/>
      <c r="J111" s="307"/>
      <c r="L111" s="306"/>
      <c r="O111" s="306"/>
    </row>
    <row r="112">
      <c r="A112" s="97"/>
      <c r="B112" s="59" t="s">
        <v>208</v>
      </c>
      <c r="C112" s="25">
        <f>Inputs!C114</f>
        <v>0</v>
      </c>
      <c r="D112" s="78"/>
      <c r="J112" s="307"/>
      <c r="L112" s="306"/>
      <c r="O112" s="306"/>
    </row>
    <row r="113">
      <c r="A113" s="110" t="s">
        <v>156</v>
      </c>
      <c r="B113" s="59" t="s">
        <v>209</v>
      </c>
      <c r="C113" s="25">
        <f>Inputs!C115</f>
        <v>0</v>
      </c>
      <c r="D113" s="78"/>
      <c r="E113" s="2"/>
      <c r="J113" s="307"/>
      <c r="L113" s="306"/>
      <c r="O113" s="306"/>
    </row>
    <row r="114">
      <c r="A114" s="97"/>
      <c r="B114" s="59" t="s">
        <v>211</v>
      </c>
      <c r="C114" s="25">
        <f>Inputs!C116</f>
        <v>0</v>
      </c>
      <c r="D114" s="78"/>
      <c r="E114" s="2"/>
      <c r="J114" s="307"/>
      <c r="L114" s="306"/>
      <c r="O114" s="306"/>
    </row>
    <row r="115">
      <c r="A115" s="97"/>
      <c r="B115" s="59" t="s">
        <v>212</v>
      </c>
      <c r="C115" s="25">
        <f>Inputs!C117</f>
        <v>1</v>
      </c>
      <c r="D115" s="78"/>
      <c r="J115" s="307"/>
      <c r="L115" s="306"/>
      <c r="O115" s="306"/>
    </row>
    <row r="116">
      <c r="A116" s="97"/>
      <c r="B116" s="59" t="s">
        <v>213</v>
      </c>
      <c r="C116" s="25">
        <f>Inputs!C118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0.04814081478</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0.004894802317</v>
      </c>
      <c r="J116" s="307"/>
      <c r="L116" s="306"/>
      <c r="O116" s="306"/>
    </row>
    <row r="117">
      <c r="A117" s="97"/>
      <c r="B117" s="59" t="s">
        <v>214</v>
      </c>
      <c r="C117" s="25">
        <f>Inputs!C119</f>
        <v>1</v>
      </c>
      <c r="D117" s="25">
        <f>Inputs!D119</f>
        <v>0.8</v>
      </c>
      <c r="J117" s="307"/>
      <c r="L117" s="306"/>
      <c r="O117" s="306"/>
    </row>
    <row r="118">
      <c r="A118" s="110" t="s">
        <v>162</v>
      </c>
      <c r="B118" s="59" t="s">
        <v>215</v>
      </c>
      <c r="C118" s="25">
        <f>Inputs!C120</f>
        <v>0</v>
      </c>
      <c r="D118" s="78"/>
      <c r="J118" s="307"/>
      <c r="L118" s="306"/>
      <c r="O118" s="306"/>
    </row>
    <row r="119">
      <c r="A119" s="97"/>
      <c r="B119" s="59" t="s">
        <v>216</v>
      </c>
      <c r="C119" s="25">
        <f>Inputs!C121</f>
        <v>1</v>
      </c>
      <c r="D119" s="78"/>
      <c r="J119" s="307"/>
      <c r="L119" s="306"/>
      <c r="O119" s="306"/>
    </row>
    <row r="120">
      <c r="A120" s="97"/>
      <c r="B120" s="59" t="s">
        <v>217</v>
      </c>
      <c r="C120" s="25">
        <f>Inputs!C122</f>
        <v>1</v>
      </c>
      <c r="D120" s="25">
        <f>Inputs!D122</f>
        <v>0.4</v>
      </c>
      <c r="J120" s="307"/>
      <c r="L120" s="306"/>
      <c r="O120" s="306"/>
    </row>
    <row r="121">
      <c r="A121" s="97"/>
      <c r="B121" s="59" t="s">
        <v>218</v>
      </c>
      <c r="C121" s="25">
        <f>Inputs!C123</f>
        <v>0</v>
      </c>
      <c r="D121" s="25">
        <f>Inputs!D123</f>
        <v>1</v>
      </c>
      <c r="J121" s="305"/>
      <c r="L121" s="306"/>
      <c r="O121" s="306"/>
    </row>
    <row r="122">
      <c r="A122" s="97"/>
      <c r="B122" s="59" t="s">
        <v>219</v>
      </c>
      <c r="C122" s="25">
        <f>Inputs!C124</f>
        <v>1</v>
      </c>
      <c r="D122" s="78"/>
      <c r="J122" s="305"/>
      <c r="L122" s="306"/>
      <c r="O122" s="306"/>
    </row>
    <row r="123">
      <c r="A123" s="110" t="s">
        <v>168</v>
      </c>
      <c r="B123" s="59" t="s">
        <v>220</v>
      </c>
      <c r="C123" s="25">
        <f>Inputs!C125</f>
        <v>0</v>
      </c>
      <c r="D123" s="78"/>
      <c r="J123" s="307"/>
      <c r="L123" s="306"/>
      <c r="O123" s="306"/>
    </row>
    <row r="124">
      <c r="A124" s="97"/>
      <c r="B124" s="59" t="s">
        <v>221</v>
      </c>
      <c r="C124" s="25">
        <f>Inputs!C126</f>
        <v>1</v>
      </c>
      <c r="D124" s="78"/>
      <c r="J124" s="307"/>
      <c r="L124" s="306"/>
      <c r="O124" s="306"/>
    </row>
    <row r="125">
      <c r="A125" s="97"/>
      <c r="B125" s="59" t="s">
        <v>222</v>
      </c>
      <c r="C125" s="25">
        <f>Inputs!C127</f>
        <v>0</v>
      </c>
      <c r="D125" s="78"/>
      <c r="F125" s="62"/>
      <c r="J125" s="305"/>
      <c r="L125" s="306"/>
      <c r="O125" s="306"/>
    </row>
    <row r="126">
      <c r="A126" s="97"/>
      <c r="B126" s="59" t="s">
        <v>223</v>
      </c>
      <c r="C126" s="25">
        <f>Inputs!C128</f>
        <v>1</v>
      </c>
      <c r="D126" s="78"/>
      <c r="J126" s="305"/>
      <c r="L126" s="306"/>
      <c r="O126" s="306"/>
    </row>
    <row r="127">
      <c r="A127" s="110" t="s">
        <v>224</v>
      </c>
      <c r="B127" s="59" t="s">
        <v>225</v>
      </c>
      <c r="C127" s="25">
        <f>Inputs!C129</f>
        <v>4</v>
      </c>
      <c r="D127" s="78"/>
      <c r="E127" s="309">
        <f>T38*(8+C110*4)*(1+C110)+IF(C127&gt;3,1,0)*8*0.125*(T40+T43+T51+T57+T63)</f>
        <v>0.8266711512</v>
      </c>
      <c r="F127" s="309">
        <f>IF(C127=4,(1-(1-(1-(1-(T38*(8+C110*4)))*(1-IF(C127&gt;3,1,0)*(1-0.875^(8*(T40+T43-T46+MIN(($L$9+SUM(Z19:Z36,Z38:Z50)+SUM(Z52:Z76))/(-N51),MAX((1-SUM(U18:U24,U26:U41,U43:U50,U52:U76)+SUM(AA19:AA24,AA26:AA41,AA43:AA50,AA52:AA76)/O42*Q42)/Q51*(-O42/(O51-O42)),0))+2*T57+2*T63)))))))/(3+(2/(L13+0.3)-1+IF(C152=1,0.5,0))/C152),IF(C127&gt;0,1,0)*(1-(1-(T38*(8+C110*4))))/(3+(2/(L13+0.3)-1+IF(C152=1,0.5,0))/C152))</f>
        <v>0.1402974432</v>
      </c>
      <c r="J127" s="307"/>
    </row>
    <row r="128">
      <c r="A128" s="2"/>
      <c r="B128" s="2"/>
      <c r="C128" s="2"/>
      <c r="D128" s="2"/>
      <c r="E128" s="2"/>
      <c r="J128" s="4"/>
      <c r="K128" s="4"/>
      <c r="L128" s="306"/>
    </row>
    <row r="129">
      <c r="A129" s="2"/>
      <c r="B129" s="90" t="s">
        <v>229</v>
      </c>
      <c r="C129" s="2"/>
      <c r="D129" s="2"/>
      <c r="E129" s="2"/>
      <c r="J129" s="4"/>
    </row>
    <row r="130">
      <c r="A130" s="2"/>
      <c r="B130" s="139" t="s">
        <v>231</v>
      </c>
      <c r="C130" s="25">
        <f>Inputs!C132</f>
        <v>0</v>
      </c>
      <c r="D130" s="264">
        <f>Inputs!D132</f>
        <v>0.6</v>
      </c>
      <c r="E130" s="2"/>
    </row>
    <row r="131">
      <c r="B131" s="139" t="s">
        <v>233</v>
      </c>
      <c r="C131" s="25">
        <f>Inputs!C133</f>
        <v>1</v>
      </c>
      <c r="D131" s="264">
        <f>Inputs!D133</f>
        <v>0.85</v>
      </c>
      <c r="E131" s="2"/>
    </row>
    <row r="132">
      <c r="A132" s="2"/>
      <c r="B132" s="2"/>
      <c r="C132" s="2"/>
      <c r="D132" s="2"/>
      <c r="E132" s="2"/>
    </row>
    <row r="133">
      <c r="A133" s="2"/>
      <c r="B133" s="143" t="s">
        <v>234</v>
      </c>
      <c r="C133" s="144"/>
      <c r="D133" s="145" t="s">
        <v>235</v>
      </c>
      <c r="E133" s="145"/>
      <c r="G133" s="143" t="s">
        <v>355</v>
      </c>
      <c r="J133" s="143" t="s">
        <v>356</v>
      </c>
    </row>
    <row r="134">
      <c r="A134" s="2"/>
      <c r="B134" s="149" t="s">
        <v>236</v>
      </c>
      <c r="C134" s="150"/>
      <c r="D134" s="139" t="s">
        <v>237</v>
      </c>
      <c r="E134" s="150"/>
      <c r="G134" s="149" t="s">
        <v>357</v>
      </c>
      <c r="H134" s="311">
        <f>MIN(40,1+12*(2*(1+H8)*T25+T26+1/3*(2)*(1/(1-0.15*C107))+T35*2+T40*(11+2*C107)+T42*(2*C136)*(1+C136*H8)+T43+T38*2*(2*(1+H8))+T38*2*(2*(1+H8))+T62*(2*C136)*(1+C136*H8)+2*(2/12+(1+H8)/12)))</f>
        <v>40</v>
      </c>
      <c r="J134" s="149" t="s">
        <v>358</v>
      </c>
      <c r="K134" s="282">
        <f>C131*7*(1+2*T38*(8+C110*4))*D131</f>
        <v>7.522687225</v>
      </c>
    </row>
    <row r="135">
      <c r="A135" s="2"/>
      <c r="B135" s="149" t="s">
        <v>238</v>
      </c>
      <c r="C135" s="25">
        <f>Inputs!C137</f>
        <v>1</v>
      </c>
      <c r="D135" s="139" t="s">
        <v>239</v>
      </c>
      <c r="E135" s="150"/>
      <c r="G135" s="149" t="s">
        <v>359</v>
      </c>
      <c r="H135" s="312">
        <f>1+C130*(0.05*15+0.05*17*H8)*T75</f>
        <v>1</v>
      </c>
      <c r="R135" s="4"/>
    </row>
    <row r="136">
      <c r="A136" s="2"/>
      <c r="B136" s="149" t="s">
        <v>240</v>
      </c>
      <c r="C136" s="25">
        <f>Inputs!C138</f>
        <v>1</v>
      </c>
      <c r="D136" s="139" t="s">
        <v>241</v>
      </c>
      <c r="E136" s="25">
        <f>Inputs!E138</f>
        <v>1</v>
      </c>
    </row>
    <row r="137">
      <c r="A137" s="2"/>
      <c r="B137" s="149" t="s">
        <v>242</v>
      </c>
      <c r="C137" s="25">
        <f>Inputs!C139</f>
        <v>0</v>
      </c>
      <c r="D137" s="139" t="s">
        <v>243</v>
      </c>
      <c r="E137" s="25">
        <f>Inputs!E139</f>
        <v>0</v>
      </c>
    </row>
    <row r="138">
      <c r="A138" s="2"/>
      <c r="B138" s="149" t="s">
        <v>244</v>
      </c>
      <c r="C138" s="25">
        <f>Inputs!C140</f>
        <v>1</v>
      </c>
      <c r="D138" s="139" t="s">
        <v>245</v>
      </c>
      <c r="E138" s="25">
        <f>Inputs!E140</f>
        <v>0</v>
      </c>
    </row>
    <row r="139">
      <c r="A139" s="2"/>
      <c r="B139" s="149" t="s">
        <v>246</v>
      </c>
      <c r="C139" s="150"/>
      <c r="D139" s="139" t="s">
        <v>247</v>
      </c>
      <c r="E139" s="25">
        <f>Inputs!E141</f>
        <v>1</v>
      </c>
    </row>
    <row r="140">
      <c r="A140" s="2"/>
      <c r="B140" s="2"/>
      <c r="C140" s="2"/>
      <c r="D140" s="139" t="s">
        <v>248</v>
      </c>
      <c r="E140" s="25">
        <f>Inputs!E142</f>
        <v>0</v>
      </c>
    </row>
    <row r="141">
      <c r="A141" s="2"/>
      <c r="B141" s="2"/>
      <c r="C141" s="2"/>
      <c r="D141" s="139" t="s">
        <v>249</v>
      </c>
      <c r="E141" s="25">
        <f>Inputs!E143</f>
        <v>1</v>
      </c>
    </row>
    <row r="142">
      <c r="A142" s="2"/>
      <c r="B142" s="2"/>
      <c r="C142" s="2"/>
      <c r="D142" s="2"/>
      <c r="E142" s="2"/>
    </row>
    <row r="143">
      <c r="A143" s="2"/>
      <c r="B143" s="70" t="s">
        <v>250</v>
      </c>
      <c r="C143" s="2"/>
      <c r="D143" s="2"/>
      <c r="E143" s="2"/>
    </row>
    <row r="144">
      <c r="A144" s="2"/>
      <c r="B144" s="61" t="s">
        <v>251</v>
      </c>
      <c r="C144" s="313">
        <f>Inputs!C146</f>
        <v>0.2</v>
      </c>
      <c r="D144" s="2"/>
      <c r="E144" s="2"/>
    </row>
    <row r="145">
      <c r="A145" s="2"/>
      <c r="B145" s="59" t="s">
        <v>252</v>
      </c>
      <c r="C145" s="25">
        <f>Inputs!C147</f>
        <v>400000</v>
      </c>
      <c r="D145" s="2"/>
      <c r="E145" s="2"/>
    </row>
    <row r="146">
      <c r="A146" s="2"/>
      <c r="B146" s="61" t="s">
        <v>254</v>
      </c>
      <c r="C146" s="313">
        <f>Inputs!C148</f>
        <v>0.2</v>
      </c>
      <c r="D146" s="2"/>
      <c r="E146" s="2"/>
    </row>
    <row r="147">
      <c r="A147" s="2"/>
      <c r="B147" s="61" t="s">
        <v>257</v>
      </c>
      <c r="C147" s="313">
        <f>Inputs!C149</f>
        <v>0</v>
      </c>
      <c r="D147" s="2"/>
      <c r="E147" s="2"/>
      <c r="F147" s="2"/>
    </row>
    <row r="148">
      <c r="A148" s="2"/>
      <c r="B148" s="61" t="s">
        <v>258</v>
      </c>
      <c r="C148" s="313">
        <f>Inputs!C150</f>
        <v>0</v>
      </c>
      <c r="D148" s="2"/>
      <c r="E148" s="2"/>
      <c r="G148" s="1"/>
    </row>
    <row r="149">
      <c r="A149" s="2"/>
      <c r="B149" s="61" t="s">
        <v>259</v>
      </c>
      <c r="C149" s="313">
        <f>Inputs!C151</f>
        <v>1</v>
      </c>
      <c r="D149" s="2"/>
      <c r="E149" s="2"/>
    </row>
    <row r="150">
      <c r="A150" s="2"/>
      <c r="B150" s="59" t="s">
        <v>260</v>
      </c>
      <c r="C150" s="313">
        <f>Inputs!C152</f>
        <v>0.4</v>
      </c>
      <c r="D150" s="2"/>
      <c r="E150" s="2"/>
    </row>
    <row r="151">
      <c r="A151" s="2"/>
      <c r="B151" s="59" t="s">
        <v>261</v>
      </c>
      <c r="C151" s="174">
        <f>Inputs!C153</f>
        <v>0.8</v>
      </c>
      <c r="D151" s="2"/>
      <c r="E151" s="2"/>
    </row>
    <row r="152">
      <c r="A152" s="2"/>
      <c r="B152" s="61" t="s">
        <v>262</v>
      </c>
      <c r="C152" s="25">
        <f>Inputs!C154</f>
        <v>5</v>
      </c>
      <c r="D152" s="2"/>
      <c r="E152" s="2"/>
      <c r="F152" s="2"/>
    </row>
    <row r="153">
      <c r="A153" s="2"/>
      <c r="B153" s="59" t="s">
        <v>263</v>
      </c>
      <c r="C153" s="25">
        <f>Inputs!C155</f>
        <v>90</v>
      </c>
      <c r="D153" s="1"/>
      <c r="E153" s="2"/>
      <c r="F153" s="1"/>
    </row>
    <row r="154">
      <c r="A154" s="2"/>
      <c r="B154" s="61" t="s">
        <v>265</v>
      </c>
      <c r="C154" s="174">
        <f>Inputs!C156</f>
        <v>3966.55</v>
      </c>
      <c r="D154" s="1"/>
      <c r="E154" s="1"/>
      <c r="F154" s="1"/>
    </row>
    <row r="155">
      <c r="A155" s="2"/>
      <c r="D155" s="1"/>
      <c r="E155" s="1"/>
      <c r="F155" s="1"/>
      <c r="G155" s="1"/>
      <c r="H155" s="1"/>
    </row>
    <row r="156">
      <c r="B156" s="162" t="s">
        <v>267</v>
      </c>
      <c r="C156" s="163" t="s">
        <v>268</v>
      </c>
      <c r="D156" s="1"/>
      <c r="E156" s="1"/>
      <c r="F156" s="1"/>
      <c r="G156" s="1"/>
      <c r="H156" s="1"/>
    </row>
    <row r="157">
      <c r="B157" s="166" t="s">
        <v>269</v>
      </c>
      <c r="C157" s="25">
        <f>Inputs!C159</f>
        <v>1</v>
      </c>
      <c r="D157" s="309">
        <f>C157*(0.025+0.1*T42)</f>
        <v>0.06513494365</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0.006610037601</v>
      </c>
      <c r="F157" s="1"/>
      <c r="G157" s="1"/>
      <c r="H157" s="1"/>
    </row>
    <row r="158">
      <c r="B158" s="166" t="s">
        <v>271</v>
      </c>
      <c r="C158" s="25">
        <f>Inputs!C160</f>
        <v>1</v>
      </c>
      <c r="D158" s="1"/>
      <c r="E158" s="1"/>
      <c r="F158" s="1"/>
      <c r="G158" s="1"/>
      <c r="H158" s="1"/>
    </row>
    <row r="159">
      <c r="D159" s="1"/>
      <c r="E159" s="1"/>
      <c r="F159" s="1"/>
      <c r="G159" s="1"/>
      <c r="H159" s="1"/>
    </row>
    <row r="160">
      <c r="B160" s="30" t="s">
        <v>274</v>
      </c>
      <c r="C160" s="2"/>
      <c r="D160" s="1"/>
      <c r="E160" s="1"/>
      <c r="F160" s="1"/>
      <c r="G160" s="1"/>
      <c r="H160" s="1"/>
    </row>
    <row r="161">
      <c r="B161" s="61" t="s">
        <v>275</v>
      </c>
      <c r="C161" s="314"/>
      <c r="D161" s="1"/>
      <c r="E161" s="1"/>
      <c r="F161" s="1"/>
      <c r="G161" s="1"/>
      <c r="H161" s="1"/>
    </row>
    <row r="162">
      <c r="B162" s="61" t="s">
        <v>276</v>
      </c>
      <c r="C162" s="173"/>
      <c r="D162" s="1"/>
      <c r="E162" s="1"/>
      <c r="F162" s="1"/>
      <c r="G162" s="1"/>
      <c r="H162" s="1"/>
    </row>
    <row r="163">
      <c r="B163" s="61" t="s">
        <v>361</v>
      </c>
      <c r="C163" s="315"/>
      <c r="D163" s="1"/>
      <c r="E163" s="1"/>
      <c r="F163" s="1"/>
      <c r="G163" s="1"/>
      <c r="H163" s="1"/>
    </row>
    <row r="164">
      <c r="B164" s="61" t="s">
        <v>362</v>
      </c>
      <c r="C164" s="235"/>
      <c r="D164" s="1"/>
      <c r="E164" s="1"/>
      <c r="F164" s="1"/>
      <c r="G164" s="1"/>
      <c r="H164" s="1"/>
    </row>
    <row r="165">
      <c r="B165" s="61" t="s">
        <v>278</v>
      </c>
      <c r="C165" s="316"/>
      <c r="D165" s="1"/>
      <c r="E165" s="1"/>
      <c r="G165" s="1"/>
      <c r="H165" s="1"/>
    </row>
    <row r="166">
      <c r="B166" s="61" t="s">
        <v>280</v>
      </c>
      <c r="C166" s="27"/>
      <c r="D166" s="1"/>
      <c r="E166" s="1"/>
      <c r="G166" s="1"/>
      <c r="H166" s="1"/>
    </row>
    <row r="167">
      <c r="B167" s="61" t="s">
        <v>363</v>
      </c>
      <c r="C167" s="317"/>
    </row>
    <row r="168">
      <c r="B168" s="61" t="s">
        <v>364</v>
      </c>
      <c r="C168" s="236"/>
      <c r="D168" s="202"/>
    </row>
    <row r="169">
      <c r="B169" s="318"/>
      <c r="C169" s="202"/>
      <c r="D169" s="20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17.75"/>
    <col customWidth="1" min="9" max="9" width="23.25"/>
    <col customWidth="1" min="10" max="10" width="17.88"/>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3.5"/>
    <col customWidth="1" min="19" max="19" width="15.25"/>
    <col customWidth="1" min="20" max="20" width="15.88"/>
    <col customWidth="1" min="21" max="21" width="12.38"/>
    <col customWidth="1" min="22" max="22" width="11.75"/>
    <col customWidth="1" min="23" max="23" width="19.25"/>
    <col customWidth="1" min="24" max="24" width="19.13"/>
    <col customWidth="1" min="25" max="25" width="11.25"/>
    <col customWidth="1" min="26" max="26" width="15.0"/>
    <col customWidth="1" min="27" max="27" width="19.63"/>
    <col customWidth="1" min="28" max="28" width="19.13"/>
  </cols>
  <sheetData>
    <row r="2">
      <c r="B2" s="225" t="s">
        <v>319</v>
      </c>
    </row>
    <row r="4">
      <c r="B4" s="226" t="s">
        <v>1</v>
      </c>
      <c r="C4" s="227" t="s">
        <v>3</v>
      </c>
      <c r="D4" s="228" t="s">
        <v>5</v>
      </c>
      <c r="E4" s="228" t="s">
        <v>7</v>
      </c>
      <c r="G4" s="226" t="s">
        <v>9</v>
      </c>
      <c r="J4" s="229"/>
      <c r="N4" s="230" t="s">
        <v>10</v>
      </c>
    </row>
    <row r="5">
      <c r="B5" s="42" t="s">
        <v>12</v>
      </c>
      <c r="C5" s="231">
        <f>IF(ISBLANK(Inputs!H7),H5*(1+C21*0.05*(1+0.2*C63)),Inputs!H7)</f>
        <v>3852</v>
      </c>
      <c r="D5" s="27"/>
      <c r="E5" s="27"/>
      <c r="G5" s="42" t="s">
        <v>21</v>
      </c>
      <c r="H5" s="36">
        <f>IF(ISBLANK(Inputs!H7),Baseline!H5+Inputs!I7,C5/(1+C21*0.05*(1+0.2*C63)))</f>
        <v>3852</v>
      </c>
      <c r="I5" s="233" t="s">
        <v>31</v>
      </c>
      <c r="J5" s="49">
        <f>(C5*1.45+((J6*(1+E116)*(1+D157)*1.8)+IF(E28=3,1,0)*1.13*(1-exp(-1*$J$9*12/60))*($J$6*(1+E116)*(1+D157)*0.02*$J$10)))*(1+0.06*C75)</f>
        <v>12072.34797</v>
      </c>
      <c r="K5" s="233" t="s">
        <v>41</v>
      </c>
      <c r="L5" s="52">
        <f>(J5 / (J5 + C154))</f>
        <v>0.7526918616</v>
      </c>
      <c r="N5" s="239" t="s">
        <v>46</v>
      </c>
      <c r="O5" s="240" t="s">
        <v>47</v>
      </c>
      <c r="P5" s="240" t="s">
        <v>49</v>
      </c>
      <c r="Q5" s="241" t="s">
        <v>325</v>
      </c>
      <c r="R5" s="241" t="s">
        <v>53</v>
      </c>
      <c r="S5" s="241" t="s">
        <v>326</v>
      </c>
      <c r="T5" s="240" t="s">
        <v>56</v>
      </c>
      <c r="U5" s="241" t="s">
        <v>57</v>
      </c>
      <c r="V5" s="75" t="s">
        <v>59</v>
      </c>
      <c r="W5" s="228" t="s">
        <v>60</v>
      </c>
      <c r="X5" s="227" t="s">
        <v>63</v>
      </c>
    </row>
    <row r="6">
      <c r="B6" s="42" t="s">
        <v>36</v>
      </c>
      <c r="C6" s="231">
        <f>IF(ISBLANK(Inputs!H8),(H6+C34*33)*(1+C21*0.05*(1+0.2*C63)),Inputs!H8)</f>
        <v>2672</v>
      </c>
      <c r="D6" s="27"/>
      <c r="E6" s="27"/>
      <c r="G6" s="42" t="s">
        <v>65</v>
      </c>
      <c r="H6" s="36">
        <f>IF(ISBLANK(Inputs!H8),Baseline!H6+Inputs!I8,C6/(1+C21*0.05*(1+0.2*C63)))</f>
        <v>2672</v>
      </c>
      <c r="I6" s="42" t="s">
        <v>67</v>
      </c>
      <c r="J6" s="52">
        <f>(C6+E32*252*8/120+E34*50)*(1+B21*1.13*(1-exp(-3*J9*15/60))*0.15*(1+0.2*C63))*(1+0.03*C77*(1-(0.85)^(8*L9)))*(1+0.1*12*(1/S40)*C131*(1-IF(OR(D100=1,AND(C152&lt;4,C131=1)),0,1)*IF(D100=2,1-(1-(0.75)^((5+(H15/2))/H15))/(1+3*(1-(0.75)^((5+(H15/2))/H15))*C82),1)*IF(NOT(OR(OR(D100=1,AND(C152&lt;4,C131=1)),D100=2)),1-(1-(0.75)^((4+(H15/2))/H15)),1)))*(1+0.1*T69*8*IF(C152=1,1,0))</f>
        <v>2890.654188</v>
      </c>
      <c r="K6" s="42" t="s">
        <v>82</v>
      </c>
      <c r="L6" s="84">
        <f>(J6-622)/19130</f>
        <v>0.1185914369</v>
      </c>
      <c r="N6" s="75" t="s">
        <v>87</v>
      </c>
      <c r="O6" s="250">
        <f>Baseline!O6</f>
        <v>3608042.253</v>
      </c>
      <c r="P6" s="94">
        <f>(O6-E26*C152/2*C7*0.0003*30)*(1-$L$14)*(1-$L$5)*$L$10*(1-0.01*E32)*(1-0.2/C152*C74)*(1-C51*0.12/C152*1.13*(1-exp(-3*6/60*55/120)))*(1-$C$135*$C$130*$D$130*0.075)*(1-$C$131*E136*10/S40*0.08)*(1-F116)*(1-E157)*(1-IF(C127&gt;1,1)*0.06*E127)*(1-(0.04*10*(1/S40)*C100*(1-IF(OR(D100=1,AND(C152&lt;4,C131=1)),0,1)*IF(D100=2,1-(1-(0.75)^((5+(H15/2))/H15))/(1+3*(1-(0.75)^((5+(H15/2))/H15))*C82),1)*IF(NOT(OR(OR(D100=1,AND(C152&lt;4,C131=1)),D100=2)),1-(1-(0.75)^((4+(H15/2))/H15)),1))))*(1-C120*0.025)</f>
        <v>428924.1577</v>
      </c>
      <c r="Q6" s="99">
        <f>P6*(1-((1-(1-(T38*(8+C110*4)))*(1-IF(C127&gt;3,1,0)*(1-0.875^(8*(T40+T43+T51+T57+T63)))))*MIN(0.3/(1-$L$14),1)))</f>
        <v>330419.4521</v>
      </c>
      <c r="R6" s="94">
        <f>Q6*(1-($T$52*8)*(0.3+0.1*$E$139))</f>
        <v>321608.2667</v>
      </c>
      <c r="S6" s="102">
        <f t="shared" ref="S6:S9" si="1">R6*(1-($T$70*8)*0.1)*(1-($T$26*8)*0.1)*(1-($T$35*($Q$35+8/2^($D$121-1)))*(0.05*$D$121))</f>
        <v>318454.0197</v>
      </c>
      <c r="T6" s="94">
        <f t="shared" ref="T6:T9" si="2">S6</f>
        <v>318454.0197</v>
      </c>
      <c r="U6" s="107"/>
      <c r="V6" s="27"/>
      <c r="W6" s="27"/>
      <c r="X6" s="27"/>
    </row>
    <row r="7">
      <c r="B7" s="42" t="s">
        <v>40</v>
      </c>
      <c r="C7" s="231">
        <f>IF(ISBLANK(Inputs!H9),(H7+C26*99)*(1+C21*0.05*(1+0.2*C63))*1.05*(1+0.2*C55)*(1.4),Inputs!H9)</f>
        <v>77197</v>
      </c>
      <c r="D7" s="27"/>
      <c r="E7" s="27"/>
      <c r="G7" s="42" t="s">
        <v>121</v>
      </c>
      <c r="H7" s="36">
        <f>IF(ISBLANK(Inputs!H9),Baseline!H7+Inputs!I9,(C7/(1+C21*0.05*(1+0.2*C63))/1.05/(1+0.2*C55)/(1.4))-C26*99)</f>
        <v>43762.47166</v>
      </c>
      <c r="I7" s="251" t="s">
        <v>124</v>
      </c>
      <c r="J7" s="109">
        <f>C7*20</f>
        <v>1543940</v>
      </c>
      <c r="K7" s="251" t="s">
        <v>127</v>
      </c>
      <c r="L7" s="111">
        <f>(J7+IF(E28=3,1,0)*1.13*(1-exp(-1*$J$9*12/60))*($J$6*1.3*$J$10))*(1+0.01*C97*(D97+2*C104))</f>
        <v>1682894.6</v>
      </c>
      <c r="N7" s="66" t="s">
        <v>131</v>
      </c>
      <c r="O7" s="250">
        <f>Baseline!O7</f>
        <v>0</v>
      </c>
      <c r="P7" s="94">
        <f>O7*$J$13*(1-$L$5)*$L$10*(1-0.01*E32)*(1-C51*0.12/C152*1.13*(1-exp(-3*6/60*55/120)))*(1-$C$135*$C$130*$D$130*0.075)*(1-$C$131*E136*10/S40*0.08)*(1-IF(C127&gt;1,1)*0.06*E127)*(1-(0.04*10*(1/S40)*C100*(1-IF(OR(D100=1,AND(C152&lt;4,C131=1)),0,1)*IF(D100=2,1-(1-(0.75)^((5+(H15/2))/H15))/(1+3*(1-(0.75)^((5+(H15/2))/H15))*C82),1)*IF(NOT(OR(OR(D100=1,AND(C152&lt;4,C131=1)),D100=2)),1-(1-(0.75)^((4+(H15/2))/H15)),1))))*(1-C120*0.025)</f>
        <v>0</v>
      </c>
      <c r="Q7" s="27"/>
      <c r="R7" s="94">
        <f t="shared" ref="R7:R9" si="3">P7*(1-($T$52*8)*(0.3+0.1*$E$139))</f>
        <v>0</v>
      </c>
      <c r="S7" s="102">
        <f t="shared" si="1"/>
        <v>0</v>
      </c>
      <c r="T7" s="94">
        <f t="shared" si="2"/>
        <v>0</v>
      </c>
      <c r="U7" s="107"/>
      <c r="V7" s="27"/>
      <c r="W7" s="27"/>
      <c r="X7" s="27"/>
    </row>
    <row r="8">
      <c r="B8" s="42" t="s">
        <v>44</v>
      </c>
      <c r="C8" s="231">
        <f>IF(ISBLANK(Inputs!H10),(Inputs!C10+Inputs!I10)*(1+0.02*$C$30)/(1+0.02*Baseline!$C$30),Inputs!H10)</f>
        <v>778.5</v>
      </c>
      <c r="D8" s="115">
        <f>(C8+225*15/2/120*IF(1&lt;(IF(C8&gt;C9,1,0)+IF(C8&gt;C10,1,0)+IF(C8&gt;C11,1,0)),E27,0))</f>
        <v>778.5</v>
      </c>
      <c r="E8" s="115">
        <f>IF(D8&lt;=1380,D8,IF(D8&lt;=1840,1380+0.9*(D8-1380),IF(D8&lt;=2300,1794+0.8*(D8-1840),IF(D8&lt;=2760,2162+0.7*(D8-2300),IF(D8&lt;=3680,2484+0.6*(D8-2760),IF(D8&lt;=9200,3036+0.5*(D8-3680),5796))))))</f>
        <v>778.5</v>
      </c>
      <c r="F8" s="4"/>
      <c r="G8" s="42" t="s">
        <v>159</v>
      </c>
      <c r="H8" s="118">
        <f>E8/4600+0.05+(C28+C32+C35)*0.01+IF(E28=4,1,0)*1.13*(1-exp(-1*$J$9*12/60))*0.04</f>
        <v>0.2192391304</v>
      </c>
      <c r="I8" s="42" t="s">
        <v>164</v>
      </c>
      <c r="J8" s="119">
        <f>1+H8*(1+2*0.02*(C26+C31))</f>
        <v>1.21923913</v>
      </c>
      <c r="K8" s="42" t="s">
        <v>167</v>
      </c>
      <c r="L8" s="84">
        <f>E8/5200/(1+0.02*C30)</f>
        <v>0.1497115385</v>
      </c>
      <c r="N8" s="75" t="s">
        <v>170</v>
      </c>
      <c r="O8" s="250">
        <f>Baseline!O8</f>
        <v>112528.835</v>
      </c>
      <c r="P8" s="94">
        <f>O8*$L$10*(1-C51*0.12/C152*1.13*(1-exp(-3*6/60*55/120)))*(1-$C$135*$C$130*$D$130*0.075)*(1-0.08*$C$80)*(1-IF(C127&gt;1,1)*0.06*E127)*(1-(0.04*10*(1/S40)*C100*(1-IF(OR(D100=1,AND(C152&lt;4,C131=1)),0,1)*IF(D100=2,1-(1-(0.75)^((5+(H15/2))/H15))/(1+3*(1-(0.75)^((5+(H15/2))/H15))*C82),1)*IF(NOT(OR(OR(D100=1,AND(C152&lt;4,C131=1)),D100=2)),1-(1-(0.75)^((4+(H15/2))/H15)),1))))*(1-C120*0.025)</f>
        <v>82257.86913</v>
      </c>
      <c r="Q8" s="27"/>
      <c r="R8" s="94">
        <f t="shared" si="3"/>
        <v>80064.32596</v>
      </c>
      <c r="S8" s="102">
        <f t="shared" si="1"/>
        <v>79279.07665</v>
      </c>
      <c r="T8" s="94">
        <f t="shared" si="2"/>
        <v>79279.07665</v>
      </c>
      <c r="U8" s="94">
        <f>T8*(T20*(6+2*C67))*0.15</f>
        <v>0</v>
      </c>
      <c r="V8" s="99">
        <f>IF(T8-U8-$T$19*(($L$7*0.3*$J$10*(1+0.4*$C$68)*(1+0.15*$C$46)))&gt;0,$T$19*($L$7*0.3*$J$10*(1+0.4*$C$68)*(1+0.15*$C$46)),T8-U8)</f>
        <v>11765.66776</v>
      </c>
      <c r="W8" s="27"/>
      <c r="X8" s="27"/>
    </row>
    <row r="9">
      <c r="B9" s="42" t="s">
        <v>50</v>
      </c>
      <c r="C9" s="231">
        <f>IF(ISBLANK(Inputs!H11),(Inputs!C11+Inputs!I11)*(1+0.02*$C$30)/(1+0.02*Baseline!$C$30),Inputs!H11)</f>
        <v>1053.5</v>
      </c>
      <c r="D9" s="115">
        <f>(C9+225*15/2/120*IF(1&lt;(IF(C9&gt;C8,1,0)+IF(C9&gt;C10,1,0)+IF(C9&gt;C11,1,0)),E27,0))</f>
        <v>1053.5</v>
      </c>
      <c r="E9" s="115">
        <f>IF(D9&lt;=1320,D9,IF(D9&lt;=1760,1320+0.9*(D9-1320),IF(D9&lt;=2200,1716+0.8*(D9-1760),IF(D9&lt;=2640,2068+0.7*(D9-2200),IF(D9&lt;=3520,2376+0.6*(D9-2640),IF(D9&lt;=8800,2904+0.5*(D9-3520),5544))))))</f>
        <v>1053.5</v>
      </c>
      <c r="F9" s="4"/>
      <c r="G9" s="42" t="s">
        <v>192</v>
      </c>
      <c r="H9" s="118">
        <f>(1+(C29+C33)*0.01)*E9/4400+(C29+C33)*0.01</f>
        <v>0.2394318182</v>
      </c>
      <c r="I9" s="42" t="s">
        <v>194</v>
      </c>
      <c r="J9" s="132">
        <f>(1+H9)*(1+C27*0.15/18)*(1+0.1*C104)*(1+0.02*C49)*(1+0.01*K134)</f>
        <v>1.524574934</v>
      </c>
      <c r="K9" s="34" t="s">
        <v>198</v>
      </c>
      <c r="L9" s="133">
        <f>3/10*J9</f>
        <v>0.4573724803</v>
      </c>
      <c r="N9" s="257" t="s">
        <v>200</v>
      </c>
      <c r="O9" s="250">
        <f>Baseline!O9</f>
        <v>0</v>
      </c>
      <c r="P9" s="135">
        <f>O9*$J$13*$L$10*(1-C51*0.12/C152*1.13*(1-exp(-3*6/60*55/120)))*(1-$C$135*$C$130*$D$130*0.075)*(1-0.08*$C$80)*(1-IF(C127&gt;1,1)*0.06*E127)*(1-(0.04*10*(1/S40)*C100*(1-IF(OR(D100=1,AND(C152&lt;4,C131=1)),0,1)*IF(D100=2,1-(1-(0.75)^((5+(H15/2))/H15))/(1+3*(1-(0.75)^((5+(H15/2))/H15))*C82),1)*IF(NOT(OR(OR(D100=1,AND(C152&lt;4,C131=1)),D100=2)),1-(1-(0.75)^((4+(H15/2))/H15)),1))))*(1-C120*0.025)</f>
        <v>0</v>
      </c>
      <c r="Q9" s="136"/>
      <c r="R9" s="135">
        <f t="shared" si="3"/>
        <v>0</v>
      </c>
      <c r="S9" s="102">
        <f t="shared" si="1"/>
        <v>0</v>
      </c>
      <c r="T9" s="94">
        <f t="shared" si="2"/>
        <v>0</v>
      </c>
      <c r="U9" s="135">
        <f>T8*(T20*(6+2*C67))*0.15</f>
        <v>0</v>
      </c>
      <c r="V9" s="135">
        <f>IF(T8+T9-U8-U9-V8&gt;0,MIN($T$19*($L$7*0.3*$J$10*(1+0.4*$C$68)*(1+0.15*$C$46))-V8,T8+T9-U8-U9-V8),0)
</f>
        <v>0</v>
      </c>
      <c r="W9" s="136"/>
      <c r="X9" s="136"/>
    </row>
    <row r="10">
      <c r="B10" s="42" t="s">
        <v>55</v>
      </c>
      <c r="C10" s="231">
        <f>IF(ISBLANK(Inputs!H12),(Inputs!C12+Inputs!I12)*(1+0.02*$C$30)/(1+0.02*Baseline!$C$30),Inputs!H12)</f>
        <v>1514.5</v>
      </c>
      <c r="D10" s="115">
        <f>(C10+65*E24+225*15/2/120*IF(1&lt;(IF(C10&gt;C8,1,0)+IF(C10&gt;C9,0)+IF(C10&gt;C11,1,0)),E27,0))</f>
        <v>1514.5</v>
      </c>
      <c r="E10" s="115">
        <f>IF(D10&lt;=1620,D10,IF(D10&lt;=2160,1622+0.9*(D10-1620),IF(D10&lt;=2700,2106+0.8*(D10-2160),IF(D10&lt;=3240,2538+0.7*(D10-2700),IF(D10&lt;=4320,2916+0.6*(D10-3240),IF(D10&lt;=10800,3564+0.5*(D10-4320),6804))))))</f>
        <v>1514.5</v>
      </c>
      <c r="F10" s="4"/>
      <c r="G10" s="42" t="s">
        <v>210</v>
      </c>
      <c r="H10" s="118">
        <f>E10/5400+(E26+E33)*0.01</f>
        <v>0.280462963</v>
      </c>
      <c r="I10" s="66" t="s">
        <v>226</v>
      </c>
      <c r="J10" s="119">
        <f>1+H10</f>
        <v>1.280462963</v>
      </c>
      <c r="K10" s="66" t="s">
        <v>228</v>
      </c>
      <c r="L10" s="119">
        <f>1-H10/2</f>
        <v>0.8597685185</v>
      </c>
      <c r="N10" s="258" t="s">
        <v>230</v>
      </c>
      <c r="O10" s="140">
        <f t="shared" ref="O10:U10" si="4">SUM(O6:O9)</f>
        <v>3720571.088</v>
      </c>
      <c r="P10" s="140">
        <f t="shared" si="4"/>
        <v>511182.0268</v>
      </c>
      <c r="Q10" s="140">
        <f t="shared" si="4"/>
        <v>330419.4521</v>
      </c>
      <c r="R10" s="140">
        <f t="shared" si="4"/>
        <v>401672.5927</v>
      </c>
      <c r="S10" s="140">
        <f t="shared" si="4"/>
        <v>397733.0963</v>
      </c>
      <c r="T10" s="140">
        <f t="shared" si="4"/>
        <v>397733.0963</v>
      </c>
      <c r="U10" s="140">
        <f t="shared" si="4"/>
        <v>0</v>
      </c>
      <c r="V10" s="140">
        <f>sum(V6:V9)</f>
        <v>11765.66776</v>
      </c>
      <c r="W10" s="140">
        <f>(Y77+C27*0.0011*L7*(1-C144))</f>
        <v>383897.7884</v>
      </c>
      <c r="X10" s="152">
        <f>(MAX((T10-U10-V10-W10),0)*(1-$T$76*(10+2*C92))+MAX((T10-U10-V10-W10*(1.3+0.05*C92)),0)*($T$76*(10+2*C92))/(1.3+0.05*C92))/IF(D100=2,(1+0.06*(1-T40*(1-(0.75)^((5+(H15/2))/H15))/(1+3*(1-(0.75)^((5+(H15/2))/H15))*C82)/(1-(0.75)^((5+(H15/2))/H15)))),(1+0.02*C49))</f>
        <v>709.0681284</v>
      </c>
    </row>
    <row r="11">
      <c r="B11" s="42" t="s">
        <v>62</v>
      </c>
      <c r="C11" s="231">
        <f>IF(ISBLANK(Inputs!H13),(Inputs!C13+Inputs!I13)*(1+0.02*$C$30)/(1+0.02*Baseline!$C$30),Inputs!H13)</f>
        <v>479.5</v>
      </c>
      <c r="D11" s="115">
        <f>(C11+225*15/2/120*IF(1&lt;(IF(C11&gt;C8,1,0)+IF(C11&gt;C10,1,0)+IF(C11&gt;C9,1,0)),E27,0))</f>
        <v>479.5</v>
      </c>
      <c r="E11" s="115">
        <f>IF(D11&lt;=1380,D11,IF(D11&lt;=1840,1380+0.9*(D11-1380),IF(D11&lt;=2300,1794+0.8*(D11-1840),IF(D11&lt;=2760,2162+0.7*(D11-2300),IF(D11&lt;=3680,2484+0.6*(D11-2760),IF(D11&lt;=9200,3036+0.5*(D11-3680),5796))))))</f>
        <v>479.5</v>
      </c>
      <c r="F11" s="4"/>
      <c r="G11" s="42" t="s">
        <v>232</v>
      </c>
      <c r="H11" s="118">
        <f>0.16+E11/2300+0.002*(C131*K134)</f>
        <v>0.3835236353</v>
      </c>
      <c r="I11" s="34" t="s">
        <v>253</v>
      </c>
      <c r="J11" s="119">
        <f t="shared" ref="J11:J12" si="5">H11</f>
        <v>0.3835236353</v>
      </c>
      <c r="K11" s="42" t="s">
        <v>255</v>
      </c>
      <c r="L11" s="52">
        <f>1+H11/2</f>
        <v>1.191761818</v>
      </c>
    </row>
    <row r="12">
      <c r="B12" s="66" t="s">
        <v>64</v>
      </c>
      <c r="C12" s="25">
        <f>IF(ISBLANK(Inputs!H14),Inputs!C14+Inputs!I14,Inputs!H14)</f>
        <v>0</v>
      </c>
      <c r="D12" s="115">
        <f t="shared" ref="D12:D13" si="6">C12</f>
        <v>0</v>
      </c>
      <c r="E12" s="115">
        <f>IF(D12&lt;=690,D12,IF(D12&lt;=1035,690+0.8*(D12-690),IF(D12&lt;=1380,966+0.6*(D12-1035),1173+0.4*(D12-1380))))</f>
        <v>0</v>
      </c>
      <c r="F12" s="4"/>
      <c r="G12" s="42" t="s">
        <v>256</v>
      </c>
      <c r="H12" s="159">
        <f>E12/6900+C71*0.03+C131*E138*0.02</f>
        <v>0.03</v>
      </c>
      <c r="I12" s="42" t="s">
        <v>264</v>
      </c>
      <c r="J12" s="119">
        <f t="shared" si="5"/>
        <v>0.03</v>
      </c>
      <c r="K12" s="42" t="s">
        <v>266</v>
      </c>
      <c r="L12" s="119">
        <f>J12+C111*0.15*MIN(8*T42,1)+0.06*(10+2*$C$72)*T54*(1+C131*E138)</f>
        <v>0.185</v>
      </c>
    </row>
    <row r="13">
      <c r="B13" s="66" t="s">
        <v>66</v>
      </c>
      <c r="C13" s="25">
        <f>IF(ISBLANK(Inputs!H15),Inputs!C15+Inputs!I15,Inputs!H15)</f>
        <v>0</v>
      </c>
      <c r="D13" s="115">
        <f t="shared" si="6"/>
        <v>0</v>
      </c>
      <c r="E13" s="115">
        <f>IF(D13&lt;=368,D13,IF(D13&lt;=552,368+0.8*(D13-368),IF(D13&lt;=736,515.2+0.6*(D13-552),625.6+0.4*(D13-736))))</f>
        <v>0</v>
      </c>
      <c r="F13" s="4"/>
      <c r="G13" s="42" t="s">
        <v>270</v>
      </c>
      <c r="H13" s="159">
        <f>E13/3680+C70*0.03</f>
        <v>0</v>
      </c>
      <c r="I13" s="42" t="s">
        <v>272</v>
      </c>
      <c r="J13" s="119">
        <f>1-H13</f>
        <v>1</v>
      </c>
      <c r="K13" s="42" t="s">
        <v>273</v>
      </c>
      <c r="L13" s="84">
        <f>622/19130+0.03+(L6+L8)/((L6+L8)*1+1/0.94)+0.05*8*T28</f>
        <v>0.2639229608</v>
      </c>
      <c r="N13" s="261" t="s">
        <v>24</v>
      </c>
      <c r="V13" s="171"/>
    </row>
    <row r="14">
      <c r="B14" s="42" t="s">
        <v>68</v>
      </c>
      <c r="C14" s="174">
        <f>IF(ISBLANK(Inputs!H16),Inputs!C16+Inputs!I16,Inputs!H16)</f>
        <v>151.4</v>
      </c>
      <c r="D14" s="27"/>
      <c r="E14" s="27"/>
      <c r="F14" s="4"/>
      <c r="G14" s="42" t="s">
        <v>277</v>
      </c>
      <c r="H14" s="159">
        <f>0.03+0.02*C32</f>
        <v>0.03</v>
      </c>
      <c r="I14" s="34" t="s">
        <v>279</v>
      </c>
      <c r="J14" s="133">
        <f>(1+E30*0.05*(1.13*(1-exp(-1*J9*15/60))))*(1+C57*0.06*(1-0.85^(5/(3/((1/(1-0.15*C107))*(1+C130))))))*(1+C117*0.05)*IF(D100=2,(1+0.06*C119*(1-T40*(1-(0.75)^((5+(H15/2))/H15))/(1+3*(1-(0.75)^((5+(H15/2))/H15))*C82)/(1-(0.75)^((5+(H15/2))/H15)))),(1+0.06*(14-5*C131*E137)*C119*(1/S40)))*(1+IF(C127&gt;2,2,IF(C127=2,1,0))*0.03*E127)</f>
        <v>1.186467458</v>
      </c>
      <c r="K14" s="34" t="s">
        <v>281</v>
      </c>
      <c r="L14" s="84">
        <f>MAX(L13-0.015*(C153-90),0)+MAX(H14-0.015*(C153-90),0)+MAX(0.03-0.015*(C153-90),0)</f>
        <v>0.3239229608</v>
      </c>
      <c r="N14" s="262" t="s">
        <v>71</v>
      </c>
      <c r="O14" s="262" t="s">
        <v>115</v>
      </c>
      <c r="P14" s="262" t="s">
        <v>150</v>
      </c>
      <c r="Q14" s="262" t="s">
        <v>282</v>
      </c>
      <c r="R14" s="262" t="s">
        <v>283</v>
      </c>
      <c r="S14" s="262" t="s">
        <v>284</v>
      </c>
    </row>
    <row r="15">
      <c r="B15" s="66" t="s">
        <v>69</v>
      </c>
      <c r="C15" s="174">
        <f>IF(ISBLANK(Inputs!H17),Inputs!C17,Inputs!H17)</f>
        <v>3.6</v>
      </c>
      <c r="D15" s="27"/>
      <c r="E15" s="27"/>
      <c r="F15" s="4"/>
      <c r="G15" s="42" t="s">
        <v>285</v>
      </c>
      <c r="H15" s="178">
        <f>C15/(J9*(1+0.06*(3+1.5*C130*C136)*C59*D59))/((195.5+21.9*C152-0.673*C152^2)/195.5)</f>
        <v>1.378599312</v>
      </c>
      <c r="I15" s="262" t="s">
        <v>286</v>
      </c>
      <c r="J15" s="133">
        <f>(1+E30*0.05*(1.13*(1-exp(-1*J9*15/60))))*IF(D100=2,(1+0.06*C119*(1-T40*(1-(0.75)^((5+(H15/2))/H15))/(1+3*(1-(0.75)^((5+(H15/2))/H15))*C82)/(1-(0.75)^((5+(H15/2))/H15)))),(1+0.02*C49))*(1+C73*0.15*(5+2*C68)*(1/S19*C149*(1-C150)))*(1+0.01*E31)</f>
        <v>1.04</v>
      </c>
      <c r="K15" s="262" t="s">
        <v>288</v>
      </c>
      <c r="L15" s="133">
        <f>IF(C127=4,1/(2.5+(2/(1-(L14+0.3*(0.151+0.367*(J8)-0.0791*(J8)^2+0.0086*(J8)^3)))-1+IF(C152=1,0.5,0))/C152),1/(2.5+(2/(1-(L14+0.3*T38*(8+C110*4)))-1+IF(C152=1,0.5,0))/C152))</f>
        <v>0.3269240909</v>
      </c>
      <c r="N15" s="181">
        <f>IF(X10=0,"Self-Sufficient (+"&amp;Round(-((T10-U10-V10-W10)*(1-$T$76*(10+2*C92))+(T10-U10-V10-W10*(1.3+0.05*C92))*($T$76*(10+2*C92)))/O10%,2)&amp;"%)",($O$10-$X$10)/$O$10)</f>
        <v>0.9998094195</v>
      </c>
      <c r="O15" s="182">
        <f t="shared" ref="O15:P15" si="7">V77</f>
        <v>326198.0464</v>
      </c>
      <c r="P15" s="182">
        <f t="shared" si="7"/>
        <v>111420.2122</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9364180.238</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11592261.46</v>
      </c>
      <c r="S15" s="182">
        <f>$L$7*O10/T10*(0.7+0.3/(1-0.15*C79-0.05*IF(C79&gt;0,1,0)))*(1+($T$76*(10+2*C92))*0.3)</f>
        <v>21816642.73</v>
      </c>
    </row>
    <row r="17">
      <c r="A17" s="2"/>
      <c r="B17" s="72" t="s">
        <v>70</v>
      </c>
      <c r="C17" s="2"/>
      <c r="D17" s="2"/>
      <c r="E17" s="2"/>
      <c r="G17" s="32" t="s">
        <v>292</v>
      </c>
      <c r="H17" s="228" t="s">
        <v>255</v>
      </c>
      <c r="I17" s="227" t="s">
        <v>293</v>
      </c>
      <c r="J17" s="227" t="s">
        <v>294</v>
      </c>
      <c r="K17" s="228" t="s">
        <v>295</v>
      </c>
      <c r="L17" s="228" t="s">
        <v>296</v>
      </c>
      <c r="M17" s="227" t="s">
        <v>297</v>
      </c>
      <c r="N17" s="227" t="s">
        <v>298</v>
      </c>
      <c r="O17" s="227" t="s">
        <v>299</v>
      </c>
      <c r="P17" s="228" t="s">
        <v>300</v>
      </c>
      <c r="Q17" s="227" t="s">
        <v>301</v>
      </c>
      <c r="R17" s="227" t="s">
        <v>302</v>
      </c>
      <c r="S17" s="227" t="s">
        <v>303</v>
      </c>
      <c r="T17" s="227" t="s">
        <v>304</v>
      </c>
      <c r="U17" s="227" t="s">
        <v>305</v>
      </c>
      <c r="V17" s="228" t="s">
        <v>115</v>
      </c>
      <c r="W17" s="228" t="s">
        <v>150</v>
      </c>
      <c r="X17" s="227" t="s">
        <v>306</v>
      </c>
      <c r="Y17" s="228" t="s">
        <v>307</v>
      </c>
      <c r="Z17" s="227" t="s">
        <v>308</v>
      </c>
      <c r="AA17" s="227" t="s">
        <v>309</v>
      </c>
      <c r="AB17" s="228" t="s">
        <v>310</v>
      </c>
    </row>
    <row r="18">
      <c r="A18" s="2"/>
      <c r="B18" s="75" t="s">
        <v>72</v>
      </c>
      <c r="C18" s="75" t="s">
        <v>73</v>
      </c>
      <c r="D18" s="75" t="s">
        <v>74</v>
      </c>
      <c r="E18" s="75" t="s">
        <v>75</v>
      </c>
      <c r="G18" s="265" t="s">
        <v>195</v>
      </c>
      <c r="H18" s="194"/>
      <c r="I18" s="194"/>
      <c r="J18" s="194"/>
      <c r="K18" s="194"/>
      <c r="L18" s="194"/>
      <c r="M18" s="194"/>
      <c r="N18" s="194"/>
      <c r="O18" s="195"/>
      <c r="P18" s="194"/>
      <c r="Q18" s="196">
        <f>1.5/$J$9</f>
        <v>0.983880796</v>
      </c>
      <c r="R18" s="197">
        <v>120.0</v>
      </c>
      <c r="S18" s="198">
        <f>R18+$C$151</f>
        <v>120.8</v>
      </c>
      <c r="T18" s="196">
        <f>1/S18*C102*D102</f>
        <v>0</v>
      </c>
      <c r="U18" s="199">
        <f>T18*Q18</f>
        <v>0</v>
      </c>
      <c r="V18" s="194"/>
      <c r="W18" s="194"/>
      <c r="X18" s="194"/>
      <c r="Y18" s="194"/>
      <c r="Z18" s="194"/>
      <c r="AA18" s="195"/>
      <c r="AB18" s="194"/>
    </row>
    <row r="19">
      <c r="A19" s="2"/>
      <c r="B19" s="25" t="str">
        <f>IF(ISBLANK(Inputs!G21),Inputs!B21,Inputs!G21)</f>
        <v/>
      </c>
      <c r="C19" s="25">
        <f>IF(ISBLANK(Inputs!H21),Inputs!C21,Inputs!H21)</f>
        <v>1</v>
      </c>
      <c r="D19" s="79"/>
      <c r="E19" s="79"/>
      <c r="G19" s="66" t="s">
        <v>311</v>
      </c>
      <c r="H19" s="201"/>
      <c r="I19" s="194"/>
      <c r="J19" s="203"/>
      <c r="K19" s="195"/>
      <c r="L19" s="195"/>
      <c r="M19" s="195"/>
      <c r="N19" s="194"/>
      <c r="O19" s="196">
        <f>AA19/T19</f>
        <v>58.26106481</v>
      </c>
      <c r="P19" s="194"/>
      <c r="Q19" s="194"/>
      <c r="R19" s="197">
        <v>60.0</v>
      </c>
      <c r="S19" s="196">
        <f>(R19-20*C68+20*C81)</f>
        <v>40</v>
      </c>
      <c r="T19" s="196">
        <f>1/S19*C149*C150</f>
        <v>0.01</v>
      </c>
      <c r="U19" s="195"/>
      <c r="V19" s="195"/>
      <c r="W19" s="195"/>
      <c r="X19" s="195"/>
      <c r="Y19" s="194"/>
      <c r="Z19" s="194"/>
      <c r="AA19" s="196">
        <f>T19*$J$10*(1+0.4*$C$68)*(1+0.15*$C$46)*25</f>
        <v>0.5826106481</v>
      </c>
      <c r="AB19" s="194"/>
    </row>
    <row r="20">
      <c r="A20" s="2"/>
      <c r="B20" s="75" t="s">
        <v>76</v>
      </c>
      <c r="C20" s="75" t="s">
        <v>77</v>
      </c>
      <c r="D20" s="75" t="s">
        <v>78</v>
      </c>
      <c r="G20" s="75" t="s">
        <v>141</v>
      </c>
      <c r="H20" s="27"/>
      <c r="I20" s="194"/>
      <c r="J20" s="194"/>
      <c r="K20" s="194"/>
      <c r="L20" s="194"/>
      <c r="M20" s="194"/>
      <c r="N20" s="194"/>
      <c r="O20" s="194"/>
      <c r="P20" s="194"/>
      <c r="Q20" s="196">
        <f t="shared" ref="Q20:Q22" si="8">1.5/$J$9</f>
        <v>0.983880796</v>
      </c>
      <c r="R20" s="204">
        <v>240.0</v>
      </c>
      <c r="S20" s="205">
        <f>240-60*C67</f>
        <v>180</v>
      </c>
      <c r="T20" s="196">
        <f>1/S20*C61*D61</f>
        <v>0</v>
      </c>
      <c r="U20" s="199">
        <f t="shared" ref="U20:U22" si="9">T20*Q20</f>
        <v>0</v>
      </c>
      <c r="V20" s="194"/>
      <c r="W20" s="195"/>
      <c r="X20" s="195"/>
      <c r="Y20" s="194"/>
      <c r="Z20" s="194"/>
      <c r="AA20" s="194"/>
      <c r="AB20" s="194"/>
    </row>
    <row r="21">
      <c r="A21" s="2"/>
      <c r="B21" s="25" t="str">
        <f>IF(ISBLANK(Inputs!G23),Inputs!B23,Inputs!G23)</f>
        <v/>
      </c>
      <c r="C21" s="25" t="str">
        <f>IF(ISBLANK(Inputs!H23),Inputs!C23,Inputs!H23)</f>
        <v/>
      </c>
      <c r="D21" s="78"/>
      <c r="G21" s="75" t="s">
        <v>313</v>
      </c>
      <c r="H21" s="206">
        <v>1.5</v>
      </c>
      <c r="I21" s="194"/>
      <c r="J21" s="207">
        <f>($J$6*(1+$E$116)*(1+$D$157)+$C$14*6)*H21*$J$10*$L$11*(1+0.01*E25)</f>
        <v>9459.624407</v>
      </c>
      <c r="K21" s="196">
        <f>J21*$J$8*$C$152*$J$14*(1+0.08*C120*D120)
</f>
        <v>70610.34253</v>
      </c>
      <c r="L21" s="209">
        <f>K21/$C$152</f>
        <v>14122.06851</v>
      </c>
      <c r="M21" s="209">
        <f>K21*$L$12</f>
        <v>13062.91337</v>
      </c>
      <c r="N21" s="194"/>
      <c r="O21" s="194"/>
      <c r="P21" s="194"/>
      <c r="Q21" s="196">
        <f t="shared" si="8"/>
        <v>0.983880796</v>
      </c>
      <c r="R21" s="197">
        <v>180.0</v>
      </c>
      <c r="S21" s="198">
        <f t="shared" ref="S21:S22" si="10">R21+$C$151</f>
        <v>180.8</v>
      </c>
      <c r="T21" s="196">
        <f>1/S21*E25</f>
        <v>0</v>
      </c>
      <c r="U21" s="199">
        <f t="shared" si="9"/>
        <v>0</v>
      </c>
      <c r="V21" s="196">
        <f>T21*K21</f>
        <v>0</v>
      </c>
      <c r="W21" s="196">
        <f>T21*L21</f>
        <v>0</v>
      </c>
      <c r="X21" s="196">
        <f>T21*M21</f>
        <v>0</v>
      </c>
      <c r="Y21" s="196">
        <f>X21*(1-$C$144)</f>
        <v>0</v>
      </c>
      <c r="Z21" s="194"/>
      <c r="AA21" s="194"/>
      <c r="AB21" s="194"/>
    </row>
    <row r="22">
      <c r="A22" s="2"/>
      <c r="B22" s="2"/>
      <c r="E22" s="2"/>
      <c r="G22" s="66" t="s">
        <v>314</v>
      </c>
      <c r="H22" s="201"/>
      <c r="I22" s="194"/>
      <c r="J22" s="203"/>
      <c r="K22" s="195"/>
      <c r="L22" s="195"/>
      <c r="M22" s="195"/>
      <c r="N22" s="194"/>
      <c r="O22" s="211">
        <f>20</f>
        <v>20</v>
      </c>
      <c r="P22" s="194"/>
      <c r="Q22" s="196">
        <f t="shared" si="8"/>
        <v>0.983880796</v>
      </c>
      <c r="R22" s="197">
        <v>120.0</v>
      </c>
      <c r="S22" s="198">
        <f t="shared" si="10"/>
        <v>120.8</v>
      </c>
      <c r="T22" s="196">
        <f>1/S22*C28</f>
        <v>0</v>
      </c>
      <c r="U22" s="199">
        <f t="shared" si="9"/>
        <v>0</v>
      </c>
      <c r="V22" s="195"/>
      <c r="W22" s="195"/>
      <c r="X22" s="195"/>
      <c r="Y22" s="194"/>
      <c r="Z22" s="194"/>
      <c r="AA22" s="196">
        <f>T22*O22</f>
        <v>0</v>
      </c>
      <c r="AB22" s="194"/>
    </row>
    <row r="23">
      <c r="A23" s="2"/>
      <c r="B23" s="72" t="s">
        <v>79</v>
      </c>
      <c r="C23" s="2"/>
      <c r="D23" s="2"/>
      <c r="E23" s="2"/>
      <c r="G23" s="66" t="s">
        <v>315</v>
      </c>
      <c r="H23" s="212">
        <f>5*C15/12*1.25*1.2</f>
        <v>2.25</v>
      </c>
      <c r="I23" s="194"/>
      <c r="J23" s="207">
        <f>($J$6*(1+$E$116)*(1+$D$157)+169*15/120*$C$24+$C$14*6)*H23*$J$10*$L$11</f>
        <v>14189.43661</v>
      </c>
      <c r="K23" s="196">
        <f>J23*$J$8*0.7*$J$14*(1+0.08*C120*D120)
</f>
        <v>14828.17193</v>
      </c>
      <c r="L23" s="209">
        <f>K23</f>
        <v>14828.17193</v>
      </c>
      <c r="M23" s="209">
        <f>K23*$L$12</f>
        <v>2743.211807</v>
      </c>
      <c r="N23" s="215"/>
      <c r="O23" s="194"/>
      <c r="P23" s="194"/>
      <c r="Q23" s="195"/>
      <c r="R23" s="216">
        <f>C15</f>
        <v>3.6</v>
      </c>
      <c r="S23" s="209">
        <f>H15</f>
        <v>1.378599312</v>
      </c>
      <c r="T23" s="209">
        <f>1/S23</f>
        <v>0.7253739295</v>
      </c>
      <c r="U23" s="217"/>
      <c r="V23" s="196">
        <f t="shared" ref="V23:V24" si="11">T23*K23</f>
        <v>10755.96934</v>
      </c>
      <c r="W23" s="196">
        <f t="shared" ref="W23:W24" si="12">T23*L23</f>
        <v>10755.96934</v>
      </c>
      <c r="X23" s="196">
        <f t="shared" ref="X23:X24" si="13">T23*M23</f>
        <v>1989.854328</v>
      </c>
      <c r="Y23" s="196">
        <f t="shared" ref="Y23:Y29" si="14">X23*(1-$C$144)</f>
        <v>1591.883462</v>
      </c>
      <c r="Z23" s="194"/>
      <c r="AA23" s="194"/>
      <c r="AB23" s="194"/>
    </row>
    <row r="24">
      <c r="A24" s="2"/>
      <c r="B24" s="66" t="s">
        <v>80</v>
      </c>
      <c r="C24" s="25">
        <f>IF(ISBLANK(Inputs!H26),Inputs!C26,Inputs!H26)</f>
        <v>0</v>
      </c>
      <c r="D24" s="83" t="s">
        <v>81</v>
      </c>
      <c r="E24" s="25">
        <f>IF(ISBLANK(Inputs!J26),Inputs!E26,Inputs!J26)</f>
        <v>0</v>
      </c>
      <c r="G24" s="75" t="s">
        <v>316</v>
      </c>
      <c r="H24" s="218">
        <f>0.1115*1.4/6*1.36*1.075*15</f>
        <v>0.5705455</v>
      </c>
      <c r="I24" s="204">
        <v>1.15</v>
      </c>
      <c r="J24" s="219">
        <f>($J$6*(1+$E$116)*(1+$D$157)+169*15/120*$C$24+$C$14*6)*H24*$J$10*$L$11*I24*(1+0.01*C24)</f>
        <v>4137.812039</v>
      </c>
      <c r="K24" s="196">
        <f>(J24*$J$8*INT($J$9*10/1+1)*0.7*$J$14+J24*7.875*1.25*$J$8*$C$152/SQRT(MAX(1,$C$152/8))*$J$14)*(1+0.15*$C$152/SQRT(MAX(1,$C$152/8))*(1+$C$131*0.05*MIN(1,5/$C$152))*J10)</f>
        <v>726322.959</v>
      </c>
      <c r="L24" s="196">
        <f>(J24*$J$8*INT($J$9*10/1+1)*0.7*$J$14+J24*7.875*1.25*$J$8/SQRT(MAX(1,$C$152/8))*$J$14)+(K24/(1+0.15*$C$152/SQRT(MAX(1,$C$152/8))*(1+$C$131*0.05*MIN(1,5/$C$152))*J10))*(0.15*1/SQRT(MAX(1,$C$152/8))*(1+$C$131*0.05)*J10)</f>
        <v>198896.53</v>
      </c>
      <c r="M24" s="196">
        <f>K24/((1+$C$131*0.05*MIN(1,5/$C$152)))/$C$152</f>
        <v>138347.2303</v>
      </c>
      <c r="N24" s="194"/>
      <c r="O24" s="194"/>
      <c r="P24" s="194"/>
      <c r="Q24" s="195"/>
      <c r="R24" s="195"/>
      <c r="S24" s="196">
        <f>S38</f>
        <v>90.8</v>
      </c>
      <c r="T24" s="196">
        <f>1/S24*C131</f>
        <v>0.01101321586</v>
      </c>
      <c r="U24" s="222"/>
      <c r="V24" s="196">
        <f t="shared" si="11"/>
        <v>7999.151531</v>
      </c>
      <c r="W24" s="196">
        <f t="shared" si="12"/>
        <v>2190.490418</v>
      </c>
      <c r="X24" s="196">
        <f t="shared" si="13"/>
        <v>1523.647911</v>
      </c>
      <c r="Y24" s="196">
        <f t="shared" si="14"/>
        <v>1218.918329</v>
      </c>
      <c r="Z24" s="194"/>
      <c r="AA24" s="194"/>
      <c r="AB24" s="194"/>
    </row>
    <row r="25">
      <c r="A25" s="2"/>
      <c r="B25" s="66" t="s">
        <v>83</v>
      </c>
      <c r="C25" s="25">
        <f>IF(ISBLANK(Inputs!H27),Inputs!C27,Inputs!H27)</f>
        <v>0</v>
      </c>
      <c r="D25" s="83" t="s">
        <v>84</v>
      </c>
      <c r="E25" s="25">
        <f>IF(ISBLANK(Inputs!J27),Inputs!E27,Inputs!J27)</f>
        <v>0</v>
      </c>
      <c r="G25" s="66" t="s">
        <v>177</v>
      </c>
      <c r="H25" s="206">
        <f>1.4256*1.15</f>
        <v>1.63944</v>
      </c>
      <c r="I25" s="204">
        <v>1.15</v>
      </c>
      <c r="J25" s="207">
        <f>($J$6*(1+$E$116)*(1+$D$157)+169*15/120*$C$24+$C$14*6)*H25*$J$10*$L$11*I25*(1+0.01*$E$25)*(1+0.3*C130)</f>
        <v>11889.83976</v>
      </c>
      <c r="K25" s="196">
        <f>J25*$J$8*$C$152*$J$14*(1+C130*0.15*$B$19*(1+0.2*$C$63))*(1+$C$131*0.05*MIN(1,5/$C$152))*$H$135*(1+0.08*C120*D120)
</f>
        <v>93187.94307</v>
      </c>
      <c r="L25" s="209">
        <f t="shared" ref="L25:L26" si="15">K25/$C$152</f>
        <v>18637.58861</v>
      </c>
      <c r="M25" s="209">
        <f>K25*$L$12</f>
        <v>17239.76947</v>
      </c>
      <c r="N25" s="194"/>
      <c r="O25" s="194"/>
      <c r="P25" s="195"/>
      <c r="Q25" s="196">
        <f>1.5/$J$9</f>
        <v>0.983880796</v>
      </c>
      <c r="R25" s="197">
        <v>7.5</v>
      </c>
      <c r="S25" s="196">
        <f>1/((1/(R25/J9))+(C113/((R25/J9)/((1/(1-0.15*C107))/3*(1+C130)*(1-(1-H8)^C152)*0.25))))</f>
        <v>4.91940398</v>
      </c>
      <c r="T25" s="196">
        <f>MIN(1/S25,MAX((1-SUM(U19:U23,U29:U41,U43:U50,U52:U76)-($L$9+SUM(Z19:Z50,Z52:Z76))*Q51/(-N51)+(SUM(AA19:AA24,AA26:AA41,AA43:AA50,AA52:AA76)+(($L$9+SUM(Z19:Z50)+SUM(Z52:Z76))*O51/(-N51)))/O42*Q42)/Q25*(-O42/(O25-O42)),(1+C130)/24-T47*C130*0.5))</f>
        <v>0.04166666667</v>
      </c>
      <c r="U25" s="199">
        <f>T25*Q25</f>
        <v>0.04099503317</v>
      </c>
      <c r="V25" s="196">
        <f>(T25+C108*T51*(1-(1-0.15)*(1-0.15*MAX(4,C152-1)))*1.5)*K25</f>
        <v>39638.46984</v>
      </c>
      <c r="W25" s="196">
        <f>(T25+C108*T51*(1-(1-0.15)*(1-0.15*MAX(4,C152-1)))*1.5)*L25</f>
        <v>7927.693968</v>
      </c>
      <c r="X25" s="196">
        <f>(T25+C108*T51*0.15*1.5)*M25</f>
        <v>2221.685817</v>
      </c>
      <c r="Y25" s="196">
        <f t="shared" si="14"/>
        <v>1777.348654</v>
      </c>
      <c r="Z25" s="194"/>
      <c r="AA25" s="195"/>
      <c r="AB25" s="195"/>
    </row>
    <row r="26">
      <c r="A26" s="2"/>
      <c r="B26" s="66" t="s">
        <v>85</v>
      </c>
      <c r="C26" s="25">
        <f>IF(ISBLANK(Inputs!H28),Inputs!C28,Inputs!H28)</f>
        <v>0</v>
      </c>
      <c r="D26" s="83" t="s">
        <v>86</v>
      </c>
      <c r="E26" s="25">
        <f>IF(ISBLANK(Inputs!J28),Inputs!E28,Inputs!J28)</f>
        <v>0</v>
      </c>
      <c r="G26" s="75" t="s">
        <v>161</v>
      </c>
      <c r="H26" s="218">
        <v>1.2</v>
      </c>
      <c r="I26" s="204">
        <v>1.15</v>
      </c>
      <c r="J26" s="207">
        <f>($J$6*(1+$E$116)*(1+$D$157)+169*15/120*$C$24+$C$14*6)*H26*$J$10*$L$11*I26*(1+0.01*$E$25)</f>
        <v>8702.854455</v>
      </c>
      <c r="K26" s="196">
        <f>J26*$J$8*$C$152*$J$14*(1+$C$131*0.05*MIN(1,5/$C$152))*(1+0.08*C120*D120)
</f>
        <v>68209.59089</v>
      </c>
      <c r="L26" s="196">
        <f t="shared" si="15"/>
        <v>13641.91818</v>
      </c>
      <c r="M26" s="196">
        <f>K26*(1+$L$12)*1.25</f>
        <v>101035.4565</v>
      </c>
      <c r="N26" s="194"/>
      <c r="O26" s="194"/>
      <c r="P26" s="194"/>
      <c r="Q26" s="195"/>
      <c r="R26" s="204">
        <v>120.0</v>
      </c>
      <c r="S26" s="204">
        <v>120.0</v>
      </c>
      <c r="T26" s="196">
        <f>1/S26*C76</f>
        <v>0</v>
      </c>
      <c r="U26" s="222"/>
      <c r="V26" s="196">
        <f>T26*K26</f>
        <v>0</v>
      </c>
      <c r="W26" s="196">
        <f>T26*L26</f>
        <v>0</v>
      </c>
      <c r="X26" s="196">
        <f t="shared" ref="X26:X28" si="16">T26*M26</f>
        <v>0</v>
      </c>
      <c r="Y26" s="196">
        <f t="shared" si="14"/>
        <v>0</v>
      </c>
      <c r="Z26" s="195"/>
      <c r="AA26" s="195"/>
      <c r="AB26" s="194"/>
    </row>
    <row r="27">
      <c r="A27" s="2"/>
      <c r="B27" s="66" t="s">
        <v>88</v>
      </c>
      <c r="C27" s="25">
        <f>IF(ISBLANK(Inputs!H29),Inputs!C29,Inputs!H29)</f>
        <v>0</v>
      </c>
      <c r="D27" s="83" t="s">
        <v>89</v>
      </c>
      <c r="E27" s="25">
        <f>IF(ISBLANK(Inputs!J29),Inputs!E29,Inputs!J29)</f>
        <v>0</v>
      </c>
      <c r="G27" s="75" t="s">
        <v>208</v>
      </c>
      <c r="H27" s="224"/>
      <c r="I27" s="194"/>
      <c r="J27" s="194"/>
      <c r="K27" s="194"/>
      <c r="L27" s="194"/>
      <c r="M27" s="196">
        <f>V10/T19</f>
        <v>1176566.776</v>
      </c>
      <c r="N27" s="194"/>
      <c r="O27" s="194"/>
      <c r="P27" s="194"/>
      <c r="Q27" s="195"/>
      <c r="R27" s="194"/>
      <c r="S27" s="194"/>
      <c r="T27" s="196">
        <f>T19*C112</f>
        <v>0</v>
      </c>
      <c r="U27" s="222"/>
      <c r="V27" s="222"/>
      <c r="W27" s="222"/>
      <c r="X27" s="196">
        <f t="shared" si="16"/>
        <v>0</v>
      </c>
      <c r="Y27" s="196">
        <f t="shared" si="14"/>
        <v>0</v>
      </c>
      <c r="Z27" s="195"/>
      <c r="AA27" s="194"/>
      <c r="AB27" s="194"/>
    </row>
    <row r="28">
      <c r="A28" s="2"/>
      <c r="B28" s="66" t="s">
        <v>90</v>
      </c>
      <c r="C28" s="25">
        <f>IF(ISBLANK(Inputs!H30),Inputs!C30,Inputs!H30)</f>
        <v>0</v>
      </c>
      <c r="D28" s="83" t="s">
        <v>91</v>
      </c>
      <c r="E28" s="25">
        <f>IF(ISBLANK(Inputs!J30),Inputs!E30,Inputs!J30)</f>
        <v>0</v>
      </c>
      <c r="G28" s="75" t="s">
        <v>215</v>
      </c>
      <c r="H28" s="206">
        <v>0.64</v>
      </c>
      <c r="I28" s="204">
        <v>1.15</v>
      </c>
      <c r="J28" s="207">
        <f>($J$6*(1+$E$116)*(1+$D$157)+169*15/120*$C$24+$C$14*6)*H28*$J$10*$L$11*I28*(1+0.01*E25)</f>
        <v>4641.522376</v>
      </c>
      <c r="K28" s="196">
        <f>J28*$J$8*$C$152/SQRT(MAX(1,$C$152/8))*$J$14*9*(1+0.08*C120*D120)*(1+$C$131*0.05*MIN(1,5/$C$152))</f>
        <v>327406.0363</v>
      </c>
      <c r="L28" s="196">
        <f t="shared" ref="L28:L29" si="17">K28/$C$152</f>
        <v>65481.20725</v>
      </c>
      <c r="M28" s="209">
        <f>K28*$L$12</f>
        <v>60570.11671</v>
      </c>
      <c r="N28" s="194"/>
      <c r="O28" s="219">
        <f>MIN(C152,5)*2*9</f>
        <v>90</v>
      </c>
      <c r="P28" s="194"/>
      <c r="Q28" s="195"/>
      <c r="R28" s="194"/>
      <c r="S28" s="194"/>
      <c r="T28" s="196">
        <f>T38*C118</f>
        <v>0</v>
      </c>
      <c r="U28" s="222"/>
      <c r="V28" s="196">
        <f>T28*K28</f>
        <v>0</v>
      </c>
      <c r="W28" s="196">
        <f>T28*L28</f>
        <v>0</v>
      </c>
      <c r="X28" s="196">
        <f t="shared" si="16"/>
        <v>0</v>
      </c>
      <c r="Y28" s="196">
        <f t="shared" si="14"/>
        <v>0</v>
      </c>
      <c r="Z28" s="195"/>
      <c r="AA28" s="196">
        <f>T28*O28</f>
        <v>0</v>
      </c>
      <c r="AB28" s="194"/>
    </row>
    <row r="29">
      <c r="A29" s="2"/>
      <c r="B29" s="66" t="s">
        <v>92</v>
      </c>
      <c r="C29" s="25">
        <f>IF(ISBLANK(Inputs!H31),Inputs!C31,Inputs!H31)</f>
        <v>0</v>
      </c>
      <c r="D29" s="83" t="s">
        <v>93</v>
      </c>
      <c r="E29" s="25">
        <f>IF(ISBLANK(Inputs!J31),Inputs!E31,Inputs!J31)</f>
        <v>0</v>
      </c>
      <c r="G29" s="66" t="s">
        <v>321</v>
      </c>
      <c r="H29" s="237">
        <f>0.3348*24/3*(1/(1-0.15*C107))</f>
        <v>3.151058824</v>
      </c>
      <c r="I29" s="204">
        <v>1.15</v>
      </c>
      <c r="J29" s="207">
        <f>($J$6*(1+$E$116)*(1+$D$157)+169*15/120*$C$24+$C$14*6)*H29*$J$10*$L$11*I29*(1+0.01*E25)</f>
        <v>22852.67193</v>
      </c>
      <c r="K29" s="196">
        <f>J29*$J$8*$C$152*$J$14*(1+0.4*C117*D117)*(1+$C$131*0.05*MIN(1,5/$C$152))*(1+0.08*C120*D120)*(1+0.15*C131)/(1+0.05*C117)
</f>
        <v>258942.4076</v>
      </c>
      <c r="L29" s="196">
        <f t="shared" si="17"/>
        <v>51788.48153</v>
      </c>
      <c r="M29" s="196">
        <f>K29*(1+0.85*$C$107+$L$12)*1.25</f>
        <v>658684.7494</v>
      </c>
      <c r="N29" s="194"/>
      <c r="O29" s="194"/>
      <c r="P29" s="194"/>
      <c r="Q29" s="195"/>
      <c r="R29" s="194"/>
      <c r="S29" s="194"/>
      <c r="T29" s="195"/>
      <c r="U29" s="222"/>
      <c r="V29" s="196">
        <f>K29/24*(1+C130)</f>
        <v>10789.26698</v>
      </c>
      <c r="W29" s="196">
        <f>L29/24*(1+C130)</f>
        <v>2157.853397</v>
      </c>
      <c r="X29" s="196">
        <f>M29/24*(1+C130)</f>
        <v>27445.19789</v>
      </c>
      <c r="Y29" s="196">
        <f t="shared" si="14"/>
        <v>21956.15831</v>
      </c>
      <c r="Z29" s="195"/>
      <c r="AA29" s="195"/>
      <c r="AB29" s="194"/>
    </row>
    <row r="30">
      <c r="A30" s="2"/>
      <c r="B30" s="75" t="s">
        <v>94</v>
      </c>
      <c r="C30" s="25">
        <f>IF(ISBLANK(Inputs!H32),Inputs!C32,Inputs!H32)</f>
        <v>0</v>
      </c>
      <c r="D30" s="75" t="s">
        <v>95</v>
      </c>
      <c r="E30" s="25">
        <f>IF(ISBLANK(Inputs!J32),Inputs!E32,Inputs!J32)</f>
        <v>0</v>
      </c>
      <c r="G30" s="75" t="s">
        <v>327</v>
      </c>
      <c r="H30" s="224"/>
      <c r="I30" s="194"/>
      <c r="J30" s="194"/>
      <c r="K30" s="194"/>
      <c r="L30" s="194"/>
      <c r="M30" s="209">
        <f>MIN(J11*(MAX(5*0.2*T10*(1+0.05*C111),7/100*L7)*(1+0.15*C42))*$J$10*(1+0.15*C46)*(1+0.2*C115),(0.5+0.15*C114)*L7*MAX(1,T42/0.2)/(1+($T$76*(10+2*C92))*(0.3+0.05*C92)))</f>
        <v>367927.8167</v>
      </c>
      <c r="N30" s="194"/>
      <c r="O30" s="194"/>
      <c r="P30" s="194"/>
      <c r="Q30" s="194"/>
      <c r="R30" s="194"/>
      <c r="S30" s="194"/>
      <c r="T30" s="196">
        <f>T42</f>
        <v>0.3922519111</v>
      </c>
      <c r="U30" s="222"/>
      <c r="V30" s="222"/>
      <c r="W30" s="222"/>
      <c r="X30" s="196">
        <f>MIN(T30,0.2)*M30</f>
        <v>73585.56334</v>
      </c>
      <c r="Y30" s="196">
        <f t="shared" ref="Y30:Y33" si="18">X30</f>
        <v>73585.56334</v>
      </c>
      <c r="Z30" s="195"/>
      <c r="AA30" s="195"/>
      <c r="AB30" s="194"/>
    </row>
    <row r="31">
      <c r="A31" s="2"/>
      <c r="B31" s="75" t="s">
        <v>96</v>
      </c>
      <c r="C31" s="25">
        <f>IF(ISBLANK(Inputs!H33),Inputs!C33,Inputs!H33)</f>
        <v>0</v>
      </c>
      <c r="D31" s="75" t="s">
        <v>97</v>
      </c>
      <c r="E31" s="25">
        <f>IF(ISBLANK(Inputs!J33),Inputs!E33,Inputs!J33)</f>
        <v>0</v>
      </c>
      <c r="G31" s="75" t="s">
        <v>328</v>
      </c>
      <c r="H31" s="218">
        <v>9.0</v>
      </c>
      <c r="I31" s="194"/>
      <c r="J31" s="219">
        <f>($J$6*(1+$E$116)*(1+$D$157)+169*15/120*$C$24+$C$14*6)*H31*$J$10*$L$11*(1+0.01*E25)</f>
        <v>56757.74644</v>
      </c>
      <c r="K31" s="196">
        <f>J31*$J$8*(2*$C$152/3+1/3)*(1+$C$131*0.05*MIN(1,5.5/($C$152+0.5)))*$H$135
</f>
        <v>266424.8719</v>
      </c>
      <c r="L31" s="196">
        <f>K31/(2*$C$152/3+1/3)</f>
        <v>72661.32869</v>
      </c>
      <c r="M31" s="209">
        <f>K31*$L$12</f>
        <v>49288.6013</v>
      </c>
      <c r="N31" s="194"/>
      <c r="O31" s="194"/>
      <c r="P31" s="194"/>
      <c r="Q31" s="195"/>
      <c r="R31" s="195"/>
      <c r="S31" s="195"/>
      <c r="T31" s="196">
        <f>T42/10*C158</f>
        <v>0.03922519111</v>
      </c>
      <c r="U31" s="222"/>
      <c r="V31" s="196">
        <f t="shared" ref="V31:V33" si="19">T31*K31</f>
        <v>10450.56651</v>
      </c>
      <c r="W31" s="196">
        <f t="shared" ref="W31:W33" si="20">T31*L31</f>
        <v>2850.154504</v>
      </c>
      <c r="X31" s="196">
        <f t="shared" ref="X31:X33" si="21">T31*M31</f>
        <v>1933.354805</v>
      </c>
      <c r="Y31" s="196">
        <f t="shared" si="18"/>
        <v>1933.354805</v>
      </c>
      <c r="Z31" s="194"/>
      <c r="AA31" s="194"/>
      <c r="AB31" s="194"/>
    </row>
    <row r="32">
      <c r="A32" s="2"/>
      <c r="B32" s="75" t="s">
        <v>98</v>
      </c>
      <c r="C32" s="25">
        <f>IF(ISBLANK(Inputs!H34),Inputs!C34,Inputs!H34)</f>
        <v>0</v>
      </c>
      <c r="D32" s="75" t="s">
        <v>99</v>
      </c>
      <c r="E32" s="25">
        <f>IF(ISBLANK(Inputs!J34),Inputs!E34,Inputs!J34)</f>
        <v>0</v>
      </c>
      <c r="G32" s="66" t="s">
        <v>193</v>
      </c>
      <c r="H32" s="206">
        <f>0.235*1.4/6*1.075</f>
        <v>0.05894583333</v>
      </c>
      <c r="I32" s="204">
        <v>1.0</v>
      </c>
      <c r="J32" s="219">
        <f>($J$6*(1+$E$116)*(1+$D$157)+169*15/120*$C$24+$C$14*6)*H32*$J$10*$L$11*I32*(1+0.01*C24)</f>
        <v>371.7369625</v>
      </c>
      <c r="K32" s="196">
        <f>J32*$J$8*INT($J$9*D101/1.4+1)*0.7*$J$14</f>
        <v>4140.67548</v>
      </c>
      <c r="L32" s="196">
        <f>K32</f>
        <v>4140.67548</v>
      </c>
      <c r="M32" s="196">
        <f>L7*0.5*0.15</f>
        <v>126217.095</v>
      </c>
      <c r="N32" s="194"/>
      <c r="O32" s="194"/>
      <c r="P32" s="194"/>
      <c r="Q32" s="195"/>
      <c r="R32" s="197">
        <f>60/5</f>
        <v>12</v>
      </c>
      <c r="S32" s="196">
        <f>R32/1.13</f>
        <v>10.61946903</v>
      </c>
      <c r="T32" s="196">
        <f>1/S32*C101</f>
        <v>0</v>
      </c>
      <c r="U32" s="222"/>
      <c r="V32" s="196">
        <f t="shared" si="19"/>
        <v>0</v>
      </c>
      <c r="W32" s="196">
        <f t="shared" si="20"/>
        <v>0</v>
      </c>
      <c r="X32" s="196">
        <f t="shared" si="21"/>
        <v>0</v>
      </c>
      <c r="Y32" s="196">
        <f t="shared" si="18"/>
        <v>0</v>
      </c>
      <c r="Z32" s="194"/>
      <c r="AA32" s="194"/>
      <c r="AB32" s="194"/>
    </row>
    <row r="33">
      <c r="A33" s="2"/>
      <c r="B33" s="75" t="s">
        <v>100</v>
      </c>
      <c r="C33" s="25">
        <f>IF(ISBLANK(Inputs!H35),Inputs!C35,Inputs!H35)</f>
        <v>0</v>
      </c>
      <c r="D33" s="75" t="s">
        <v>101</v>
      </c>
      <c r="E33" s="25">
        <f>IF(ISBLANK(Inputs!J35),Inputs!E35,Inputs!J35)</f>
        <v>0</v>
      </c>
      <c r="G33" s="75" t="s">
        <v>211</v>
      </c>
      <c r="H33" s="218">
        <v>1.1</v>
      </c>
      <c r="I33" s="204">
        <v>1.15</v>
      </c>
      <c r="J33" s="207">
        <f>($J$6*(1+$E$116)*(1+$D$157)+169*15/120*$C$24+$C$14*6)*H33*$J$10*$L$11*I33*(1+0.01*$E$25)</f>
        <v>7977.616584</v>
      </c>
      <c r="K33" s="196">
        <f>J33*$J$8*$J$14*(1+$C$131*0.05*MIN(1,5/$C$152))*$H$135*(1+0.08*C127)
</f>
        <v>15994.88468</v>
      </c>
      <c r="L33" s="196">
        <f>K33/C$152</f>
        <v>3198.976937</v>
      </c>
      <c r="M33" s="209">
        <f>K33*$L$12</f>
        <v>2959.053667</v>
      </c>
      <c r="N33" s="194"/>
      <c r="O33" s="194"/>
      <c r="P33" s="194"/>
      <c r="Q33" s="203"/>
      <c r="R33" s="204">
        <v>0.5</v>
      </c>
      <c r="S33" s="196">
        <f>1/T42</f>
        <v>2.549382098</v>
      </c>
      <c r="T33" s="196">
        <f>1/S33*C114</f>
        <v>0</v>
      </c>
      <c r="U33" s="203"/>
      <c r="V33" s="196">
        <f t="shared" si="19"/>
        <v>0</v>
      </c>
      <c r="W33" s="196">
        <f t="shared" si="20"/>
        <v>0</v>
      </c>
      <c r="X33" s="196">
        <f t="shared" si="21"/>
        <v>0</v>
      </c>
      <c r="Y33" s="196">
        <f t="shared" si="18"/>
        <v>0</v>
      </c>
      <c r="Z33" s="194"/>
      <c r="AA33" s="194"/>
      <c r="AB33" s="194"/>
    </row>
    <row r="34">
      <c r="A34" s="2"/>
      <c r="B34" s="75" t="s">
        <v>102</v>
      </c>
      <c r="C34" s="25">
        <f>IF(ISBLANK(Inputs!H36),Inputs!C36,Inputs!H36)</f>
        <v>0</v>
      </c>
      <c r="D34" s="75" t="s">
        <v>103</v>
      </c>
      <c r="E34" s="25">
        <f>IF(ISBLANK(Inputs!J36),Inputs!E36,Inputs!J36)</f>
        <v>0</v>
      </c>
      <c r="G34" s="75" t="s">
        <v>329</v>
      </c>
      <c r="H34" s="252"/>
      <c r="I34" s="203"/>
      <c r="J34" s="203"/>
      <c r="K34" s="203"/>
      <c r="L34" s="203"/>
      <c r="M34" s="203"/>
      <c r="N34" s="194"/>
      <c r="O34" s="194"/>
      <c r="P34" s="194"/>
      <c r="Q34" s="203"/>
      <c r="R34" s="203"/>
      <c r="S34" s="203"/>
      <c r="T34" s="203"/>
      <c r="U34" s="203"/>
      <c r="V34" s="203"/>
      <c r="W34" s="203"/>
      <c r="X34" s="196">
        <f>T10*0.02*E33</f>
        <v>0</v>
      </c>
      <c r="Y34" s="196">
        <f t="shared" ref="Y34:Y36" si="22">X34*(1-$C$144)</f>
        <v>0</v>
      </c>
      <c r="Z34" s="194"/>
      <c r="AA34" s="194"/>
      <c r="AB34" s="194"/>
    </row>
    <row r="35">
      <c r="A35" s="2"/>
      <c r="B35" s="75" t="s">
        <v>104</v>
      </c>
      <c r="C35" s="25">
        <f>IF(ISBLANK(Inputs!H37),Inputs!C37,Inputs!H37)</f>
        <v>0</v>
      </c>
      <c r="D35" s="75"/>
      <c r="E35" s="25" t="str">
        <f>IF(ISBLANK(Inputs!J37),Inputs!E37,Inputs!J37)</f>
        <v/>
      </c>
      <c r="G35" s="66" t="s">
        <v>218</v>
      </c>
      <c r="H35" s="218">
        <f>4.8084*1.3</f>
        <v>6.25092</v>
      </c>
      <c r="I35" s="204">
        <v>1.15</v>
      </c>
      <c r="J35" s="207">
        <f>($J$6*(1+$E$116)*(1+$D$157)+169*15/120*$C$24+$C$14*6)*H35*$J$10*$L$11*I35*(1+0.01*$E$25)</f>
        <v>45334.03914</v>
      </c>
      <c r="K35" s="196">
        <f>J35*$J$8*$C$152/SQRT(MAX(1,$C$152/8))*$J$14*(1+$C$131*0.05*MIN(1,5/$C$152))*(1+0.08*C120*D120)+24/(1+C130)*V29*D121*0.25*(1+0.08*C120*D120)</f>
        <v>422117.7211</v>
      </c>
      <c r="L35" s="196">
        <f>K35/$C$152</f>
        <v>84423.54421</v>
      </c>
      <c r="M35" s="196">
        <f>K35*$L$12+24/(1+C130)*V29*D121*0.25*(1+0.08*C120*D120)*(1+0.5*$C$107+$L$12)*1.25+K35*C125*1.5*J11*J10*(1+0.15*C46)*(1+0.2*C115)/(1-$C$144)</f>
        <v>218804.3195</v>
      </c>
      <c r="N35" s="194"/>
      <c r="O35" s="194"/>
      <c r="P35" s="194"/>
      <c r="Q35" s="196">
        <f>(1+0.5*D121)/$J$9</f>
        <v>0.983880796</v>
      </c>
      <c r="R35" s="204">
        <v>45.0</v>
      </c>
      <c r="S35" s="198">
        <f>(R35/(1+$C$125*22.5*1.1/60*1.13*$J$9))+$C$151</f>
        <v>45.8</v>
      </c>
      <c r="T35" s="196">
        <f>1/S35*C121</f>
        <v>0.02183406114</v>
      </c>
      <c r="U35" s="199">
        <f t="shared" ref="U35:U36" si="23">T35*Q35</f>
        <v>0.02148211345</v>
      </c>
      <c r="V35" s="196">
        <f t="shared" ref="V35:V36" si="24">T35*K35</f>
        <v>9216.544128</v>
      </c>
      <c r="W35" s="196">
        <f t="shared" ref="W35:W36" si="25">T35*L35</f>
        <v>1843.308826</v>
      </c>
      <c r="X35" s="196">
        <f t="shared" ref="X35:X36" si="26">T35*M35</f>
        <v>4777.386888</v>
      </c>
      <c r="Y35" s="196">
        <f t="shared" si="22"/>
        <v>3821.909511</v>
      </c>
      <c r="Z35" s="194"/>
      <c r="AA35" s="194"/>
      <c r="AB35" s="194"/>
    </row>
    <row r="36">
      <c r="A36" s="2"/>
      <c r="B36" s="2"/>
      <c r="C36" s="2"/>
      <c r="D36" s="2"/>
      <c r="E36" s="2"/>
      <c r="G36" s="75" t="s">
        <v>330</v>
      </c>
      <c r="H36" s="253">
        <v>2.52</v>
      </c>
      <c r="I36" s="203"/>
      <c r="J36" s="207">
        <f>($J$6*(1+$E$116)*(1+$D$157)+$C$14*6)*H36*$J$10*$L$11</f>
        <v>15892.169</v>
      </c>
      <c r="K36" s="196">
        <f>J36*$J$8*$J$14*(1+0.08*C120*D120)</f>
        <v>23725.07509</v>
      </c>
      <c r="L36" s="196">
        <f>K36</f>
        <v>23725.07509</v>
      </c>
      <c r="M36" s="194"/>
      <c r="N36" s="194"/>
      <c r="O36" s="194"/>
      <c r="P36" s="194"/>
      <c r="Q36" s="196">
        <f>1.5/$J$9</f>
        <v>0.983880796</v>
      </c>
      <c r="R36" s="197">
        <v>90.0</v>
      </c>
      <c r="S36" s="198">
        <f>R36+$C$151</f>
        <v>90.8</v>
      </c>
      <c r="T36" s="196">
        <f>1/S36*IF($E$29=1,1,0)</f>
        <v>0</v>
      </c>
      <c r="U36" s="199">
        <f t="shared" si="23"/>
        <v>0</v>
      </c>
      <c r="V36" s="196">
        <f t="shared" si="24"/>
        <v>0</v>
      </c>
      <c r="W36" s="196">
        <f t="shared" si="25"/>
        <v>0</v>
      </c>
      <c r="X36" s="196">
        <f t="shared" si="26"/>
        <v>0</v>
      </c>
      <c r="Y36" s="196">
        <f t="shared" si="22"/>
        <v>0</v>
      </c>
      <c r="Z36" s="194"/>
      <c r="AA36" s="194"/>
      <c r="AB36" s="194"/>
    </row>
    <row r="37">
      <c r="A37" s="2"/>
      <c r="B37" s="92" t="s">
        <v>105</v>
      </c>
      <c r="C37" s="34" t="s">
        <v>106</v>
      </c>
      <c r="D37" s="34" t="s">
        <v>107</v>
      </c>
      <c r="E37" s="2"/>
      <c r="G37" s="75" t="s">
        <v>331</v>
      </c>
      <c r="H37" s="254"/>
      <c r="I37" s="255"/>
      <c r="J37" s="255"/>
      <c r="K37" s="255"/>
      <c r="L37" s="255"/>
      <c r="M37" s="194"/>
      <c r="N37" s="204">
        <v>1.0</v>
      </c>
      <c r="O37" s="194"/>
      <c r="P37" s="255"/>
      <c r="Q37" s="255"/>
      <c r="R37" s="255"/>
      <c r="S37" s="255"/>
      <c r="T37" s="196">
        <f>F127</f>
        <v>0.1402974432</v>
      </c>
      <c r="U37" s="195"/>
      <c r="V37" s="195"/>
      <c r="W37" s="195"/>
      <c r="X37" s="195"/>
      <c r="Y37" s="194"/>
      <c r="Z37" s="196">
        <f>T37*N37</f>
        <v>0.1402974432</v>
      </c>
      <c r="AA37" s="194"/>
      <c r="AB37" s="194"/>
    </row>
    <row r="38">
      <c r="A38" s="96" t="s">
        <v>108</v>
      </c>
      <c r="B38" s="75" t="s">
        <v>109</v>
      </c>
      <c r="C38" s="25">
        <f>IF(ISBLANK(Inputs!H40),Inputs!C40,Inputs!H40)</f>
        <v>1</v>
      </c>
      <c r="D38" s="78"/>
      <c r="E38" s="2"/>
      <c r="G38" s="66"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2000043.081</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622659.9556</v>
      </c>
      <c r="M38" s="194"/>
      <c r="N38" s="194"/>
      <c r="O38" s="194"/>
      <c r="P38" s="256">
        <f>D105*C105</f>
        <v>5</v>
      </c>
      <c r="Q38" s="196">
        <f>1.5/$J$9</f>
        <v>0.983880796</v>
      </c>
      <c r="R38" s="197">
        <v>120.0</v>
      </c>
      <c r="S38" s="196">
        <f>120-30*C105+$C$151</f>
        <v>90.8</v>
      </c>
      <c r="T38" s="196">
        <f>1/S38*C98*C149</f>
        <v>0.01101321586</v>
      </c>
      <c r="U38" s="199">
        <f>T38*Q38</f>
        <v>0.01083569159</v>
      </c>
      <c r="V38" s="196">
        <f t="shared" ref="V38:V40" si="27">T38*K38</f>
        <v>22026.90618</v>
      </c>
      <c r="W38" s="196">
        <f t="shared" ref="W38:W40" si="28">T38*L38</f>
        <v>6857.488497</v>
      </c>
      <c r="X38" s="195"/>
      <c r="Y38" s="194"/>
      <c r="Z38" s="194"/>
      <c r="AA38" s="194"/>
      <c r="AB38" s="196">
        <f>P38*T38</f>
        <v>0.0550660793</v>
      </c>
    </row>
    <row r="39">
      <c r="A39" s="97"/>
      <c r="B39" s="75" t="s">
        <v>110</v>
      </c>
      <c r="C39" s="25">
        <f>IF(ISBLANK(Inputs!H41),Inputs!C41,Inputs!H41)</f>
        <v>1</v>
      </c>
      <c r="D39" s="78"/>
      <c r="E39" s="2"/>
      <c r="G39" s="75"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440323.7241</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174947.2527</v>
      </c>
      <c r="M39" s="194"/>
      <c r="N39" s="255"/>
      <c r="O39" s="255"/>
      <c r="P39" s="194"/>
      <c r="Q39" s="255"/>
      <c r="R39" s="255"/>
      <c r="S39" s="255">
        <f>IF(OR(D100=1,AND(C152&lt;4,C131=1)),MAX((10-5*C131*E137+H15*3.5+C151),12),0)+IF(NOT(OR(D100=1,AND(C152&lt;4,C131=1))),15-5*C131*E137-C82,0)</f>
        <v>14</v>
      </c>
      <c r="T39" s="196">
        <f>IF(C127&gt;3,1,0)*0.1*(T40+T43+T51+T57+T63)</f>
        <v>0.05496174349</v>
      </c>
      <c r="U39" s="195"/>
      <c r="V39" s="196">
        <f t="shared" si="27"/>
        <v>24200.95958</v>
      </c>
      <c r="W39" s="196">
        <f t="shared" si="28"/>
        <v>9615.406028</v>
      </c>
      <c r="X39" s="195"/>
      <c r="Y39" s="194"/>
      <c r="Z39" s="194"/>
      <c r="AA39" s="194"/>
      <c r="AB39" s="195"/>
    </row>
    <row r="40">
      <c r="A40" s="97"/>
      <c r="B40" s="75" t="s">
        <v>111</v>
      </c>
      <c r="C40" s="25">
        <f>IF(ISBLANK(Inputs!H42),Inputs!C42,Inputs!H42)</f>
        <v>1</v>
      </c>
      <c r="D40" s="78"/>
      <c r="E40" s="2"/>
      <c r="G40" s="66" t="s">
        <v>333</v>
      </c>
      <c r="H40" s="237">
        <f>0.083*(11+2*C107)*1.3*1.25</f>
        <v>1.753375</v>
      </c>
      <c r="I40" s="204">
        <f>1.48*1.15</f>
        <v>1.702</v>
      </c>
      <c r="J40" s="207">
        <f>($J$6*(1+$E$116)*(1+$D$157)+169*15/120*$C$24+$C$14*6)*H40*$J$10*$L$11*I40*(1+0.01*E25)</f>
        <v>18819.8865</v>
      </c>
      <c r="K40" s="196">
        <f>J40*$J$8*$C$152*$J$14*(1+$C$131*0.05*MIN(1,5/$C$152))*(1+0.08*C120*D120)
</f>
        <v>147502.9561</v>
      </c>
      <c r="L40" s="196">
        <f>K40/$C$152</f>
        <v>29500.59122</v>
      </c>
      <c r="M40" s="196">
        <f>K40*$L$12+($J$6*(1+$E$116)*(1+$D$157)+4925*15/120*C24+$C$14*6)*0.375*(D97+2*C104)*$J$10*$J$8*$L$11*C94*(1-IF(OR(D100=1,AND(C152&lt;4,C131=1)),0,1)*IF(D100=2,1-(1-(0.75)^((5+(H15/2))/H15))/(1+3*(1-(0.75)^((5+(H15/2))/H15))*C82),1)*IF(NOT(OR(OR(D100=1,AND(C152&lt;4,C131=1)),D100=2)),1-(1-(0.75)^((4+(H15/2))/H15)),1))</f>
        <v>43484.88131</v>
      </c>
      <c r="N40" s="196">
        <f>-1*IF(OR(D100=1,AND(C152&lt;4,C131=1)),0,1)*IF(D100=2,1-(1-(0.75)^((5+(H15/2))/H15))/(1+3*(1-(0.75)^((5+(H15/2))/H15))*C82),1)*IF(NOT(OR(OR(D100=1,AND(C152&lt;4,C131=1)),D100=2)),1-(1-(0.75)^((4+(H15/2))/H15)),1)</f>
        <v>-0.3758559437</v>
      </c>
      <c r="O40" s="196">
        <f>10*IF(OR(D100=1,AND(C152&lt;4,C131=1)),C94,1)*IF(D100=2,IF(C94&gt;0,1,1-(1-(0.75)^((5+(H15/2))/H15))/(1+3*(1-(0.75)^((5+(H15/2))/H15))*C82)),1)*IF(NOT(OR(OR(D100=1,AND(C152&lt;4,C131=1)),D100=2)),IF(C94&gt;0,1,1-(1-(0.75)^((4+(H15/2))/H15))),1)</f>
        <v>10</v>
      </c>
      <c r="P40" s="194"/>
      <c r="Q40" s="196">
        <f>1.5/$J$9</f>
        <v>0.983880796</v>
      </c>
      <c r="R40" s="197">
        <v>15.0</v>
      </c>
      <c r="S40" s="196">
        <f>IF(OR(D100=1,AND(C152&lt;4,C131=1)),MAX((10-5*C131*E137+H15*3.5+C151),12),0)+IF(NOT(OR(D100=1,AND(C152&lt;4,C131=1))),15-5*C131*E137-C82,0)</f>
        <v>14</v>
      </c>
      <c r="T40" s="196">
        <f>1/S40</f>
        <v>0.07142857143</v>
      </c>
      <c r="U40" s="199">
        <f>T40*Q40</f>
        <v>0.07027719971</v>
      </c>
      <c r="V40" s="196">
        <f t="shared" si="27"/>
        <v>10535.92543</v>
      </c>
      <c r="W40" s="196">
        <f t="shared" si="28"/>
        <v>2107.185087</v>
      </c>
      <c r="X40" s="196">
        <f t="shared" ref="X40:X41" si="29">T40*M40</f>
        <v>3106.062951</v>
      </c>
      <c r="Y40" s="196">
        <f>X40*(1-$C$144)</f>
        <v>2484.850361</v>
      </c>
      <c r="Z40" s="196">
        <f>T40*N40</f>
        <v>-0.02684685312</v>
      </c>
      <c r="AA40" s="196">
        <f>T40*O40</f>
        <v>0.7142857143</v>
      </c>
      <c r="AB40" s="194"/>
    </row>
    <row r="41">
      <c r="A41" s="96" t="s">
        <v>112</v>
      </c>
      <c r="B41" s="75" t="s">
        <v>113</v>
      </c>
      <c r="C41" s="25">
        <f>IF(ISBLANK(Inputs!H43),Inputs!C43,Inputs!H43)</f>
        <v>1</v>
      </c>
      <c r="D41" s="78"/>
      <c r="E41" s="2"/>
      <c r="G41" s="75" t="s">
        <v>135</v>
      </c>
      <c r="H41" s="254"/>
      <c r="I41" s="194"/>
      <c r="J41" s="194"/>
      <c r="K41" s="255"/>
      <c r="L41" s="255"/>
      <c r="M41" s="196">
        <f>$L$7*(0.2+0.1*C62)*$J$10</f>
        <v>430976.8412</v>
      </c>
      <c r="N41" s="194"/>
      <c r="O41" s="194"/>
      <c r="P41" s="194"/>
      <c r="Q41" s="194"/>
      <c r="R41" s="197">
        <v>120.0</v>
      </c>
      <c r="S41" s="198">
        <f>R41-30*C62+$C$151</f>
        <v>120.8</v>
      </c>
      <c r="T41" s="196">
        <f>1/S41*C56</f>
        <v>0</v>
      </c>
      <c r="U41" s="222"/>
      <c r="V41" s="222"/>
      <c r="W41" s="222"/>
      <c r="X41" s="196">
        <f t="shared" si="29"/>
        <v>0</v>
      </c>
      <c r="Y41" s="196">
        <f>X41</f>
        <v>0</v>
      </c>
      <c r="Z41" s="194"/>
      <c r="AA41" s="194"/>
      <c r="AB41" s="194"/>
    </row>
    <row r="42">
      <c r="A42" s="97"/>
      <c r="B42" s="75" t="s">
        <v>114</v>
      </c>
      <c r="C42" s="25">
        <f>IF(ISBLANK(Inputs!H44),Inputs!C44,Inputs!H44)</f>
        <v>1</v>
      </c>
      <c r="D42" s="78"/>
      <c r="G42" s="292" t="s">
        <v>110</v>
      </c>
      <c r="H42" s="260">
        <f>1.5312*1.2*1.12</f>
        <v>2.0579328</v>
      </c>
      <c r="I42" s="204">
        <f>2.3</f>
        <v>2.3</v>
      </c>
      <c r="J42" s="207">
        <f>($J$6*(1+$E$116)*(1+$D$157)+169*15/120*$C$24+$C$14*6)*H42*$J$10*$L$11*I42*(1+0.12*C130)</f>
        <v>29849.81606</v>
      </c>
      <c r="K42" s="196">
        <f>J42*$J$8*0.7*(1+C99*0.08*MIN((T25+C108*T51*(1-(1-0.15)*(1-0.15*MAX(4,C152-1))))/T42*C152,5))*(1+0.6*C19*(1+0.2*C63))*$J$14*(1+0.08*C120)*(1+0.05*K134)*MAX((1+0.2*C63*C19),MIN((1+0.2*C63*C19)+C106*0.75*(C152-1),(1+0.2*C63*C19)+C106*1.5))</f>
        <v>271905.7431</v>
      </c>
      <c r="L42" s="196">
        <f>K42*(1+0.2*C63*C19)/MAX((1+0.2*C63*C19),MIN((1+0.2*C63*C19)+C106*0.75*(C152-1),(1+0.2*C63*C19)+C106*1.5))</f>
        <v>120846.9969</v>
      </c>
      <c r="M42" s="196">
        <f>K42*$L$12+MAX(5*0.2*T10*(1+0.05*C111),7/100*L7)*(1+C99*0.08*MIN((T25+C108*T51*(1-(1-0.15)*(1-0.15*MAX(4,C152-1))))/T42*C152,5))*$J$10*$J$15*(1+0.15*C42)</f>
        <v>883861.6361</v>
      </c>
      <c r="N42" s="194"/>
      <c r="O42" s="196">
        <f>(-45)+5*C91+IF(C42&gt;0,5,0)+10*8*T26</f>
        <v>-35</v>
      </c>
      <c r="P42" s="194"/>
      <c r="Q42" s="196">
        <f t="shared" ref="Q42:Q43" si="30">1.5/$J$9</f>
        <v>0.983880796</v>
      </c>
      <c r="R42" s="194"/>
      <c r="S42" s="194"/>
      <c r="T42" s="196">
        <f>-(SUM(AA19:AA41,AA43:AA76))/O42</f>
        <v>0.3922519111</v>
      </c>
      <c r="U42" s="199">
        <f t="shared" ref="U42:U43" si="31">T42*Q42</f>
        <v>0.3859291225</v>
      </c>
      <c r="V42" s="196">
        <f t="shared" ref="V42:V44" si="32">T42*K42</f>
        <v>106655.5474</v>
      </c>
      <c r="W42" s="196">
        <f t="shared" ref="W42:W44" si="33">T42*L42</f>
        <v>47402.46549</v>
      </c>
      <c r="X42" s="196">
        <f>MIN(T42,0.2)*M42</f>
        <v>176772.3272</v>
      </c>
      <c r="Y42" s="196">
        <f t="shared" ref="Y42:Y48" si="34">X42*(1-$C$144)</f>
        <v>141417.8618</v>
      </c>
      <c r="Z42" s="194"/>
      <c r="AA42" s="196">
        <f t="shared" ref="AA42:AA43" si="35">T42*O42</f>
        <v>-13.72881689</v>
      </c>
      <c r="AB42" s="194"/>
    </row>
    <row r="43">
      <c r="A43" s="98"/>
      <c r="B43" s="75" t="s">
        <v>116</v>
      </c>
      <c r="C43" s="25">
        <f>IF(ISBLANK(Inputs!H45),Inputs!C45,Inputs!H45)</f>
        <v>1</v>
      </c>
      <c r="D43" s="78"/>
      <c r="E43" s="2"/>
      <c r="G43" s="66" t="s">
        <v>334</v>
      </c>
      <c r="H43" s="263">
        <f>0.4374</f>
        <v>0.4374</v>
      </c>
      <c r="I43" s="204">
        <v>1.15</v>
      </c>
      <c r="J43" s="207">
        <f>($J$6*(1+$E$116)*(1+$D$157)+169*15/120*$C$24+$C$14*6)*H43*$J$10*$L$11*I43*(1+0.01*E25)</f>
        <v>3172.190449</v>
      </c>
      <c r="K43" s="196">
        <f>J43*$J$8*$J$14*(1+$C$131*0.05)*(1+0.08*C120*D120)</f>
        <v>4972.479176</v>
      </c>
      <c r="L43" s="209">
        <f t="shared" ref="L43:L46" si="36">K43</f>
        <v>4972.479176</v>
      </c>
      <c r="M43" s="209">
        <f>K43*$L$12</f>
        <v>919.9086475</v>
      </c>
      <c r="N43" s="197">
        <v>-1.0</v>
      </c>
      <c r="O43" s="211">
        <v>10.0</v>
      </c>
      <c r="P43" s="204">
        <v>2.0</v>
      </c>
      <c r="Q43" s="196">
        <f t="shared" si="30"/>
        <v>0.983880796</v>
      </c>
      <c r="R43" s="204">
        <v>6.0</v>
      </c>
      <c r="S43" s="198">
        <f>IF(4*Q43&gt;=R43,4*Q43,(IF(5*Q43&gt;=R43,5*Q43,(IF(6*Q43&gt;=R43,6*Q43,(IF(7*Q43&gt;=R43,7*Q43,(8*Q43))))))))</f>
        <v>6.887165572</v>
      </c>
      <c r="T43" s="196">
        <f>MIN(1/S43,(L15-SUM(AB19:AB42)-SUM(AB44:AB56)-SUM(AB61:AB76))/2)*D87</f>
        <v>0</v>
      </c>
      <c r="U43" s="199">
        <f t="shared" si="31"/>
        <v>0</v>
      </c>
      <c r="V43" s="196">
        <f t="shared" si="32"/>
        <v>0</v>
      </c>
      <c r="W43" s="196">
        <f t="shared" si="33"/>
        <v>0</v>
      </c>
      <c r="X43" s="196">
        <f t="shared" ref="X43:X44" si="37">T43*M43</f>
        <v>0</v>
      </c>
      <c r="Y43" s="196">
        <f t="shared" si="34"/>
        <v>0</v>
      </c>
      <c r="Z43" s="196">
        <f>T43*N43</f>
        <v>0</v>
      </c>
      <c r="AA43" s="196">
        <f t="shared" si="35"/>
        <v>0</v>
      </c>
      <c r="AB43" s="196">
        <f>P43*T43</f>
        <v>0</v>
      </c>
    </row>
    <row r="44">
      <c r="A44" s="96" t="s">
        <v>117</v>
      </c>
      <c r="B44" s="75" t="s">
        <v>118</v>
      </c>
      <c r="C44" s="25">
        <f>IF(ISBLANK(Inputs!H46),Inputs!C46,Inputs!H46)</f>
        <v>1</v>
      </c>
      <c r="D44" s="25">
        <f>IF(ISBLANK(Inputs!I46),Inputs!D46,Inputs!I46)</f>
        <v>0</v>
      </c>
      <c r="G44" s="75" t="s">
        <v>335</v>
      </c>
      <c r="H44" s="263">
        <f>0.22</f>
        <v>0.22</v>
      </c>
      <c r="I44" s="255"/>
      <c r="J44" s="207">
        <f t="shared" ref="J44:J45" si="38">($J$6*(1+$E$116)*(1+$D$157)+$C$14*6)*H44*$J$10*$L$11</f>
        <v>1387.41158</v>
      </c>
      <c r="K44" s="196">
        <f>J44*$J$8*$J$14*(1+0.08*C120*D120)</f>
        <v>2071.236714</v>
      </c>
      <c r="L44" s="196">
        <f t="shared" si="36"/>
        <v>2071.236714</v>
      </c>
      <c r="M44" s="196">
        <f>K44*(1+$L$12)</f>
        <v>2454.415506</v>
      </c>
      <c r="N44" s="255"/>
      <c r="O44" s="255"/>
      <c r="P44" s="194"/>
      <c r="Q44" s="255"/>
      <c r="R44" s="197">
        <f>60/3</f>
        <v>20</v>
      </c>
      <c r="S44" s="196">
        <f>R44/1.13/$J$9</f>
        <v>11.60921293</v>
      </c>
      <c r="T44" s="196">
        <f>1/S44*IF($E$28=1,1,0)</f>
        <v>0</v>
      </c>
      <c r="U44" s="194"/>
      <c r="V44" s="196">
        <f t="shared" si="32"/>
        <v>0</v>
      </c>
      <c r="W44" s="196">
        <f t="shared" si="33"/>
        <v>0</v>
      </c>
      <c r="X44" s="196">
        <f t="shared" si="37"/>
        <v>0</v>
      </c>
      <c r="Y44" s="196">
        <f t="shared" si="34"/>
        <v>0</v>
      </c>
      <c r="Z44" s="194"/>
      <c r="AA44" s="194"/>
      <c r="AB44" s="194"/>
    </row>
    <row r="45">
      <c r="A45" s="97"/>
      <c r="B45" s="75" t="s">
        <v>119</v>
      </c>
      <c r="C45" s="25">
        <f>IF(ISBLANK(Inputs!H47),Inputs!C47,Inputs!H47)</f>
        <v>1</v>
      </c>
      <c r="D45" s="78"/>
      <c r="G45" s="75" t="s">
        <v>336</v>
      </c>
      <c r="H45" s="253">
        <v>0.075</v>
      </c>
      <c r="I45" s="255"/>
      <c r="J45" s="207">
        <f t="shared" si="38"/>
        <v>472.9812204</v>
      </c>
      <c r="K45" s="209">
        <f>J45*$J$8*$J$14*(1+0.08*C120*D120)</f>
        <v>706.1034253</v>
      </c>
      <c r="L45" s="196">
        <f t="shared" si="36"/>
        <v>706.1034253</v>
      </c>
      <c r="M45" s="196">
        <f t="shared" ref="M45:M47" si="39">K45*$L$12</f>
        <v>130.6291337</v>
      </c>
      <c r="N45" s="255"/>
      <c r="O45" s="255"/>
      <c r="P45" s="194"/>
      <c r="Q45" s="255"/>
      <c r="R45" s="194"/>
      <c r="S45" s="194"/>
      <c r="T45" s="194"/>
      <c r="U45" s="194"/>
      <c r="V45" s="209">
        <f>IF(IF($E$28=2,1,0),1.13*(exp(6*12*J9/60)-1)*(1-(1-exp(-6*12*J9/60))^3)*K45/6,0)</f>
        <v>0</v>
      </c>
      <c r="W45" s="196">
        <f>V45</f>
        <v>0</v>
      </c>
      <c r="X45" s="196">
        <f>V45*$L$12</f>
        <v>0</v>
      </c>
      <c r="Y45" s="196">
        <f t="shared" si="34"/>
        <v>0</v>
      </c>
      <c r="Z45" s="194"/>
      <c r="AA45" s="194"/>
      <c r="AB45" s="194"/>
    </row>
    <row r="46">
      <c r="A46" s="97"/>
      <c r="B46" s="75" t="s">
        <v>120</v>
      </c>
      <c r="C46" s="25">
        <f>IF(ISBLANK(Inputs!H48),Inputs!C48,Inputs!H48)</f>
        <v>2</v>
      </c>
      <c r="D46" s="78"/>
      <c r="G46" s="75" t="s">
        <v>337</v>
      </c>
      <c r="H46" s="253">
        <f>7.1545*1.2*1.2</f>
        <v>10.30248</v>
      </c>
      <c r="I46" s="204">
        <v>1.15</v>
      </c>
      <c r="J46" s="207">
        <f t="shared" ref="J46:J47" si="40">($J$6*(1+$E$116)*(1+$D$157)+169*15/120*$C$24+$C$14*6)*H46*$J$10*$L$11*I46*(1+0.01*$E$25)</f>
        <v>74717.48664</v>
      </c>
      <c r="K46" s="196">
        <f>J46*$J$8*$J$14*(1+C130*0.15*$B$19*(1+0.2*$C$63))*$H$135*(1+0.08*C120*D120)
</f>
        <v>111544.1184</v>
      </c>
      <c r="L46" s="196">
        <f t="shared" si="36"/>
        <v>111544.1184</v>
      </c>
      <c r="M46" s="196">
        <f t="shared" si="39"/>
        <v>20635.6619</v>
      </c>
      <c r="N46" s="194"/>
      <c r="O46" s="194"/>
      <c r="P46" s="194"/>
      <c r="Q46" s="194"/>
      <c r="R46" s="194"/>
      <c r="S46" s="194"/>
      <c r="T46" s="196">
        <f>T64*(3-C137)+T38</f>
        <v>0.01101321586</v>
      </c>
      <c r="U46" s="194"/>
      <c r="V46" s="196">
        <f t="shared" ref="V46:V47" si="41">T46*K46</f>
        <v>1228.459454</v>
      </c>
      <c r="W46" s="196">
        <f t="shared" ref="W46:W47" si="42">T46*L46</f>
        <v>1228.459454</v>
      </c>
      <c r="X46" s="196">
        <f t="shared" ref="X46:X48" si="43">T46*M46</f>
        <v>227.2649989</v>
      </c>
      <c r="Y46" s="196">
        <f t="shared" si="34"/>
        <v>181.8119992</v>
      </c>
      <c r="Z46" s="194"/>
      <c r="AA46" s="194"/>
      <c r="AB46" s="194"/>
    </row>
    <row r="47">
      <c r="A47" s="97"/>
      <c r="B47" s="75" t="s">
        <v>122</v>
      </c>
      <c r="C47" s="25">
        <f>IF(ISBLANK(Inputs!H49),Inputs!C49,Inputs!H49)</f>
        <v>0</v>
      </c>
      <c r="D47" s="78"/>
      <c r="G47" s="75" t="s">
        <v>338</v>
      </c>
      <c r="H47" s="253">
        <f>3.91*1.2</f>
        <v>4.692</v>
      </c>
      <c r="I47" s="204">
        <v>1.15</v>
      </c>
      <c r="J47" s="207">
        <f t="shared" si="40"/>
        <v>34028.16092</v>
      </c>
      <c r="K47" s="196">
        <f>J47*$J$8*$C$152/SQRT(MAX(1,$C$152/8))*$J$14*(1+C130*0.15*$B$19*(1+0.2*$C$63))*$H$135*(1+0.08*C120*D120)
</f>
        <v>253999.5242</v>
      </c>
      <c r="L47" s="209">
        <f>K47/$C$152</f>
        <v>50799.90483</v>
      </c>
      <c r="M47" s="209">
        <f t="shared" si="39"/>
        <v>46989.91197</v>
      </c>
      <c r="N47" s="194"/>
      <c r="O47" s="194"/>
      <c r="P47" s="194"/>
      <c r="Q47" s="194"/>
      <c r="R47" s="194"/>
      <c r="S47" s="194"/>
      <c r="T47" s="196">
        <f>T64*(3-C137)+T38</f>
        <v>0.01101321586</v>
      </c>
      <c r="U47" s="194"/>
      <c r="V47" s="196">
        <f t="shared" si="41"/>
        <v>2797.351588</v>
      </c>
      <c r="W47" s="196">
        <f t="shared" si="42"/>
        <v>559.4703175</v>
      </c>
      <c r="X47" s="196">
        <f t="shared" si="43"/>
        <v>517.5100437</v>
      </c>
      <c r="Y47" s="196">
        <f t="shared" si="34"/>
        <v>414.008035</v>
      </c>
      <c r="Z47" s="194"/>
      <c r="AA47" s="194"/>
      <c r="AB47" s="194"/>
    </row>
    <row r="48">
      <c r="A48" s="97"/>
      <c r="B48" s="75" t="s">
        <v>123</v>
      </c>
      <c r="C48" s="25">
        <f>IF(ISBLANK(Inputs!H50),Inputs!C50,Inputs!H50)</f>
        <v>0</v>
      </c>
      <c r="D48" s="78"/>
      <c r="G48" s="75" t="s">
        <v>339</v>
      </c>
      <c r="H48" s="252"/>
      <c r="I48" s="203"/>
      <c r="J48" s="203"/>
      <c r="K48" s="255"/>
      <c r="L48" s="203"/>
      <c r="M48" s="196">
        <f>L7*0.2</f>
        <v>336578.92</v>
      </c>
      <c r="N48" s="194"/>
      <c r="O48" s="194"/>
      <c r="P48" s="194"/>
      <c r="Q48" s="194"/>
      <c r="R48" s="204">
        <v>120.0</v>
      </c>
      <c r="S48" s="198">
        <f t="shared" ref="S48:S50" si="44">R48+$C$151</f>
        <v>120.8</v>
      </c>
      <c r="T48" s="196">
        <f>1/S48*C34</f>
        <v>0</v>
      </c>
      <c r="U48" s="194"/>
      <c r="V48" s="194"/>
      <c r="W48" s="194"/>
      <c r="X48" s="196">
        <f t="shared" si="43"/>
        <v>0</v>
      </c>
      <c r="Y48" s="196">
        <f t="shared" si="34"/>
        <v>0</v>
      </c>
      <c r="Z48" s="194"/>
      <c r="AA48" s="194"/>
      <c r="AB48" s="194"/>
    </row>
    <row r="49">
      <c r="A49" s="97"/>
      <c r="B49" s="75" t="s">
        <v>125</v>
      </c>
      <c r="C49" s="25">
        <f>IF(ISBLANK(Inputs!H51),Inputs!C51,Inputs!H51)</f>
        <v>2</v>
      </c>
      <c r="D49" s="78"/>
      <c r="G49" s="75" t="s">
        <v>196</v>
      </c>
      <c r="H49" s="252"/>
      <c r="I49" s="203"/>
      <c r="J49" s="203"/>
      <c r="K49" s="255"/>
      <c r="L49" s="203"/>
      <c r="M49" s="203"/>
      <c r="N49" s="194"/>
      <c r="O49" s="194"/>
      <c r="P49" s="256">
        <f>MIN(C90*C152,6)</f>
        <v>5</v>
      </c>
      <c r="Q49" s="196">
        <f t="shared" ref="Q49:Q51" si="45">1.5/$J$9</f>
        <v>0.983880796</v>
      </c>
      <c r="R49" s="204">
        <v>90.0</v>
      </c>
      <c r="S49" s="198">
        <f t="shared" si="44"/>
        <v>90.8</v>
      </c>
      <c r="T49" s="196">
        <f>1/S49*C103*D103</f>
        <v>0</v>
      </c>
      <c r="U49" s="199">
        <f t="shared" ref="U49:U51" si="46">T49*Q49</f>
        <v>0</v>
      </c>
      <c r="V49" s="194"/>
      <c r="W49" s="194"/>
      <c r="X49" s="194"/>
      <c r="Y49" s="194"/>
      <c r="Z49" s="194"/>
      <c r="AA49" s="194"/>
      <c r="AB49" s="196">
        <f>P49*T49</f>
        <v>0</v>
      </c>
    </row>
    <row r="50">
      <c r="A50" s="97"/>
      <c r="B50" s="75" t="s">
        <v>126</v>
      </c>
      <c r="C50" s="25">
        <f>IF(ISBLANK(Inputs!H52),Inputs!C52,Inputs!H52)</f>
        <v>0</v>
      </c>
      <c r="D50" s="78"/>
      <c r="G50" s="75" t="s">
        <v>340</v>
      </c>
      <c r="H50" s="253">
        <v>3.78</v>
      </c>
      <c r="I50" s="203"/>
      <c r="J50" s="207">
        <f>($J$6*(1+$E$116)*(1+$D$157)+$C$14*6)*H50*$J$10*$L$11</f>
        <v>23838.25351</v>
      </c>
      <c r="K50" s="255"/>
      <c r="L50" s="203"/>
      <c r="M50" s="196">
        <f>J50*$J$8*$J$15</f>
        <v>30227.11274</v>
      </c>
      <c r="N50" s="194"/>
      <c r="O50" s="194"/>
      <c r="P50" s="194"/>
      <c r="Q50" s="196">
        <f t="shared" si="45"/>
        <v>0.983880796</v>
      </c>
      <c r="R50" s="197">
        <v>90.0</v>
      </c>
      <c r="S50" s="198">
        <f t="shared" si="44"/>
        <v>90.8</v>
      </c>
      <c r="T50" s="196">
        <f>1/S50*IF($E$29=2,1,0)</f>
        <v>0</v>
      </c>
      <c r="U50" s="199">
        <f t="shared" si="46"/>
        <v>0</v>
      </c>
      <c r="V50" s="194"/>
      <c r="W50" s="194"/>
      <c r="X50" s="196">
        <f>T50*M50</f>
        <v>0</v>
      </c>
      <c r="Y50" s="196">
        <f t="shared" ref="Y50:Y51" si="47">X50*(1-$C$144)</f>
        <v>0</v>
      </c>
      <c r="Z50" s="194"/>
      <c r="AA50" s="194"/>
      <c r="AB50" s="194"/>
    </row>
    <row r="51">
      <c r="A51" s="97"/>
      <c r="B51" s="75" t="s">
        <v>128</v>
      </c>
      <c r="C51" s="25">
        <f>IF(ISBLANK(Inputs!H53),Inputs!C53,Inputs!H53)</f>
        <v>1</v>
      </c>
      <c r="D51" s="78"/>
      <c r="E51" s="2"/>
      <c r="G51" s="66" t="s">
        <v>175</v>
      </c>
      <c r="H51" s="253">
        <f>1.31112*1.2*1.25</f>
        <v>1.96668</v>
      </c>
      <c r="I51" s="204">
        <v>1.15</v>
      </c>
      <c r="J51" s="207">
        <f>($J$6*(1+$E$116)*(1+$D$157)+169*15/120*$C$24+$C$14*6)*H51*$J$10*$L$11*I51*(1+0.15*C93)</f>
        <v>14263.10817</v>
      </c>
      <c r="K51" s="196">
        <f>J51*$J$8*0.7*IF($C$152&lt;=5,IF($C$152&lt;3,$C$152,2+IF($C$43&gt;0,$C$152-2,0)*((14-5*C131*E137)/S40)),2+IF($C$43&gt;0,3,0)*((14-5*C131*E137)/S40))*$J$14*(1+0.08*C120*D120)</f>
        <v>74525.799</v>
      </c>
      <c r="L51" s="196">
        <f>K51/IF($C$152&lt;=5,IF($C$152&lt;3,$C$152,2+IF($C$43&gt;0,$C$152-2,0)*((14-5*C131*E137)/S40)),2+IF($C$43&gt;0,3,0)*((14-5*C131*E137)/S40))</f>
        <v>14905.1598</v>
      </c>
      <c r="M51" s="196">
        <f>K51*$L$12+IF($C$152&lt;=5,IF($C$152&lt;3,$C$152,2+IF($C$43&gt;0,$C$152-2,0)*((14-5*C131*E137)/S40)),2+IF($C$43&gt;0,3,0)*((14-5*C131*E137)/S40))*$L$7*0.0025*$C$95</f>
        <v>13787.27282</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5"/>
        <v>0.983880796</v>
      </c>
      <c r="R51" s="194"/>
      <c r="S51" s="194"/>
      <c r="T51" s="196">
        <f>MIN(($L$9+SUM(Z19:Z50)+SUM(Z52:Z76))/(-N51),MAX((1-SUM(U18:U41,U43:U50,U52:U76)+SUM(AA19:AA41,AA43:AA50,AA52:AA76)/O42*Q42)/Q51*(-O42/(O51-O42)),0))</f>
        <v>0.3875695262</v>
      </c>
      <c r="U51" s="199">
        <f t="shared" si="46"/>
        <v>0.381322214</v>
      </c>
      <c r="V51" s="196">
        <f>(T51-T74+3*(1-C131*T38*(8+C110*4))*C116/(9/(1/(0.5+(2/((L14+0.3*(1-(1-(T38*(8+C110*4)))*(1-IF(C127&gt;3,1,0)*(1-0.875^(8*(T40+T43+T51+T57+T63)))))))-1+IF(C152=1,0.5,0))/C152))+9/(1/(0.5+(2/((L14+0.3*(1-(1-(T38*(8+C110*4)))*(1-IF(C127&gt;3,1,0)*(1-0.875^(8*(T40+T43+T51+T57+T63)))))))-1+IF(C152=1,0.5,0))/C152))/2*((0.8/3^(C152-1))/(1-(0.8/3^(C152-1))))+6)+1.5*(1-C131*(T38*(8+C110*4))/(1-(1-(T38*(8+C110*4)))*(1-IF(C127&gt;3,1,0)*(1-0.875^(8*(T40+T43+T51+T57+T63))))))*F127)*K51</f>
        <v>38527.9027</v>
      </c>
      <c r="W51" s="196">
        <f>(T51-T74+3*(1-C131*T38*(8+C110*4))*C116/(9/(1/(0.5+(2/((L14+0.3*(1-(1-(T38*(8+C110*4)))*(1-IF(C127&gt;3,1,0)*(1-0.875^(8*(T40+T43+T51+T57+T63)))))))-1+IF(C152=1,0.5,0))/C152))+9/(1/(0.5+(2/((L14+0.3*(1-(1-(T38*(8+C110*4)))*(1-IF(C127&gt;3,1,0)*(1-0.875^(8*(T40+T43+T51+T57+T63)))))))-1+IF(C152=1,0.5,0))/C152))/2*((0.8/3^(C152-1))/(1-(0.8/3^(C152-1))))+6)+1.5*(1-C131*(T38*(8+C110*4))/(1-(1-(T38*(8+C110*4)))*(1-IF(C127&gt;3,1,0)*(1-0.875^(8*(T40+T43+T51+T57+T63))))))*F127)*L51</f>
        <v>7705.58054</v>
      </c>
      <c r="X51" s="196">
        <f>(T51-T74)*M51</f>
        <v>2759.99009</v>
      </c>
      <c r="Y51" s="196">
        <f t="shared" si="47"/>
        <v>2207.992072</v>
      </c>
      <c r="Z51" s="196">
        <f>T51*N51</f>
        <v>-0.3875695262</v>
      </c>
      <c r="AA51" s="196">
        <f>T51*O51</f>
        <v>9.689238156</v>
      </c>
      <c r="AB51" s="194"/>
    </row>
    <row r="52">
      <c r="A52" s="112" t="s">
        <v>129</v>
      </c>
      <c r="B52" s="75" t="s">
        <v>130</v>
      </c>
      <c r="C52" s="25">
        <f>IF(ISBLANK(Inputs!H54),Inputs!C54,Inputs!H54)</f>
        <v>1</v>
      </c>
      <c r="D52" s="78"/>
      <c r="G52" s="66"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75" t="s">
        <v>132</v>
      </c>
      <c r="C53" s="25">
        <f>IF(ISBLANK(Inputs!H55),Inputs!C55,Inputs!H55)</f>
        <v>0</v>
      </c>
      <c r="D53" s="78"/>
      <c r="G53" s="75" t="s">
        <v>342</v>
      </c>
      <c r="H53" s="27"/>
      <c r="I53" s="194"/>
      <c r="J53" s="207">
        <f>J29*0.2</f>
        <v>4570.534387</v>
      </c>
      <c r="K53" s="196">
        <f>J53*$J$8*IF($C$152&lt;=5,IF($C$152&lt;3,$C$152,IF($C$43&gt;0,$C$152,2)*(14-5*C131*E137)/$S$40+2*($S$40-(14-5*C131*E137))/$S$40),IF($C$43&gt;0,5,2)*(14-5*C131*E137)/$S$40+2*($S$40-(14-5*C131*E137))/$S$40)*$J$14*(1+$C$131*0.05)*(1+0.08*C120*D120)</f>
        <v>35822.0722</v>
      </c>
      <c r="L53" s="196">
        <f>K53/IF($C$152&lt;=5,IF($C$152&lt;3,$C$152,IF($C$43&gt;0,$C$152,2)*(14-5*C131*E137)/$S$40+2*($S$40-(14-5*C131*E137))/$S$40),IF($C$43&gt;0,5,2)*(14-5*C131*E137)/$S$40+2*($S$40-(14-5*C131*E137))/$S$40)</f>
        <v>7164.41444</v>
      </c>
      <c r="M53" s="209">
        <f>K53*$L$12</f>
        <v>6627.083357</v>
      </c>
      <c r="N53" s="194"/>
      <c r="O53" s="194"/>
      <c r="P53" s="194"/>
      <c r="Q53" s="194"/>
      <c r="R53" s="194"/>
      <c r="S53" s="194"/>
      <c r="T53" s="196">
        <f>C131*T74</f>
        <v>0.1873856228</v>
      </c>
      <c r="U53" s="194"/>
      <c r="V53" s="196">
        <f>T53*K53*C131</f>
        <v>6712.54131</v>
      </c>
      <c r="W53" s="196">
        <f>T53*L53*C131</f>
        <v>1342.508262</v>
      </c>
      <c r="X53" s="196">
        <f>T53*M53*C131</f>
        <v>1241.820142</v>
      </c>
      <c r="Y53" s="196">
        <f>X53*(1-$C$144)</f>
        <v>993.4561139</v>
      </c>
      <c r="Z53" s="195"/>
      <c r="AA53" s="195"/>
      <c r="AB53" s="194"/>
    </row>
    <row r="54">
      <c r="A54" s="97"/>
      <c r="B54" s="75" t="s">
        <v>133</v>
      </c>
      <c r="C54" s="25">
        <f>IF(ISBLANK(Inputs!H56),Inputs!C56,Inputs!H56)</f>
        <v>1</v>
      </c>
      <c r="D54" s="78"/>
      <c r="G54" s="75"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75" t="s">
        <v>134</v>
      </c>
      <c r="C55" s="25">
        <f>IF(ISBLANK(Inputs!H57),Inputs!C57,Inputs!H57)</f>
        <v>1</v>
      </c>
      <c r="D55" s="78"/>
      <c r="G55" s="75" t="s">
        <v>204</v>
      </c>
      <c r="H55" s="27"/>
      <c r="I55" s="194"/>
      <c r="J55" s="194"/>
      <c r="K55" s="194"/>
      <c r="L55" s="255"/>
      <c r="M55" s="196">
        <f>M42*0.2/(1+C99*0.08*MIN((T25+C108*T51*(1-(1-0.15)*(1-0.15*MAX(4,C152-1))))/T42*C152,5))</f>
        <v>135630.4264</v>
      </c>
      <c r="N55" s="194"/>
      <c r="O55" s="194"/>
      <c r="P55" s="194"/>
      <c r="Q55" s="194"/>
      <c r="R55" s="194"/>
      <c r="S55" s="194"/>
      <c r="T55" s="196">
        <f>T42*C109</f>
        <v>0.3922519111</v>
      </c>
      <c r="U55" s="194"/>
      <c r="V55" s="255"/>
      <c r="W55" s="255"/>
      <c r="X55" s="196">
        <f t="shared" ref="X55:X57" si="48">T55*M55</f>
        <v>53201.29396</v>
      </c>
      <c r="Y55" s="196">
        <f t="shared" ref="Y55:Y57" si="49">X55*(1-$C$144)</f>
        <v>42561.03517</v>
      </c>
      <c r="Z55" s="195"/>
      <c r="AA55" s="195"/>
      <c r="AB55" s="194"/>
    </row>
    <row r="56">
      <c r="A56" s="97"/>
      <c r="B56" s="75" t="s">
        <v>135</v>
      </c>
      <c r="C56" s="25">
        <f>IF(ISBLANK(Inputs!H58),Inputs!C58,Inputs!H58)</f>
        <v>0</v>
      </c>
      <c r="D56" s="78"/>
      <c r="G56" s="75" t="s">
        <v>344</v>
      </c>
      <c r="H56" s="253">
        <v>4.2</v>
      </c>
      <c r="I56" s="194"/>
      <c r="J56" s="207">
        <f>($J$6*(1+$E$116)*(1+$D$157)+$C$14*6)*H56*$J$10*$L$11</f>
        <v>26486.94834</v>
      </c>
      <c r="K56" s="196">
        <f>J56*$J$8*$C$152/SQRT(MAX(1,$C$152/8))*$J$14*(1+0.08*C120*D120)
</f>
        <v>197708.9591</v>
      </c>
      <c r="L56" s="196">
        <f>K56/$C$152</f>
        <v>39541.79182</v>
      </c>
      <c r="M56" s="196">
        <f t="shared" ref="M56:M57" si="50">K56*$L$12</f>
        <v>36576.15743</v>
      </c>
      <c r="N56" s="194"/>
      <c r="O56" s="194"/>
      <c r="P56" s="194"/>
      <c r="Q56" s="196">
        <f t="shared" ref="Q56:Q57" si="51">1.5/$J$9</f>
        <v>0.983880796</v>
      </c>
      <c r="R56" s="204">
        <v>150.0</v>
      </c>
      <c r="S56" s="198">
        <f>R56+$C$151</f>
        <v>150.8</v>
      </c>
      <c r="T56" s="196">
        <f>1/S56*E31</f>
        <v>0</v>
      </c>
      <c r="U56" s="199">
        <f t="shared" ref="U56:U57" si="52">T56*Q56</f>
        <v>0</v>
      </c>
      <c r="V56" s="196">
        <f t="shared" ref="V56:V57" si="53">T56*K56</f>
        <v>0</v>
      </c>
      <c r="W56" s="196">
        <f t="shared" ref="W56:W57" si="54">T56*L56</f>
        <v>0</v>
      </c>
      <c r="X56" s="196">
        <f t="shared" si="48"/>
        <v>0</v>
      </c>
      <c r="Y56" s="196">
        <f t="shared" si="49"/>
        <v>0</v>
      </c>
      <c r="Z56" s="195"/>
      <c r="AA56" s="195"/>
      <c r="AB56" s="194"/>
    </row>
    <row r="57">
      <c r="A57" s="97"/>
      <c r="B57" s="75" t="s">
        <v>136</v>
      </c>
      <c r="C57" s="25">
        <f>IF(ISBLANK(Inputs!H59),Inputs!C59,Inputs!H59)</f>
        <v>1</v>
      </c>
      <c r="D57" s="78"/>
      <c r="G57" s="66" t="s">
        <v>176</v>
      </c>
      <c r="H57" s="253">
        <f>1.471*1.5</f>
        <v>2.2065</v>
      </c>
      <c r="I57" s="204">
        <v>1.15</v>
      </c>
      <c r="J57" s="207">
        <f>($J$6*(1+$E$116)*(1+$D$157)+169*15/120*$C$24+$C$14*6)*H57*$J$10*$L$11*I57</f>
        <v>16002.37363</v>
      </c>
      <c r="K57" s="196">
        <f>J57*$J$8*0.7*$J$14*(1+0.08*C120*D120)
</f>
        <v>16722.71803</v>
      </c>
      <c r="L57" s="196">
        <f>K57</f>
        <v>16722.71803</v>
      </c>
      <c r="M57" s="196">
        <f t="shared" si="50"/>
        <v>3093.702836</v>
      </c>
      <c r="N57" s="197">
        <v>-2.0</v>
      </c>
      <c r="O57" s="211">
        <f>20</f>
        <v>20</v>
      </c>
      <c r="P57" s="204">
        <v>3.0</v>
      </c>
      <c r="Q57" s="196">
        <f t="shared" si="51"/>
        <v>0.983880796</v>
      </c>
      <c r="R57" s="194"/>
      <c r="S57" s="194"/>
      <c r="T57" s="196">
        <f>MAX((L15-SUM(AB19:AB56)-SUM(AB58:AB76))/3,T47)</f>
        <v>0.0906193372</v>
      </c>
      <c r="U57" s="199">
        <f t="shared" si="52"/>
        <v>0.08915862562</v>
      </c>
      <c r="V57" s="196">
        <f t="shared" si="53"/>
        <v>1515.401624</v>
      </c>
      <c r="W57" s="196">
        <f t="shared" si="54"/>
        <v>1515.401624</v>
      </c>
      <c r="X57" s="196">
        <f t="shared" si="48"/>
        <v>280.3493005</v>
      </c>
      <c r="Y57" s="196">
        <f t="shared" si="49"/>
        <v>224.2794404</v>
      </c>
      <c r="Z57" s="196">
        <f>(T57-T47/(2))*N57</f>
        <v>-0.1702254585</v>
      </c>
      <c r="AA57" s="196">
        <f t="shared" ref="AA57:AA58" si="55">T57*O57</f>
        <v>1.812386744</v>
      </c>
      <c r="AB57" s="196">
        <f>P57*T57</f>
        <v>0.2718580116</v>
      </c>
    </row>
    <row r="58">
      <c r="A58" s="97"/>
      <c r="B58" s="75" t="s">
        <v>137</v>
      </c>
      <c r="C58" s="25">
        <f>IF(ISBLANK(Inputs!H60),Inputs!C60,Inputs!H60)</f>
        <v>0</v>
      </c>
      <c r="D58" s="78"/>
      <c r="G58" s="75"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5"/>
        <v>0</v>
      </c>
      <c r="AB58" s="194"/>
    </row>
    <row r="59">
      <c r="A59" s="112" t="s">
        <v>138</v>
      </c>
      <c r="B59" s="75" t="s">
        <v>139</v>
      </c>
      <c r="C59" s="25">
        <f>IF(ISBLANK(Inputs!H61),Inputs!C61,Inputs!H61)</f>
        <v>1</v>
      </c>
      <c r="D59" s="25">
        <f>IF(ISBLANK(Inputs!I61),Inputs!D61,Inputs!I61)</f>
        <v>0.9</v>
      </c>
      <c r="E59" s="2"/>
      <c r="G59" s="75" t="s">
        <v>249</v>
      </c>
      <c r="H59" s="27"/>
      <c r="I59" s="278"/>
      <c r="J59" s="194"/>
      <c r="K59" s="256">
        <f>SUM(V25,V26,K28/10*C118,V29,V35,V40,V43,V53,K68/10*C123,IF(C131=1,V74*T51/T74,0))*10*0.15*0.15*$C$152/SQRT(MAX(1,$C$152/8))*(1+$C$131*0.05*MIN(1,5/$C$152))*J10*(1+0.08*C120*D120)</f>
        <v>185218.9615</v>
      </c>
      <c r="L59" s="209">
        <f>K59/$C$152</f>
        <v>37043.79229</v>
      </c>
      <c r="M59" s="196">
        <f>K59/((1+$C$131*0.05*MIN(1,5/$C$152)))/$C$152</f>
        <v>35279.80218</v>
      </c>
      <c r="N59" s="195"/>
      <c r="O59" s="195"/>
      <c r="P59" s="194"/>
      <c r="Q59" s="194"/>
      <c r="R59" s="194"/>
      <c r="S59" s="194"/>
      <c r="T59" s="196">
        <f>T24*C131*E141</f>
        <v>0.01101321586</v>
      </c>
      <c r="U59" s="278"/>
      <c r="V59" s="196">
        <f>T59*K59</f>
        <v>2039.856404</v>
      </c>
      <c r="W59" s="196">
        <f>T59*L59</f>
        <v>407.9712807</v>
      </c>
      <c r="X59" s="196">
        <f>T59*M59</f>
        <v>388.5440769</v>
      </c>
      <c r="Y59" s="196">
        <f>X59*(1-$C$144)</f>
        <v>310.8352615</v>
      </c>
      <c r="Z59" s="194"/>
      <c r="AA59" s="194"/>
      <c r="AB59" s="194"/>
    </row>
    <row r="60">
      <c r="A60" s="97"/>
      <c r="B60" s="75" t="s">
        <v>140</v>
      </c>
      <c r="C60" s="25">
        <f>IF(ISBLANK(Inputs!H62),Inputs!C62,Inputs!H62)</f>
        <v>1</v>
      </c>
      <c r="D60" s="78"/>
      <c r="G60" s="75" t="s">
        <v>133</v>
      </c>
      <c r="H60" s="27"/>
      <c r="I60" s="278"/>
      <c r="J60" s="194"/>
      <c r="K60" s="194"/>
      <c r="L60" s="195"/>
      <c r="M60" s="196">
        <f>K23*0.5*(1+0.15*C46)*(1+C130)</f>
        <v>9638.311756</v>
      </c>
      <c r="N60" s="195"/>
      <c r="O60" s="195"/>
      <c r="P60" s="194"/>
      <c r="Q60" s="194"/>
      <c r="R60" s="194"/>
      <c r="S60" s="194"/>
      <c r="T60" s="196">
        <f>T23*C54</f>
        <v>0.7253739295</v>
      </c>
      <c r="U60" s="278"/>
      <c r="V60" s="194"/>
      <c r="W60" s="194"/>
      <c r="X60" s="196">
        <f>T60*M60+C130*T47*(K46+K47)*0.1*(1+0.15*C46)*C54</f>
        <v>6991.380072</v>
      </c>
      <c r="Y60" s="196">
        <f>X60</f>
        <v>6991.380072</v>
      </c>
      <c r="Z60" s="194"/>
      <c r="AA60" s="194"/>
      <c r="AB60" s="194"/>
    </row>
    <row r="61">
      <c r="A61" s="97"/>
      <c r="B61" s="75" t="s">
        <v>141</v>
      </c>
      <c r="C61" s="25">
        <f>IF(ISBLANK(Inputs!H63),Inputs!C63,Inputs!H63)</f>
        <v>1</v>
      </c>
      <c r="D61" s="25">
        <f>IF(ISBLANK(Inputs!I63),Inputs!D63,Inputs!I63)</f>
        <v>0</v>
      </c>
      <c r="G61" s="75" t="s">
        <v>111</v>
      </c>
      <c r="H61" s="218">
        <f>0.5875*2/6*1.075</f>
        <v>0.2105208333</v>
      </c>
      <c r="I61" s="204">
        <v>1.0</v>
      </c>
      <c r="J61" s="219">
        <f>($J$6*(1+$E$116)*(1+$D$157)+169*15/120*$C$24+$C$14*6)*H61*$J$10*$L$11*I61*(1+0.01*C24)</f>
        <v>1327.632009</v>
      </c>
      <c r="K61" s="196">
        <f>J61*$J$8*0.7*(INT($J$9*60/2+1)+(60*$J$9*10+25)/40*1.35)*$J$14*(1+$C$131*0.05)</f>
        <v>109703.9865</v>
      </c>
      <c r="L61" s="196">
        <f t="shared" ref="L61:L65" si="56">K61</f>
        <v>109703.9865</v>
      </c>
      <c r="M61" s="195"/>
      <c r="N61" s="195"/>
      <c r="O61" s="195"/>
      <c r="P61" s="194"/>
      <c r="Q61" s="194"/>
      <c r="R61" s="197">
        <v>120.0</v>
      </c>
      <c r="S61" s="256">
        <f>120-30*C130*C138</f>
        <v>120</v>
      </c>
      <c r="T61" s="196">
        <f>1/S61*C40</f>
        <v>0.008333333333</v>
      </c>
      <c r="U61" s="194"/>
      <c r="V61" s="196">
        <f t="shared" ref="V61:V65" si="57">T61*K61</f>
        <v>914.1998878</v>
      </c>
      <c r="W61" s="196">
        <f t="shared" ref="W61:W65" si="58">T61*L61</f>
        <v>914.1998878</v>
      </c>
      <c r="X61" s="194"/>
      <c r="Y61" s="194"/>
      <c r="Z61" s="194"/>
      <c r="AA61" s="194"/>
      <c r="AB61" s="194"/>
    </row>
    <row r="62">
      <c r="A62" s="97"/>
      <c r="B62" s="75" t="s">
        <v>142</v>
      </c>
      <c r="C62" s="25">
        <f>IF(ISBLANK(Inputs!H64),Inputs!C64,Inputs!H64)</f>
        <v>0</v>
      </c>
      <c r="D62" s="78"/>
      <c r="G62" s="75" t="s">
        <v>72</v>
      </c>
      <c r="H62" s="253">
        <v>0.01127</v>
      </c>
      <c r="I62" s="204">
        <v>1.15</v>
      </c>
      <c r="J62" s="207">
        <f>($J$6*(1+$E$116)*(1+$D$157)+169*15/120*$C$24+$C$14*6)*H62*$J$10*$L$11*I62*(1+0.01*E25)</f>
        <v>81.73430809</v>
      </c>
      <c r="K62" s="209">
        <f>J62*$J$8*$J$14*(1+0.2*C63)*(1+0.08*C120*D120)*(1+0.15*$B$19*(1+0.2*$C$63))</f>
        <v>146.4232551</v>
      </c>
      <c r="L62" s="196">
        <f t="shared" si="56"/>
        <v>146.4232551</v>
      </c>
      <c r="M62" s="196">
        <f t="shared" ref="M62:M65" si="59">K62*$L$12</f>
        <v>27.08830219</v>
      </c>
      <c r="N62" s="194"/>
      <c r="O62" s="194"/>
      <c r="P62" s="194"/>
      <c r="Q62" s="194"/>
      <c r="R62" s="194"/>
      <c r="S62" s="194"/>
      <c r="T62" s="196">
        <f>$B$19*(T23+T35*$C$152+T42*MIN((C152-1)*C106+1,2*C106+1)+T51*IF($C$152&lt;=5,IF($C$152&lt;3,$C$152,2+IF(C43&gt;0,$C$152-2,0)*10/S40+2*(S40-10)/S40),2+IF(C43&gt;0,3,0)*10/S40+2*(S40-10)/S40)+T57)</f>
        <v>0</v>
      </c>
      <c r="U62" s="194"/>
      <c r="V62" s="196">
        <f t="shared" si="57"/>
        <v>0</v>
      </c>
      <c r="W62" s="196">
        <f t="shared" si="58"/>
        <v>0</v>
      </c>
      <c r="X62" s="196">
        <f t="shared" ref="X62:X66" si="60">T62*M62</f>
        <v>0</v>
      </c>
      <c r="Y62" s="196">
        <f t="shared" ref="Y62:Y66" si="61">X62*(1-$C$144)</f>
        <v>0</v>
      </c>
      <c r="Z62" s="194"/>
      <c r="AA62" s="194"/>
      <c r="AB62" s="194"/>
    </row>
    <row r="63">
      <c r="A63" s="97"/>
      <c r="B63" s="75" t="s">
        <v>143</v>
      </c>
      <c r="C63" s="25">
        <f>IF(ISBLANK(Inputs!H65),Inputs!C65,Inputs!H65)</f>
        <v>1</v>
      </c>
      <c r="D63" s="78"/>
      <c r="G63" s="75" t="s">
        <v>345</v>
      </c>
      <c r="H63" s="253">
        <f>3.07125*1.2*1.2</f>
        <v>4.4226</v>
      </c>
      <c r="I63" s="204">
        <v>1.15</v>
      </c>
      <c r="J63" s="207">
        <f>($J$6*(1+$E$116)*(1+$D$157)+169*15/120*$C$24+$C$14*6)*H63*$J$10*$L$11*I63*(1+0.01*E25)*1.05</f>
        <v>33678.0886</v>
      </c>
      <c r="K63" s="196">
        <f>J63*$J$8*$J$14*(1+0.15*$B$19*(1+0.2*$C$63))*(1+0.08*C120*D120)</f>
        <v>50277.28944</v>
      </c>
      <c r="L63" s="196">
        <f t="shared" si="56"/>
        <v>50277.28944</v>
      </c>
      <c r="M63" s="196">
        <f t="shared" si="59"/>
        <v>9301.298547</v>
      </c>
      <c r="N63" s="197">
        <v>-2.0</v>
      </c>
      <c r="O63" s="211">
        <f>20</f>
        <v>20</v>
      </c>
      <c r="P63" s="204">
        <f>3</f>
        <v>3</v>
      </c>
      <c r="Q63" s="196">
        <f>1.5/$J$9</f>
        <v>0.983880796</v>
      </c>
      <c r="R63" s="204">
        <v>45.0</v>
      </c>
      <c r="S63" s="198">
        <f>2*R63/(2+C137)+$C$151</f>
        <v>45.8</v>
      </c>
      <c r="T63" s="196">
        <f>1/S63*C130</f>
        <v>0</v>
      </c>
      <c r="U63" s="199">
        <f>T63*Q63</f>
        <v>0</v>
      </c>
      <c r="V63" s="196">
        <f t="shared" si="57"/>
        <v>0</v>
      </c>
      <c r="W63" s="196">
        <f t="shared" si="58"/>
        <v>0</v>
      </c>
      <c r="X63" s="196">
        <f t="shared" si="60"/>
        <v>0</v>
      </c>
      <c r="Y63" s="196">
        <f t="shared" si="61"/>
        <v>0</v>
      </c>
      <c r="Z63" s="196">
        <f>T63*N63</f>
        <v>0</v>
      </c>
      <c r="AA63" s="196">
        <f>T63*O63</f>
        <v>0</v>
      </c>
      <c r="AB63" s="196">
        <f>P63*T63</f>
        <v>0</v>
      </c>
    </row>
    <row r="64">
      <c r="A64" s="112" t="s">
        <v>144</v>
      </c>
      <c r="B64" s="75" t="s">
        <v>145</v>
      </c>
      <c r="C64" s="25">
        <f>IF(ISBLANK(Inputs!H66),Inputs!C66,Inputs!H66)</f>
        <v>0</v>
      </c>
      <c r="D64" s="78"/>
      <c r="G64" s="75" t="s">
        <v>346</v>
      </c>
      <c r="H64" s="253">
        <f>0.3779*1.2</f>
        <v>0.45348</v>
      </c>
      <c r="I64" s="204">
        <v>1.15</v>
      </c>
      <c r="J64" s="207">
        <f>($J$6*(1+$E$116)*(1+$D$157)+169*15/120*$C$24+$C$14*6)*H64*$J$10*$L$11*I64*(1+0.01*E25)*1.05</f>
        <v>3453.249133</v>
      </c>
      <c r="K64" s="196">
        <f>J64*$J$8*$J$14*(1+0.15*$B$19*(1+0.2*$C$63))*$H$134*(1+0.15)*(1+0.05*(1+H8))*(1+0.08*C120*D120)</f>
        <v>251599.6168</v>
      </c>
      <c r="L64" s="196">
        <f t="shared" si="56"/>
        <v>251599.6168</v>
      </c>
      <c r="M64" s="196">
        <f t="shared" si="59"/>
        <v>46545.92912</v>
      </c>
      <c r="N64" s="194"/>
      <c r="O64" s="194"/>
      <c r="P64" s="194"/>
      <c r="Q64" s="194"/>
      <c r="R64" s="194"/>
      <c r="S64" s="194"/>
      <c r="T64" s="196">
        <f>T63</f>
        <v>0</v>
      </c>
      <c r="U64" s="194"/>
      <c r="V64" s="196">
        <f t="shared" si="57"/>
        <v>0</v>
      </c>
      <c r="W64" s="196">
        <f t="shared" si="58"/>
        <v>0</v>
      </c>
      <c r="X64" s="196">
        <f t="shared" si="60"/>
        <v>0</v>
      </c>
      <c r="Y64" s="196">
        <f t="shared" si="61"/>
        <v>0</v>
      </c>
      <c r="Z64" s="194"/>
      <c r="AA64" s="194"/>
      <c r="AB64" s="194"/>
    </row>
    <row r="65">
      <c r="A65" s="97"/>
      <c r="B65" s="75" t="s">
        <v>146</v>
      </c>
      <c r="C65" s="25">
        <f>IF(ISBLANK(Inputs!H67),Inputs!C67,Inputs!H67)</f>
        <v>0</v>
      </c>
      <c r="D65" s="78"/>
      <c r="G65" s="66" t="s">
        <v>347</v>
      </c>
      <c r="H65" s="263">
        <v>0.5</v>
      </c>
      <c r="I65" s="194"/>
      <c r="J65" s="219">
        <f>(360+343*0.429/0.5*(1+0.05*C21)+$J$6*(1+$E$116)*(1+$D$157)+$C$14*6)*H65*$J$10*$L$11</f>
        <v>3652.436705</v>
      </c>
      <c r="K65" s="209">
        <f>J65*$J$8*$J$14*(1+0.08*C120*D120)</f>
        <v>5452.643693</v>
      </c>
      <c r="L65" s="196">
        <f t="shared" si="56"/>
        <v>5452.643693</v>
      </c>
      <c r="M65" s="196">
        <f t="shared" si="59"/>
        <v>1008.739083</v>
      </c>
      <c r="N65" s="194"/>
      <c r="O65" s="194"/>
      <c r="P65" s="194"/>
      <c r="Q65" s="196">
        <f>1.5/$J$9</f>
        <v>0.983880796</v>
      </c>
      <c r="R65" s="197">
        <v>90.0</v>
      </c>
      <c r="S65" s="198">
        <f>R65+$C$151</f>
        <v>90.8</v>
      </c>
      <c r="T65" s="196">
        <f>1/S65*C29</f>
        <v>0</v>
      </c>
      <c r="U65" s="199">
        <f>T65*Q65</f>
        <v>0</v>
      </c>
      <c r="V65" s="196">
        <f t="shared" si="57"/>
        <v>0</v>
      </c>
      <c r="W65" s="196">
        <f t="shared" si="58"/>
        <v>0</v>
      </c>
      <c r="X65" s="196">
        <f t="shared" si="60"/>
        <v>0</v>
      </c>
      <c r="Y65" s="196">
        <f t="shared" si="61"/>
        <v>0</v>
      </c>
      <c r="Z65" s="194"/>
      <c r="AA65" s="194"/>
      <c r="AB65" s="194"/>
    </row>
    <row r="66">
      <c r="A66" s="97"/>
      <c r="B66" s="75" t="s">
        <v>147</v>
      </c>
      <c r="C66" s="25">
        <f>IF(ISBLANK(Inputs!H68),Inputs!C68,Inputs!H68)</f>
        <v>1</v>
      </c>
      <c r="D66" s="78"/>
      <c r="E66" s="2"/>
      <c r="G66" s="75" t="s">
        <v>348</v>
      </c>
      <c r="H66" s="27"/>
      <c r="I66" s="194"/>
      <c r="J66" s="194"/>
      <c r="K66" s="194"/>
      <c r="L66" s="194"/>
      <c r="M66" s="196">
        <f>$L$7*0.48*(1+0.2*C63)</f>
        <v>969347.2896</v>
      </c>
      <c r="N66" s="194"/>
      <c r="O66" s="194"/>
      <c r="P66" s="194"/>
      <c r="Q66" s="194"/>
      <c r="R66" s="204">
        <v>360.0</v>
      </c>
      <c r="S66" s="204">
        <v>360.0</v>
      </c>
      <c r="T66" s="196">
        <f>1/S66*C19</f>
        <v>0.002777777778</v>
      </c>
      <c r="U66" s="194"/>
      <c r="V66" s="194"/>
      <c r="W66" s="194"/>
      <c r="X66" s="196">
        <f t="shared" si="60"/>
        <v>2692.63136</v>
      </c>
      <c r="Y66" s="196">
        <f t="shared" si="61"/>
        <v>2154.105088</v>
      </c>
      <c r="Z66" s="194"/>
      <c r="AA66" s="194"/>
      <c r="AB66" s="194"/>
    </row>
    <row r="67">
      <c r="A67" s="97"/>
      <c r="B67" s="75" t="s">
        <v>148</v>
      </c>
      <c r="C67" s="25">
        <f>IF(ISBLANK(Inputs!H69),Inputs!C69,Inputs!H69)</f>
        <v>1</v>
      </c>
      <c r="D67" s="78"/>
      <c r="E67" s="2"/>
      <c r="G67" s="75" t="s">
        <v>113</v>
      </c>
      <c r="H67" s="27"/>
      <c r="I67" s="194"/>
      <c r="J67" s="194"/>
      <c r="K67" s="194"/>
      <c r="L67" s="194"/>
      <c r="M67" s="194"/>
      <c r="N67" s="194"/>
      <c r="O67" s="211">
        <v>3.0</v>
      </c>
      <c r="P67" s="194"/>
      <c r="Q67" s="194"/>
      <c r="R67" s="285">
        <f>60/10.8</f>
        <v>5.555555556</v>
      </c>
      <c r="S67" s="198">
        <f>1/(10.8*J9*1.13/60)</f>
        <v>3.22478137</v>
      </c>
      <c r="T67" s="196">
        <f>1/S67*C41</f>
        <v>0.3100985417</v>
      </c>
      <c r="U67" s="194"/>
      <c r="V67" s="194"/>
      <c r="W67" s="194"/>
      <c r="X67" s="194"/>
      <c r="Y67" s="194"/>
      <c r="Z67" s="194"/>
      <c r="AA67" s="196">
        <f>T67*O67</f>
        <v>0.930295625</v>
      </c>
      <c r="AB67" s="194"/>
    </row>
    <row r="68">
      <c r="A68" s="97"/>
      <c r="B68" s="75" t="s">
        <v>149</v>
      </c>
      <c r="C68" s="25">
        <f>IF(ISBLANK(Inputs!H70),Inputs!C70,Inputs!H70)</f>
        <v>1</v>
      </c>
      <c r="D68" s="78"/>
      <c r="G68" s="75" t="s">
        <v>220</v>
      </c>
      <c r="H68" s="253">
        <v>2.76</v>
      </c>
      <c r="I68" s="194"/>
      <c r="J68" s="207">
        <f>($J$6*(1+$E$116)*(1+$D$157)+169*15/120*$C$24+$C$14*6)*H68*$J$10*$L$11*(1+0.01*$E$25)</f>
        <v>17405.70891</v>
      </c>
      <c r="K68" s="196">
        <f>J68*$J$8*$J$14*(1+$C$131*0.05*MIN(1,5/$C$152))*$C$152/SQRT(MAX(1,$C$152/8))*(1+0.02*-AA42*8*((O42-5*IF(C42&gt;0,1,0))/O42))*(1+0.08*C120*D120)</f>
        <v>478887.5642</v>
      </c>
      <c r="L68" s="209">
        <f t="shared" ref="L68:L69" si="62">K68/$C$152</f>
        <v>95777.51284</v>
      </c>
      <c r="M68" s="196">
        <f>K68*(0.18+$L$12)</f>
        <v>174793.9609</v>
      </c>
      <c r="N68" s="194"/>
      <c r="O68" s="194"/>
      <c r="P68" s="194"/>
      <c r="Q68" s="194"/>
      <c r="R68" s="194"/>
      <c r="S68" s="194"/>
      <c r="T68" s="196">
        <f>T28*C123</f>
        <v>0</v>
      </c>
      <c r="U68" s="194"/>
      <c r="V68" s="196">
        <f t="shared" ref="V68:V69" si="63">T68*K68</f>
        <v>0</v>
      </c>
      <c r="W68" s="196">
        <f t="shared" ref="W68:W69" si="64">T68*L68</f>
        <v>0</v>
      </c>
      <c r="X68" s="196">
        <f t="shared" ref="X68:X69" si="65">T68*M68</f>
        <v>0</v>
      </c>
      <c r="Y68" s="196">
        <f t="shared" ref="Y68:Y69" si="66">X68*(1-$C$144)</f>
        <v>0</v>
      </c>
      <c r="Z68" s="194"/>
      <c r="AA68" s="194"/>
      <c r="AB68" s="194"/>
    </row>
    <row r="69">
      <c r="A69" s="97"/>
      <c r="B69" s="75" t="s">
        <v>151</v>
      </c>
      <c r="C69" s="25">
        <f>IF(ISBLANK(Inputs!H71),Inputs!C71,Inputs!H71)</f>
        <v>1</v>
      </c>
      <c r="D69" s="78"/>
      <c r="G69" s="75" t="s">
        <v>349</v>
      </c>
      <c r="H69" s="27"/>
      <c r="I69" s="204">
        <v>1.15</v>
      </c>
      <c r="J69" s="194"/>
      <c r="K69" s="196">
        <f>K64*1/10*($C$152-1)*$I$69*1.05*IF(D100=2,(1+0.06*C119*(1-T40*(1-(0.75)^((5+(H15/2))/H15))/(1+3*(1-(0.75)^((5+(H15/2))/H15))*C82)/(1-(0.75)^((5+(H15/2))/H15)))),(1+0.06*(14-5*C131*E137)*C119*(1/S40)))</f>
        <v>128813.9718</v>
      </c>
      <c r="L69" s="196">
        <f t="shared" si="62"/>
        <v>25762.79437</v>
      </c>
      <c r="M69" s="196">
        <f>K69*$L$12</f>
        <v>23830.58479</v>
      </c>
      <c r="N69" s="194"/>
      <c r="O69" s="194"/>
      <c r="P69" s="194"/>
      <c r="Q69" s="194"/>
      <c r="R69" s="194"/>
      <c r="S69" s="194"/>
      <c r="T69" s="196">
        <f>T64</f>
        <v>0</v>
      </c>
      <c r="U69" s="194"/>
      <c r="V69" s="196">
        <f t="shared" si="63"/>
        <v>0</v>
      </c>
      <c r="W69" s="196">
        <f t="shared" si="64"/>
        <v>0</v>
      </c>
      <c r="X69" s="196">
        <f t="shared" si="65"/>
        <v>0</v>
      </c>
      <c r="Y69" s="196">
        <f t="shared" si="66"/>
        <v>0</v>
      </c>
      <c r="Z69" s="194"/>
      <c r="AA69" s="194"/>
      <c r="AB69" s="194"/>
    </row>
    <row r="70">
      <c r="A70" s="112" t="s">
        <v>152</v>
      </c>
      <c r="B70" s="75" t="s">
        <v>153</v>
      </c>
      <c r="C70" s="25">
        <f>IF(ISBLANK(Inputs!H72),Inputs!C72,Inputs!H72)</f>
        <v>0</v>
      </c>
      <c r="D70" s="78"/>
      <c r="E70" s="2"/>
      <c r="G70" s="75"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75" t="s">
        <v>154</v>
      </c>
      <c r="C71" s="25">
        <f>IF(ISBLANK(Inputs!H73),Inputs!C73,Inputs!H73)</f>
        <v>1</v>
      </c>
      <c r="D71" s="78"/>
      <c r="G71" s="66" t="s">
        <v>351</v>
      </c>
      <c r="H71" s="263">
        <f>1.25*0.25</f>
        <v>0.3125</v>
      </c>
      <c r="I71" s="194"/>
      <c r="J71" s="207">
        <f>($J$6*(1+$E$116)*(1+$D$157)+$C$14*6)*H71*$J$10*$L$11</f>
        <v>1970.755085</v>
      </c>
      <c r="K71" s="196">
        <f>J71*$J$8*$J$14*(1+0.08*C120*D120)*(1+$C$131*0.05*MIN(1,5/$C$152))</f>
        <v>3089.202486</v>
      </c>
      <c r="L71" s="196">
        <f>K71</f>
        <v>3089.202486</v>
      </c>
      <c r="M71" s="196">
        <f>K71*(1+$L$12)</f>
        <v>3660.704946</v>
      </c>
      <c r="N71" s="194"/>
      <c r="O71" s="194"/>
      <c r="P71" s="194"/>
      <c r="Q71" s="195"/>
      <c r="R71" s="197">
        <v>15.0</v>
      </c>
      <c r="S71" s="288">
        <f>15</f>
        <v>15</v>
      </c>
      <c r="T71" s="196">
        <f>1/S71*C25</f>
        <v>0</v>
      </c>
      <c r="U71" s="222"/>
      <c r="V71" s="196">
        <f>T71*K71</f>
        <v>0</v>
      </c>
      <c r="W71" s="196">
        <f>T71*L71</f>
        <v>0</v>
      </c>
      <c r="X71" s="196">
        <f t="shared" ref="X71:X75" si="67">T71*M71</f>
        <v>0</v>
      </c>
      <c r="Y71" s="196">
        <f>X71*(1-$C$144)</f>
        <v>0</v>
      </c>
      <c r="Z71" s="194"/>
      <c r="AA71" s="194"/>
      <c r="AB71" s="194"/>
    </row>
    <row r="72">
      <c r="A72" s="98"/>
      <c r="B72" s="75" t="s">
        <v>155</v>
      </c>
      <c r="C72" s="25">
        <f>IF(ISBLANK(Inputs!H74),Inputs!C74,Inputs!H74)</f>
        <v>0</v>
      </c>
      <c r="D72" s="78"/>
      <c r="E72" s="2"/>
      <c r="G72" s="75" t="s">
        <v>223</v>
      </c>
      <c r="H72" s="27"/>
      <c r="I72" s="194"/>
      <c r="J72" s="194"/>
      <c r="K72" s="194"/>
      <c r="L72" s="194"/>
      <c r="M72" s="196">
        <f>MIN(L7,V29*(10+2*C92)*6)*J10*(1+0.15*C46)</f>
        <v>1508626.039</v>
      </c>
      <c r="N72" s="194"/>
      <c r="O72" s="194"/>
      <c r="P72" s="194"/>
      <c r="Q72" s="194"/>
      <c r="R72" s="194"/>
      <c r="S72" s="194"/>
      <c r="T72" s="196">
        <f>T76*C126</f>
        <v>0.04597794765</v>
      </c>
      <c r="U72" s="194"/>
      <c r="V72" s="194"/>
      <c r="W72" s="194"/>
      <c r="X72" s="196">
        <f t="shared" si="67"/>
        <v>69363.52907</v>
      </c>
      <c r="Y72" s="196">
        <f>X72</f>
        <v>69363.52907</v>
      </c>
      <c r="Z72" s="194"/>
      <c r="AA72" s="194"/>
      <c r="AB72" s="194"/>
    </row>
    <row r="73">
      <c r="A73" s="112" t="s">
        <v>156</v>
      </c>
      <c r="B73" s="75" t="s">
        <v>157</v>
      </c>
      <c r="C73" s="25">
        <f>IF(ISBLANK(Inputs!H75),Inputs!C75,Inputs!H75)</f>
        <v>0</v>
      </c>
      <c r="D73" s="78"/>
      <c r="G73" s="66" t="s">
        <v>352</v>
      </c>
      <c r="H73" s="27"/>
      <c r="I73" s="194"/>
      <c r="J73" s="194"/>
      <c r="K73" s="194"/>
      <c r="L73" s="194"/>
      <c r="M73" s="196">
        <f>$L$7*0.04*(1+0.2*C63)</f>
        <v>80778.9408</v>
      </c>
      <c r="N73" s="194"/>
      <c r="O73" s="194"/>
      <c r="P73" s="194"/>
      <c r="Q73" s="194"/>
      <c r="R73" s="197">
        <f>60/3</f>
        <v>20</v>
      </c>
      <c r="S73" s="196">
        <f>R73/1.13/$J$9</f>
        <v>11.60921293</v>
      </c>
      <c r="T73" s="196">
        <f>1/S73*B21</f>
        <v>0</v>
      </c>
      <c r="U73" s="194"/>
      <c r="V73" s="194"/>
      <c r="W73" s="194"/>
      <c r="X73" s="196">
        <f t="shared" si="67"/>
        <v>0</v>
      </c>
      <c r="Y73" s="196">
        <f t="shared" ref="Y73:Y75" si="68">X73*(1-$C$144)</f>
        <v>0</v>
      </c>
      <c r="Z73" s="194"/>
      <c r="AA73" s="194"/>
      <c r="AB73" s="194"/>
    </row>
    <row r="74">
      <c r="A74" s="97"/>
      <c r="B74" s="75" t="s">
        <v>158</v>
      </c>
      <c r="C74" s="25">
        <f>IF(ISBLANK(Inputs!H76),Inputs!C76,Inputs!H76)</f>
        <v>1</v>
      </c>
      <c r="D74" s="78"/>
      <c r="G74" s="75" t="s">
        <v>353</v>
      </c>
      <c r="H74" s="289">
        <f>0.907*1.25</f>
        <v>1.13375</v>
      </c>
      <c r="I74" s="204">
        <v>1.15</v>
      </c>
      <c r="J74" s="207">
        <f>($J$6*(1+$E$116)*(1+$D$157)+169*15/120*$C$24+$C$14*6)*H74*$J$10*$L$11*I74*(1+0.15*C93)*(1+0.01*$E$25)*(1+0.1*C43)</f>
        <v>9044.622802</v>
      </c>
      <c r="K74" s="196">
        <f>J74*$J$8*IF($C$152&lt;=5,IF($C$152&lt;3,$C$152,IF($C$43&gt;0,$C$152,2)*(14-5*C131*E137)/$S$40+2*($S$40-(14-5*C131*E137))/$S$40),IF($C$43&gt;0,5,2)*(14-5*C131*E137)/$S$40+2*($S$40-(14-5*C131*E137))/$S$40)*$J$14*(1+$C$131*0.2)*(1+0.08*C120*D120)</f>
        <v>81015.12956</v>
      </c>
      <c r="L74" s="196">
        <f>K74/IF($C$152&lt;=5,IF($C$152&lt;3,$C$152,IF($C$43&gt;0,$C$152,2)*(14-5*C131*E137)/$S$40+2*($S$40-(14-5*C131*E137))/$S$40),IF($C$43&gt;0,5,2)*(14-5*C131*E137)/$S$40+2*($S$40-(14-5*C131*E137))/$S$40)</f>
        <v>16203.02591</v>
      </c>
      <c r="M74" s="196">
        <f>K74*$L$12+IF($C$152&lt;=5,IF($C$152&lt;3,$C$152,IF($C$43&gt;0,$C$152,2)*(14-5*C131*E137)/$S$40+2*($S$40-(14-5*C131*E137))/$S$40),IF($C$43&gt;0,5,2)*(14-5*C131*E137)/$S$40+2*($S$40-(14-5*C131*E137))/$S$40)*$L$7*0.0025*$C$95+$L$7*0.02*$J$10</f>
        <v>58085.48309</v>
      </c>
      <c r="N74" s="194"/>
      <c r="O74" s="194"/>
      <c r="P74" s="194"/>
      <c r="Q74" s="194"/>
      <c r="R74" s="194"/>
      <c r="S74" s="194"/>
      <c r="T74" s="196">
        <f>C131*((T38*(8+C110*4))*T51+(1-T38*(8+C110*4))*((0.35+0.05*14/S40*E136)*T42+(E140*0.35*0.15)*T42))</f>
        <v>0.1873856228</v>
      </c>
      <c r="U74" s="194"/>
      <c r="V74" s="196">
        <f>(T74+(C131*T38*(8+C110*4))*C116/(9/(1/(0.5+(2/((L14+0.3*(1-(1-(T38*(8+C110*4)))*(1-IF(C127&gt;3,1,0)*(1-0.875^(8*(T40+T43+T51+T57+T63)))))))-1+IF(C152=1,0.5,0))/C152))+9/(1/(0.5+(2/((L14+0.3*(1-(1-(T38*(8+C110*4)))*(1-IF(C127&gt;3,1,0)*(1-0.875^(8*(T40+T43+T51+T57+T63)))))))-1+IF(C152=1,0.5,0))/C152))/2*((0.8/3^(C152-1))/(1-(0.8/3^(C152-1))))+6)+1.5*C131*F127*((T38*(8+C110*4))/(1-(1-(T38*(8+C110*4)))*(1-IF(C127&gt;3,1,0)*(1-0.875^(8*(T40+T43+T51+T57+T63)))))))*K74</f>
        <v>20193.0265</v>
      </c>
      <c r="W74" s="196">
        <f>(T74+(C131*T38*(8+C110*4))*C116/(9/(1/(0.5+(2/((L14+0.3*(1-(1-(T38*(8+C110*4)))*(1-IF(C127&gt;3,1,0)*(1-0.875^(8*(T40+T43+T51+T57+T63)))))))-1+IF(C152=1,0.5,0))/C152))+9/(1/(0.5+(2/((L14+0.3*(1-(1-(T38*(8+C110*4)))*(1-IF(C127&gt;3,1,0)*(1-0.875^(8*(T40+T43+T51+T57+T63)))))))-1+IF(C152=1,0.5,0))/C152))/2*((0.8/3^(C152-1))/(1-(0.8/3^(C152-1))))+6)+1.5*C131*F127*((T38*(8+C110*4))/(1-(1-(T38*(8+C110*4)))*(1-IF(C127&gt;3,1,0)*(1-0.875^(8*(T40+T43+T51+T57+T63)))))))*L74</f>
        <v>4038.6053</v>
      </c>
      <c r="X74" s="196">
        <f t="shared" si="67"/>
        <v>10884.38442</v>
      </c>
      <c r="Y74" s="196">
        <f t="shared" si="68"/>
        <v>8707.50754</v>
      </c>
      <c r="Z74" s="194"/>
      <c r="AA74" s="194"/>
      <c r="AB74" s="293"/>
    </row>
    <row r="75">
      <c r="A75" s="97"/>
      <c r="B75" s="75" t="s">
        <v>160</v>
      </c>
      <c r="C75" s="25">
        <f>IF(ISBLANK(Inputs!H77),Inputs!C77,Inputs!H77)</f>
        <v>1</v>
      </c>
      <c r="D75" s="78"/>
      <c r="G75" s="75" t="s">
        <v>354</v>
      </c>
      <c r="H75" s="253">
        <f>1.766*1.2</f>
        <v>2.1192</v>
      </c>
      <c r="I75" s="204">
        <v>1.15</v>
      </c>
      <c r="J75" s="207">
        <f>($J$6*(1+$E$116)*(1+$D$157)+169*15/120*$C$24+$C$14*6)*H75*$J$10*$L$11*I75*(1+0.01*$E$25)</f>
        <v>15369.24097</v>
      </c>
      <c r="K75" s="196">
        <f>J75*($J$8+2)/2*(1+$C$152)*$J$14*(1+0.15*$B$19*(1+0.2*$C$63))*(H8*0.05/2+1)*(1+0.08*C120*D120)</f>
        <v>182741.1273</v>
      </c>
      <c r="L75" s="196">
        <f>K75*2/(1+$C$152)</f>
        <v>60913.70911</v>
      </c>
      <c r="M75" s="196">
        <f>K75*$L$12</f>
        <v>33807.10855</v>
      </c>
      <c r="N75" s="194"/>
      <c r="O75" s="194"/>
      <c r="P75" s="194"/>
      <c r="Q75" s="194"/>
      <c r="R75" s="194"/>
      <c r="S75" s="194"/>
      <c r="T75" s="196">
        <f>T63</f>
        <v>0</v>
      </c>
      <c r="U75" s="293"/>
      <c r="V75" s="196">
        <f>T75*K75</f>
        <v>0</v>
      </c>
      <c r="W75" s="196">
        <f>T75*L75</f>
        <v>0</v>
      </c>
      <c r="X75" s="196">
        <f t="shared" si="67"/>
        <v>0</v>
      </c>
      <c r="Y75" s="196">
        <f t="shared" si="68"/>
        <v>0</v>
      </c>
      <c r="Z75" s="293"/>
      <c r="AA75" s="293"/>
      <c r="AB75" s="293"/>
    </row>
    <row r="76">
      <c r="A76" s="98"/>
      <c r="B76" s="75" t="s">
        <v>161</v>
      </c>
      <c r="C76" s="25">
        <f>IF(ISBLANK(Inputs!H78),Inputs!C78,Inputs!H78)</f>
        <v>0</v>
      </c>
      <c r="D76" s="78"/>
      <c r="G76" s="66" t="s">
        <v>179</v>
      </c>
      <c r="H76" s="27"/>
      <c r="I76" s="194"/>
      <c r="J76" s="194"/>
      <c r="K76" s="194"/>
      <c r="L76" s="194"/>
      <c r="M76" s="194"/>
      <c r="N76" s="194"/>
      <c r="O76" s="194"/>
      <c r="P76" s="194"/>
      <c r="Q76" s="194"/>
      <c r="R76" s="295">
        <f>90</f>
        <v>90</v>
      </c>
      <c r="S76" s="287">
        <f>R76/(1-AA42/5*C122*((O42-5*IF(C42&gt;0,1,0))/O42))</f>
        <v>21.74955715</v>
      </c>
      <c r="T76" s="287">
        <f>1/S76*C89*C149</f>
        <v>0.04597794765</v>
      </c>
      <c r="U76" s="293"/>
      <c r="V76" s="293"/>
      <c r="W76" s="298"/>
      <c r="X76" s="298"/>
      <c r="Y76" s="293"/>
      <c r="Z76" s="293"/>
      <c r="AA76" s="293"/>
      <c r="AB76" s="293"/>
    </row>
    <row r="77">
      <c r="A77" s="112" t="s">
        <v>162</v>
      </c>
      <c r="B77" s="75" t="s">
        <v>163</v>
      </c>
      <c r="C77" s="25">
        <f>IF(ISBLANK(Inputs!H79),Inputs!C79,Inputs!H79)</f>
        <v>2</v>
      </c>
      <c r="D77" s="78"/>
      <c r="T77" s="324" t="s">
        <v>230</v>
      </c>
      <c r="U77" s="300">
        <f>sum(U19:U76)</f>
        <v>1</v>
      </c>
      <c r="V77" s="140">
        <f t="shared" ref="V77:Y77" si="69">sum(V19:V76)+V78</f>
        <v>326198.0464</v>
      </c>
      <c r="W77" s="140">
        <f t="shared" si="69"/>
        <v>111420.2122</v>
      </c>
      <c r="X77" s="140">
        <f t="shared" si="69"/>
        <v>441903.7787</v>
      </c>
      <c r="Y77" s="140">
        <f t="shared" si="69"/>
        <v>383897.7884</v>
      </c>
      <c r="Z77" s="140">
        <f t="shared" ref="Z77:AB77" si="70">sum(Z19:Z76)</f>
        <v>-0.4443443947</v>
      </c>
      <c r="AA77" s="140">
        <f t="shared" si="70"/>
        <v>0</v>
      </c>
      <c r="AB77" s="152">
        <f t="shared" si="70"/>
        <v>0.3269240909</v>
      </c>
    </row>
    <row r="78">
      <c r="A78" s="97"/>
      <c r="B78" s="75" t="s">
        <v>165</v>
      </c>
      <c r="C78" s="25">
        <f>IF(ISBLANK(Inputs!H80),Inputs!C80,Inputs!H80)</f>
        <v>0</v>
      </c>
      <c r="D78" s="78"/>
      <c r="E78" s="2"/>
      <c r="I78" s="325"/>
      <c r="AB78" s="326" t="str">
        <f>AB102</f>
        <v/>
      </c>
    </row>
    <row r="79">
      <c r="A79" s="98"/>
      <c r="B79" s="75" t="s">
        <v>166</v>
      </c>
      <c r="C79" s="25">
        <f>IF(ISBLANK(Inputs!H81),Inputs!C81,Inputs!H81)</f>
        <v>2</v>
      </c>
      <c r="D79" s="78"/>
      <c r="E79" s="2"/>
    </row>
    <row r="80">
      <c r="A80" s="121" t="s">
        <v>168</v>
      </c>
      <c r="B80" s="75" t="s">
        <v>169</v>
      </c>
      <c r="C80" s="25">
        <f>IF(ISBLANK(Inputs!H82),Inputs!C82,Inputs!H82)</f>
        <v>1</v>
      </c>
      <c r="D80" s="78"/>
      <c r="E80" s="2"/>
      <c r="S80" s="301"/>
      <c r="T80" s="301"/>
      <c r="V80" s="327"/>
      <c r="W80" s="327"/>
      <c r="X80" s="327"/>
      <c r="Y80" s="327"/>
    </row>
    <row r="81">
      <c r="A81" s="122"/>
      <c r="B81" s="75" t="s">
        <v>171</v>
      </c>
      <c r="C81" s="25">
        <f>IF(ISBLANK(Inputs!H83),Inputs!C83,Inputs!H83)</f>
        <v>0</v>
      </c>
      <c r="D81" s="78"/>
      <c r="E81" s="2"/>
      <c r="S81" s="62"/>
      <c r="T81" s="62"/>
    </row>
    <row r="82">
      <c r="A82" s="122"/>
      <c r="B82" s="75" t="s">
        <v>172</v>
      </c>
      <c r="C82" s="25">
        <f>IF(ISBLANK(Inputs!H84),Inputs!C84,Inputs!H84)</f>
        <v>1</v>
      </c>
      <c r="D82" s="78"/>
      <c r="E82" s="2"/>
      <c r="S82" s="301"/>
      <c r="T82" s="301"/>
    </row>
    <row r="83">
      <c r="A83" s="123"/>
      <c r="B83" s="75" t="s">
        <v>173</v>
      </c>
      <c r="C83" s="25">
        <f>IF(ISBLANK(Inputs!H85),Inputs!C85,Inputs!H85)</f>
        <v>0</v>
      </c>
      <c r="D83" s="78"/>
      <c r="E83" s="2"/>
    </row>
    <row r="84">
      <c r="A84" s="2"/>
      <c r="B84" s="2"/>
      <c r="C84" s="2"/>
      <c r="D84" s="2"/>
      <c r="E84" s="2"/>
      <c r="R84" s="302"/>
    </row>
    <row r="85">
      <c r="A85" s="2"/>
      <c r="B85" s="92" t="s">
        <v>174</v>
      </c>
      <c r="C85" s="34" t="s">
        <v>106</v>
      </c>
      <c r="D85" s="34" t="s">
        <v>107</v>
      </c>
      <c r="E85" s="2"/>
    </row>
    <row r="86">
      <c r="A86" s="126" t="s">
        <v>108</v>
      </c>
      <c r="B86" s="75" t="s">
        <v>175</v>
      </c>
      <c r="C86" s="25">
        <f>IF(ISBLANK(Inputs!H88),Inputs!C88,Inputs!H88)</f>
        <v>1</v>
      </c>
      <c r="D86" s="78"/>
      <c r="E86" s="2"/>
    </row>
    <row r="87">
      <c r="A87" s="96" t="s">
        <v>112</v>
      </c>
      <c r="B87" s="75" t="s">
        <v>176</v>
      </c>
      <c r="C87" s="25">
        <f>IF(ISBLANK(Inputs!H89),Inputs!C89,Inputs!H89)</f>
        <v>1</v>
      </c>
      <c r="D87" s="25">
        <f>IF(ISBLANK(Inputs!I89),Inputs!D89,Inputs!I89)</f>
        <v>0</v>
      </c>
    </row>
    <row r="88">
      <c r="A88" s="98"/>
      <c r="B88" s="75" t="s">
        <v>177</v>
      </c>
      <c r="C88" s="25">
        <f>IF(ISBLANK(Inputs!H90),Inputs!C90,Inputs!H90)</f>
        <v>1</v>
      </c>
      <c r="D88" s="78"/>
      <c r="E88" s="2"/>
    </row>
    <row r="89">
      <c r="A89" s="112" t="s">
        <v>117</v>
      </c>
      <c r="B89" s="75" t="s">
        <v>179</v>
      </c>
      <c r="C89" s="25">
        <f>IF(ISBLANK(Inputs!H91),Inputs!C91,Inputs!H91)</f>
        <v>1</v>
      </c>
      <c r="D89" s="78"/>
      <c r="E89" s="2"/>
    </row>
    <row r="90">
      <c r="A90" s="98"/>
      <c r="B90" s="75" t="s">
        <v>180</v>
      </c>
      <c r="C90" s="25">
        <f>IF(ISBLANK(Inputs!H92),Inputs!C92,Inputs!H92)</f>
        <v>1</v>
      </c>
      <c r="D90" s="78"/>
      <c r="E90" s="2"/>
    </row>
    <row r="91">
      <c r="A91" s="112" t="s">
        <v>129</v>
      </c>
      <c r="B91" s="75" t="s">
        <v>181</v>
      </c>
      <c r="C91" s="25">
        <f>IF(ISBLANK(Inputs!H93),Inputs!C93,Inputs!H93)</f>
        <v>1</v>
      </c>
      <c r="D91" s="78"/>
      <c r="E91" s="2"/>
    </row>
    <row r="92">
      <c r="A92" s="97"/>
      <c r="B92" s="75" t="s">
        <v>182</v>
      </c>
      <c r="C92" s="25">
        <f>IF(ISBLANK(Inputs!H94),Inputs!C94,Inputs!H94)</f>
        <v>2</v>
      </c>
      <c r="D92" s="78"/>
      <c r="E92" s="2"/>
    </row>
    <row r="93">
      <c r="A93" s="97"/>
      <c r="B93" s="75" t="s">
        <v>184</v>
      </c>
      <c r="C93" s="25">
        <f>IF(ISBLANK(Inputs!H95),Inputs!C95,Inputs!H95)</f>
        <v>0</v>
      </c>
      <c r="D93" s="78"/>
    </row>
    <row r="94">
      <c r="A94" s="98"/>
      <c r="B94" s="75" t="s">
        <v>185</v>
      </c>
      <c r="C94" s="25">
        <f>IF(ISBLANK(Inputs!H96),Inputs!C96,Inputs!H96)</f>
        <v>1</v>
      </c>
      <c r="D94" s="78"/>
      <c r="E94" s="2"/>
    </row>
    <row r="95">
      <c r="A95" s="112" t="s">
        <v>138</v>
      </c>
      <c r="B95" s="75" t="s">
        <v>186</v>
      </c>
      <c r="C95" s="25">
        <f>IF(ISBLANK(Inputs!H97),Inputs!C97,Inputs!H97)</f>
        <v>0</v>
      </c>
      <c r="D95" s="78"/>
    </row>
    <row r="96">
      <c r="A96" s="97"/>
      <c r="B96" s="75" t="s">
        <v>187</v>
      </c>
      <c r="C96" s="25">
        <f>IF(ISBLANK(Inputs!H98),Inputs!C98,Inputs!H98)</f>
        <v>1</v>
      </c>
      <c r="D96" s="78"/>
    </row>
    <row r="97">
      <c r="A97" s="97"/>
      <c r="B97" s="75" t="s">
        <v>188</v>
      </c>
      <c r="C97" s="25">
        <f>IF(ISBLANK(Inputs!H99),Inputs!C99,Inputs!H99)</f>
        <v>1</v>
      </c>
      <c r="D97" s="25">
        <f>IF(ISBLANK(Inputs!I99),Inputs!D99,Inputs!I99)</f>
        <v>7</v>
      </c>
      <c r="E97" s="2"/>
      <c r="N97" s="328"/>
    </row>
    <row r="98">
      <c r="A98" s="97"/>
      <c r="B98" s="75" t="s">
        <v>189</v>
      </c>
      <c r="C98" s="25">
        <f>IF(ISBLANK(Inputs!H100),Inputs!C100,Inputs!H100)</f>
        <v>1</v>
      </c>
      <c r="D98" s="78"/>
    </row>
    <row r="99">
      <c r="A99" s="97"/>
      <c r="B99" s="75" t="s">
        <v>190</v>
      </c>
      <c r="C99" s="25">
        <f>IF(ISBLANK(Inputs!H101),Inputs!C101,Inputs!H101)</f>
        <v>1</v>
      </c>
      <c r="D99" s="78"/>
    </row>
    <row r="100">
      <c r="A100" s="97"/>
      <c r="B100" s="75" t="s">
        <v>191</v>
      </c>
      <c r="C100" s="25">
        <f>IF(ISBLANK(Inputs!H102),Inputs!C102,Inputs!H102)</f>
        <v>0</v>
      </c>
      <c r="D100" s="25">
        <f>IF(ISBLANK(Inputs!I102),Inputs!D102,Inputs!I102)</f>
        <v>0</v>
      </c>
      <c r="E100" s="2"/>
    </row>
    <row r="101">
      <c r="A101" s="98"/>
      <c r="B101" s="75" t="s">
        <v>193</v>
      </c>
      <c r="C101" s="25">
        <f>IF(ISBLANK(Inputs!H103),Inputs!C103,Inputs!H103)</f>
        <v>0</v>
      </c>
      <c r="D101" s="25">
        <f>IF(ISBLANK(Inputs!I103),Inputs!D103,Inputs!I103)</f>
        <v>10</v>
      </c>
    </row>
    <row r="102">
      <c r="A102" s="112" t="s">
        <v>144</v>
      </c>
      <c r="B102" s="75" t="s">
        <v>195</v>
      </c>
      <c r="C102" s="25">
        <f>IF(ISBLANK(Inputs!H104),Inputs!C104,Inputs!H104)</f>
        <v>0</v>
      </c>
      <c r="D102" s="78"/>
      <c r="E102" s="2"/>
    </row>
    <row r="103">
      <c r="A103" s="97"/>
      <c r="B103" s="75" t="s">
        <v>196</v>
      </c>
      <c r="C103" s="25">
        <f>IF(ISBLANK(Inputs!H105),Inputs!C105,Inputs!H105)</f>
        <v>1</v>
      </c>
      <c r="D103" s="25">
        <f>IF(ISBLANK(Inputs!I105),Inputs!D105,Inputs!I105)</f>
        <v>0</v>
      </c>
      <c r="E103" s="2"/>
    </row>
    <row r="104">
      <c r="A104" s="97"/>
      <c r="B104" s="75" t="s">
        <v>197</v>
      </c>
      <c r="C104" s="25">
        <f>IF(ISBLANK(Inputs!H106),Inputs!C106,Inputs!H106)</f>
        <v>1</v>
      </c>
      <c r="D104" s="78"/>
    </row>
    <row r="105">
      <c r="A105" s="97"/>
      <c r="B105" s="75" t="s">
        <v>199</v>
      </c>
      <c r="C105" s="25">
        <f>IF(ISBLANK(Inputs!H107),Inputs!C107,Inputs!H107)</f>
        <v>1</v>
      </c>
      <c r="D105" s="25">
        <f>IF(ISBLANK(Inputs!I107),Inputs!D107,Inputs!I107)</f>
        <v>5</v>
      </c>
    </row>
    <row r="106">
      <c r="A106" s="97"/>
      <c r="B106" s="75" t="s">
        <v>201</v>
      </c>
      <c r="C106" s="25">
        <f>IF(ISBLANK(Inputs!H108),Inputs!C108,Inputs!H108)</f>
        <v>1</v>
      </c>
      <c r="D106" s="78"/>
      <c r="E106" s="2"/>
    </row>
    <row r="107">
      <c r="A107" s="97"/>
      <c r="B107" s="75" t="s">
        <v>202</v>
      </c>
      <c r="C107" s="25">
        <f>IF(ISBLANK(Inputs!H109),Inputs!C109,Inputs!H109)</f>
        <v>1</v>
      </c>
      <c r="D107" s="78"/>
    </row>
    <row r="108">
      <c r="A108" s="112" t="s">
        <v>152</v>
      </c>
      <c r="B108" s="75" t="s">
        <v>203</v>
      </c>
      <c r="C108" s="25">
        <f>IF(ISBLANK(Inputs!H110),Inputs!C110,Inputs!H110)</f>
        <v>1</v>
      </c>
      <c r="D108" s="78"/>
    </row>
    <row r="109">
      <c r="A109" s="97"/>
      <c r="B109" s="75" t="s">
        <v>204</v>
      </c>
      <c r="C109" s="25">
        <f>IF(ISBLANK(Inputs!H111),Inputs!C111,Inputs!H111)</f>
        <v>1</v>
      </c>
      <c r="D109" s="78"/>
      <c r="E109" s="2"/>
    </row>
    <row r="110">
      <c r="A110" s="97"/>
      <c r="B110" s="75" t="s">
        <v>205</v>
      </c>
      <c r="C110" s="25">
        <f>IF(ISBLANK(Inputs!H112),Inputs!C112,Inputs!H112)</f>
        <v>1</v>
      </c>
      <c r="D110" s="78"/>
      <c r="E110" s="2"/>
    </row>
    <row r="111">
      <c r="A111" s="97"/>
      <c r="B111" s="75" t="s">
        <v>207</v>
      </c>
      <c r="C111" s="25">
        <f>IF(ISBLANK(Inputs!H113),Inputs!C113,Inputs!H113)</f>
        <v>1</v>
      </c>
      <c r="D111" s="78"/>
      <c r="E111" s="2"/>
    </row>
    <row r="112">
      <c r="A112" s="97"/>
      <c r="B112" s="75" t="s">
        <v>208</v>
      </c>
      <c r="C112" s="25">
        <f>IF(ISBLANK(Inputs!H114),Inputs!C114,Inputs!H114)</f>
        <v>0</v>
      </c>
      <c r="D112" s="78"/>
    </row>
    <row r="113">
      <c r="A113" s="112" t="s">
        <v>156</v>
      </c>
      <c r="B113" s="75" t="s">
        <v>209</v>
      </c>
      <c r="C113" s="25">
        <f>IF(ISBLANK(Inputs!H115),Inputs!C115,Inputs!H115)</f>
        <v>0</v>
      </c>
      <c r="D113" s="78"/>
    </row>
    <row r="114">
      <c r="A114" s="97"/>
      <c r="B114" s="75" t="s">
        <v>211</v>
      </c>
      <c r="C114" s="25">
        <f>IF(ISBLANK(Inputs!H116),Inputs!C116,Inputs!H116)</f>
        <v>0</v>
      </c>
      <c r="D114" s="78"/>
      <c r="E114" s="2"/>
    </row>
    <row r="115">
      <c r="A115" s="97"/>
      <c r="B115" s="75" t="s">
        <v>212</v>
      </c>
      <c r="C115" s="25">
        <f>IF(ISBLANK(Inputs!H117),Inputs!C117,Inputs!H117)</f>
        <v>1</v>
      </c>
      <c r="D115" s="78"/>
    </row>
    <row r="116">
      <c r="A116" s="97"/>
      <c r="B116" s="75" t="s">
        <v>213</v>
      </c>
      <c r="C116" s="25">
        <f>IF(ISBLANK(Inputs!H118),Inputs!C118,Inputs!H118)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0.04808343106</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0.004888999376</v>
      </c>
    </row>
    <row r="117">
      <c r="A117" s="97"/>
      <c r="B117" s="75" t="s">
        <v>214</v>
      </c>
      <c r="C117" s="25">
        <f>IF(ISBLANK(Inputs!H119),Inputs!C119,Inputs!H119)</f>
        <v>1</v>
      </c>
      <c r="D117" s="25">
        <f>IF(ISBLANK(Inputs!I119),Inputs!D119,Inputs!I119)</f>
        <v>0.8</v>
      </c>
    </row>
    <row r="118">
      <c r="A118" s="112" t="s">
        <v>162</v>
      </c>
      <c r="B118" s="75" t="s">
        <v>215</v>
      </c>
      <c r="C118" s="25">
        <f>IF(ISBLANK(Inputs!H120),Inputs!C120,Inputs!H120)</f>
        <v>0</v>
      </c>
      <c r="D118" s="78"/>
    </row>
    <row r="119">
      <c r="A119" s="97"/>
      <c r="B119" s="75" t="s">
        <v>216</v>
      </c>
      <c r="C119" s="25">
        <f>IF(ISBLANK(Inputs!H121),Inputs!C121,Inputs!H121)</f>
        <v>1</v>
      </c>
      <c r="D119" s="78"/>
    </row>
    <row r="120">
      <c r="A120" s="97"/>
      <c r="B120" s="75" t="s">
        <v>217</v>
      </c>
      <c r="C120" s="25">
        <f>IF(ISBLANK(Inputs!H122),Inputs!C122,Inputs!H122)</f>
        <v>1</v>
      </c>
      <c r="D120" s="25">
        <f>IF(ISBLANK(Inputs!I122),Inputs!D122,Inputs!I122)</f>
        <v>0.4</v>
      </c>
    </row>
    <row r="121">
      <c r="A121" s="97"/>
      <c r="B121" s="75" t="s">
        <v>218</v>
      </c>
      <c r="C121" s="25">
        <f>IF(ISBLANK(Inputs!H123),Inputs!C123,Inputs!H123)</f>
        <v>1</v>
      </c>
      <c r="D121" s="25">
        <f>IF(ISBLANK(Inputs!I123),Inputs!D123,Inputs!I123)</f>
        <v>1</v>
      </c>
    </row>
    <row r="122">
      <c r="A122" s="97"/>
      <c r="B122" s="75" t="s">
        <v>219</v>
      </c>
      <c r="C122" s="25">
        <f>IF(ISBLANK(Inputs!H124),Inputs!C124,Inputs!H124)</f>
        <v>1</v>
      </c>
      <c r="D122" s="78"/>
    </row>
    <row r="123">
      <c r="A123" s="112" t="s">
        <v>168</v>
      </c>
      <c r="B123" s="75" t="s">
        <v>220</v>
      </c>
      <c r="C123" s="25">
        <f>IF(ISBLANK(Inputs!H125),Inputs!C125,Inputs!H125)</f>
        <v>0</v>
      </c>
      <c r="D123" s="78"/>
    </row>
    <row r="124">
      <c r="A124" s="97"/>
      <c r="B124" s="75" t="s">
        <v>221</v>
      </c>
      <c r="C124" s="25">
        <f>IF(ISBLANK(Inputs!H126),Inputs!C126,Inputs!H126)</f>
        <v>1</v>
      </c>
      <c r="D124" s="78"/>
      <c r="E124" s="2"/>
    </row>
    <row r="125">
      <c r="A125" s="97"/>
      <c r="B125" s="75" t="s">
        <v>222</v>
      </c>
      <c r="C125" s="25">
        <f>IF(ISBLANK(Inputs!H127),Inputs!C127,Inputs!H127)</f>
        <v>0</v>
      </c>
      <c r="D125" s="78"/>
    </row>
    <row r="126">
      <c r="A126" s="97"/>
      <c r="B126" s="75" t="s">
        <v>223</v>
      </c>
      <c r="C126" s="25">
        <f>IF(ISBLANK(Inputs!H128),Inputs!C128,Inputs!H128)</f>
        <v>1</v>
      </c>
      <c r="D126" s="78"/>
      <c r="E126" s="2"/>
    </row>
    <row r="127">
      <c r="A127" s="112" t="s">
        <v>224</v>
      </c>
      <c r="B127" s="75" t="s">
        <v>225</v>
      </c>
      <c r="C127" s="25">
        <f>IF(ISBLANK(Inputs!H129),Inputs!C129,Inputs!H129)</f>
        <v>4</v>
      </c>
      <c r="D127" s="78"/>
      <c r="E127" s="309">
        <f>T38*(8+C110*4)*(1+C110)+IF(C127&gt;3,1,0)*8*0.125*(T40+T43+T51+T57+T63)</f>
        <v>0.8139346155</v>
      </c>
      <c r="F127" s="309">
        <f>IF(C127=4,(1-(1-(1-(1-(T38*(8+C110*4)))*(1-IF(C127&gt;3,1,0)*(1-0.875^(8*(T40+T43-T46+MIN(($L$9+SUM(Z19:Z36,Z38:Z50)+SUM(Z52:Z76))/(-N51),MAX((1-SUM(U18:U24,U26:U41,U43:U50,U52:U76)+SUM(AA19:AA24,AA26:AA41,AA43:AA50,AA52:AA76)/O42*Q42)/Q51*(-O42/(O51-O42)),0))+2*T57+2*T63)))))))/(3+(2/(L13+0.3)-1+IF(C152=1,0.5,0))/C152),IF(C127&gt;0,1,0)*(1-(1-(T38*(8+C110*4))))/(3+(2/(L13+0.3)-1+IF(C152=1,0.5,0))/C152))</f>
        <v>0.1402974432</v>
      </c>
    </row>
    <row r="128">
      <c r="A128" s="2"/>
      <c r="B128" s="2"/>
      <c r="C128" s="2"/>
      <c r="D128" s="2"/>
      <c r="E128" s="2"/>
    </row>
    <row r="129">
      <c r="A129" s="2"/>
      <c r="B129" s="92" t="s">
        <v>229</v>
      </c>
      <c r="C129" s="2"/>
      <c r="D129" s="2"/>
      <c r="E129" s="2"/>
    </row>
    <row r="130">
      <c r="A130" s="2"/>
      <c r="B130" s="141" t="s">
        <v>231</v>
      </c>
      <c r="C130" s="25">
        <f>IF(ISBLANK(Inputs!H132),Inputs!C132,Inputs!H132)</f>
        <v>0</v>
      </c>
      <c r="D130" s="264">
        <f>IF(ISBLANK(Inputs!I132),Inputs!D132,Inputs!I132)</f>
        <v>0.6</v>
      </c>
      <c r="E130" s="2"/>
    </row>
    <row r="131">
      <c r="A131" s="2"/>
      <c r="B131" s="141" t="s">
        <v>233</v>
      </c>
      <c r="C131" s="25">
        <f>IF(ISBLANK(Inputs!H133),Inputs!C133,Inputs!H133)</f>
        <v>1</v>
      </c>
      <c r="D131" s="264">
        <f>IF(ISBLANK(Inputs!I133),Inputs!D133,Inputs!I133)</f>
        <v>0.85</v>
      </c>
      <c r="E131" s="2"/>
    </row>
    <row r="132">
      <c r="A132" s="2"/>
      <c r="B132" s="2"/>
      <c r="C132" s="2"/>
      <c r="D132" s="2"/>
      <c r="E132" s="2"/>
    </row>
    <row r="133">
      <c r="A133" s="2"/>
      <c r="B133" s="146" t="s">
        <v>234</v>
      </c>
      <c r="C133" s="147"/>
      <c r="D133" s="148" t="s">
        <v>235</v>
      </c>
      <c r="E133" s="148"/>
      <c r="G133" s="146" t="s">
        <v>355</v>
      </c>
      <c r="J133" s="146" t="s">
        <v>356</v>
      </c>
    </row>
    <row r="134">
      <c r="A134" s="2"/>
      <c r="B134" s="151" t="s">
        <v>236</v>
      </c>
      <c r="C134" s="150"/>
      <c r="D134" s="141" t="s">
        <v>237</v>
      </c>
      <c r="E134" s="150"/>
      <c r="G134" s="151" t="s">
        <v>357</v>
      </c>
      <c r="H134" s="311">
        <f>MIN(40,1+12*(2*(1+H8)*T25+T26+1/3*(2)*(1/(1-0.15*C107))+T35*2+T40*(11+2*C107)+T42*(2*C136)*(1+C136*H8)+T43+T38*2*(2*(1+H8))+T38*2*(2*(1+H8))+T62*(2*C136)*(1+C136*H8)+2*(2/12+(1+H8)/12)))</f>
        <v>40</v>
      </c>
      <c r="J134" s="151" t="s">
        <v>358</v>
      </c>
      <c r="K134" s="282">
        <f>C131*7*(1+2*T38*(8+C110*4))*D131</f>
        <v>7.522687225</v>
      </c>
    </row>
    <row r="135">
      <c r="A135" s="2"/>
      <c r="B135" s="151" t="s">
        <v>238</v>
      </c>
      <c r="C135" s="25">
        <f>IF(ISBLANK(Inputs!H137),Inputs!C137,Inputs!H137)</f>
        <v>1</v>
      </c>
      <c r="D135" s="141" t="s">
        <v>239</v>
      </c>
      <c r="E135" s="150"/>
      <c r="G135" s="151" t="s">
        <v>359</v>
      </c>
      <c r="H135" s="312">
        <f>1+C130*(0.05*15+0.05*17*H8)*T75</f>
        <v>1</v>
      </c>
    </row>
    <row r="136">
      <c r="A136" s="2"/>
      <c r="B136" s="151" t="s">
        <v>240</v>
      </c>
      <c r="C136" s="25">
        <f>IF(ISBLANK(Inputs!H138),Inputs!C138,Inputs!H138)</f>
        <v>1</v>
      </c>
      <c r="D136" s="141" t="s">
        <v>241</v>
      </c>
      <c r="E136" s="25">
        <f>IF(ISBLANK(Inputs!J138),Inputs!E138,Inputs!J138)</f>
        <v>1</v>
      </c>
    </row>
    <row r="137">
      <c r="A137" s="2"/>
      <c r="B137" s="151" t="s">
        <v>242</v>
      </c>
      <c r="C137" s="25">
        <f>IF(ISBLANK(Inputs!H139),Inputs!C139,Inputs!H139)</f>
        <v>0</v>
      </c>
      <c r="D137" s="141" t="s">
        <v>243</v>
      </c>
      <c r="E137" s="25">
        <f>IF(ISBLANK(Inputs!J139),Inputs!E139,Inputs!J139)</f>
        <v>0</v>
      </c>
    </row>
    <row r="138">
      <c r="A138" s="2"/>
      <c r="B138" s="151" t="s">
        <v>244</v>
      </c>
      <c r="C138" s="25">
        <f>IF(ISBLANK(Inputs!H140),Inputs!C140,Inputs!H140)</f>
        <v>1</v>
      </c>
      <c r="D138" s="141" t="s">
        <v>245</v>
      </c>
      <c r="E138" s="25">
        <f>IF(ISBLANK(Inputs!J140),Inputs!E140,Inputs!J140)</f>
        <v>0</v>
      </c>
    </row>
    <row r="139">
      <c r="A139" s="2"/>
      <c r="B139" s="151" t="s">
        <v>246</v>
      </c>
      <c r="C139" s="150"/>
      <c r="D139" s="141" t="s">
        <v>247</v>
      </c>
      <c r="E139" s="25">
        <f>IF(ISBLANK(Inputs!J141),Inputs!E141,Inputs!J141)</f>
        <v>1</v>
      </c>
    </row>
    <row r="140">
      <c r="A140" s="2"/>
      <c r="B140" s="2"/>
      <c r="C140" s="2"/>
      <c r="D140" s="141" t="s">
        <v>248</v>
      </c>
      <c r="E140" s="25">
        <f>IF(ISBLANK(Inputs!J142),Inputs!E142,Inputs!J142)</f>
        <v>0</v>
      </c>
    </row>
    <row r="141">
      <c r="A141" s="2"/>
      <c r="B141" s="2"/>
      <c r="C141" s="2"/>
      <c r="D141" s="141" t="s">
        <v>249</v>
      </c>
      <c r="E141" s="25">
        <f>IF(ISBLANK(Inputs!J143),Inputs!E143,Inputs!J143)</f>
        <v>1</v>
      </c>
    </row>
    <row r="142">
      <c r="A142" s="2"/>
      <c r="B142" s="2"/>
      <c r="C142" s="2"/>
      <c r="D142" s="2"/>
      <c r="E142" s="2"/>
    </row>
    <row r="143">
      <c r="A143" s="2"/>
      <c r="B143" s="72" t="s">
        <v>250</v>
      </c>
      <c r="C143" s="2"/>
      <c r="D143" s="2"/>
      <c r="E143" s="2"/>
    </row>
    <row r="144">
      <c r="A144" s="2"/>
      <c r="B144" s="66" t="s">
        <v>251</v>
      </c>
      <c r="C144" s="313">
        <f>IF(ISBLANK(Inputs!H146),Inputs!C146,Inputs!H146)</f>
        <v>0.2</v>
      </c>
      <c r="D144" s="2"/>
      <c r="E144" s="2"/>
    </row>
    <row r="145">
      <c r="A145" s="2"/>
      <c r="B145" s="75" t="s">
        <v>252</v>
      </c>
      <c r="C145" s="25">
        <f>Inputs!C147</f>
        <v>400000</v>
      </c>
      <c r="D145" s="2"/>
      <c r="E145" s="2"/>
    </row>
    <row r="146">
      <c r="A146" s="2"/>
      <c r="B146" s="66" t="s">
        <v>254</v>
      </c>
      <c r="C146" s="313">
        <f>IF(ISBLANK(Inputs!H148),Inputs!C148,Inputs!H148)</f>
        <v>0.2</v>
      </c>
      <c r="D146" s="2"/>
      <c r="E146" s="2"/>
    </row>
    <row r="147">
      <c r="A147" s="2"/>
      <c r="B147" s="66" t="s">
        <v>257</v>
      </c>
      <c r="C147" s="313">
        <f>IF(ISBLANK(Inputs!H149),Inputs!C149,Inputs!H149)</f>
        <v>0</v>
      </c>
      <c r="D147" s="2"/>
      <c r="E147" s="2"/>
    </row>
    <row r="148">
      <c r="A148" s="2"/>
      <c r="B148" s="66" t="s">
        <v>258</v>
      </c>
      <c r="C148" s="313">
        <f>IF(ISBLANK(Inputs!H150),Inputs!C150,Inputs!H150)</f>
        <v>0</v>
      </c>
      <c r="D148" s="2"/>
      <c r="E148" s="2"/>
    </row>
    <row r="149">
      <c r="A149" s="2"/>
      <c r="B149" s="66" t="s">
        <v>259</v>
      </c>
      <c r="C149" s="313">
        <f>IF(ISBLANK(Inputs!H151),Inputs!C151,Inputs!H151)</f>
        <v>1</v>
      </c>
      <c r="D149" s="2"/>
      <c r="E149" s="2"/>
    </row>
    <row r="150">
      <c r="A150" s="2"/>
      <c r="B150" s="75" t="s">
        <v>260</v>
      </c>
      <c r="C150" s="313">
        <f>IF(ISBLANK(Inputs!H152),Inputs!C152,Inputs!H152)</f>
        <v>0.4</v>
      </c>
      <c r="D150" s="2"/>
      <c r="E150" s="2"/>
    </row>
    <row r="151">
      <c r="A151" s="2"/>
      <c r="B151" s="75" t="s">
        <v>261</v>
      </c>
      <c r="C151" s="25">
        <f>IF(ISBLANK(Inputs!H153),Inputs!C153,Inputs!H153)</f>
        <v>0.8</v>
      </c>
      <c r="D151" s="2"/>
      <c r="E151" s="2"/>
      <c r="F151" s="2"/>
    </row>
    <row r="152">
      <c r="A152" s="2"/>
      <c r="B152" s="66" t="s">
        <v>262</v>
      </c>
      <c r="C152" s="25">
        <f>IF(ISBLANK(Inputs!H154),Inputs!C154,Inputs!H154)</f>
        <v>5</v>
      </c>
      <c r="D152" s="2"/>
      <c r="E152" s="2"/>
      <c r="F152" s="2"/>
    </row>
    <row r="153">
      <c r="A153" s="2"/>
      <c r="B153" s="75" t="s">
        <v>263</v>
      </c>
      <c r="C153" s="25">
        <f>IF(ISBLANK(Inputs!H155),Inputs!C155,Inputs!H155)</f>
        <v>90</v>
      </c>
      <c r="D153" s="2"/>
      <c r="E153" s="2"/>
      <c r="F153" s="2"/>
    </row>
    <row r="154">
      <c r="A154" s="2"/>
      <c r="B154" s="66" t="s">
        <v>265</v>
      </c>
      <c r="C154" s="25">
        <f>IF(ISBLANK(Inputs!H156),Inputs!C156,Inputs!H156)</f>
        <v>3966.55</v>
      </c>
      <c r="D154" s="2"/>
      <c r="E154" s="2"/>
      <c r="F154" s="2"/>
    </row>
    <row r="155">
      <c r="A155" s="2"/>
      <c r="D155" s="2"/>
      <c r="E155" s="2"/>
      <c r="F155" s="2"/>
    </row>
    <row r="156">
      <c r="B156" s="330" t="s">
        <v>267</v>
      </c>
      <c r="C156" s="165" t="s">
        <v>268</v>
      </c>
      <c r="D156" s="2"/>
      <c r="E156" s="2"/>
      <c r="F156" s="2"/>
    </row>
    <row r="157">
      <c r="B157" s="331" t="s">
        <v>269</v>
      </c>
      <c r="C157" s="332">
        <f>IF(ISBLANK(Inputs!H159),Inputs!C159,Inputs!H159)</f>
        <v>1</v>
      </c>
      <c r="D157" s="309">
        <f>C157*(0.025+0.1*T42)</f>
        <v>0.06422519111</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0.006518381636</v>
      </c>
      <c r="F157" s="2"/>
    </row>
    <row r="158">
      <c r="B158" s="331" t="s">
        <v>271</v>
      </c>
      <c r="C158" s="25">
        <f>IF(ISBLANK(Inputs!H160),Inputs!C160,Inputs!H160)</f>
        <v>1</v>
      </c>
      <c r="D158" s="2"/>
      <c r="E158" s="2"/>
      <c r="F158" s="2"/>
      <c r="G158" s="2"/>
      <c r="H158" s="2"/>
    </row>
    <row r="159">
      <c r="D159" s="2"/>
      <c r="E159" s="2"/>
      <c r="F159" s="2"/>
      <c r="G159" s="2"/>
      <c r="H159" s="2"/>
    </row>
    <row r="160">
      <c r="B160" s="32" t="s">
        <v>274</v>
      </c>
      <c r="C160" s="2"/>
      <c r="D160" s="2"/>
      <c r="E160" s="2"/>
      <c r="F160" s="2"/>
      <c r="G160" s="2"/>
      <c r="H160" s="2"/>
    </row>
    <row r="161">
      <c r="B161" s="66" t="s">
        <v>275</v>
      </c>
      <c r="C161" s="333"/>
      <c r="D161" s="1"/>
      <c r="E161" s="1"/>
      <c r="F161" s="2"/>
      <c r="G161" s="2"/>
      <c r="H161" s="2"/>
    </row>
    <row r="162">
      <c r="B162" s="66" t="s">
        <v>276</v>
      </c>
      <c r="C162" s="173"/>
      <c r="E162" s="1"/>
      <c r="F162" s="2"/>
      <c r="G162" s="2"/>
      <c r="H162" s="2"/>
    </row>
    <row r="163">
      <c r="B163" s="66" t="s">
        <v>361</v>
      </c>
      <c r="C163" s="315"/>
      <c r="D163" s="2"/>
      <c r="E163" s="2"/>
      <c r="G163" s="2"/>
      <c r="H163" s="2"/>
    </row>
    <row r="164">
      <c r="B164" s="66" t="s">
        <v>362</v>
      </c>
      <c r="C164" s="235"/>
      <c r="D164" s="2"/>
      <c r="E164" s="2"/>
      <c r="G164" s="2"/>
      <c r="H164" s="2"/>
    </row>
    <row r="165">
      <c r="B165" s="66" t="s">
        <v>278</v>
      </c>
      <c r="C165" s="316"/>
      <c r="G165" s="2"/>
      <c r="H165" s="2"/>
    </row>
    <row r="166">
      <c r="B166" s="66" t="s">
        <v>280</v>
      </c>
      <c r="C166" s="27"/>
      <c r="G166" s="2"/>
      <c r="H166" s="2"/>
    </row>
    <row r="167">
      <c r="B167" s="66" t="s">
        <v>363</v>
      </c>
      <c r="C167" s="317"/>
      <c r="G167" s="2"/>
      <c r="H167" s="2"/>
    </row>
    <row r="168">
      <c r="B168" s="66" t="s">
        <v>364</v>
      </c>
      <c r="C168" s="236"/>
      <c r="D168" s="202"/>
      <c r="G168" s="2"/>
      <c r="H168" s="2"/>
    </row>
    <row r="169">
      <c r="B169" s="318"/>
      <c r="C169" s="202"/>
      <c r="D169" s="202"/>
      <c r="G169" s="2"/>
      <c r="H169" s="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row r="196">
      <c r="N196" s="4" t="s">
        <v>366</v>
      </c>
      <c r="O196" s="4">
        <v>3.0</v>
      </c>
      <c r="P196" s="326">
        <f>SUM(P167:Q167)</f>
        <v>0</v>
      </c>
    </row>
    <row r="197">
      <c r="O197" s="4">
        <v>4.0</v>
      </c>
      <c r="P197" s="326">
        <f>SUM(P167:Q167)</f>
        <v>0</v>
      </c>
    </row>
    <row r="198">
      <c r="O198" s="4">
        <v>5.0</v>
      </c>
      <c r="P198" s="326">
        <f>SUM(P167:Q167)</f>
        <v>0</v>
      </c>
    </row>
    <row r="199">
      <c r="O199" s="4">
        <v>6.0</v>
      </c>
      <c r="P199" s="326">
        <f>SUM(P167:X167)</f>
        <v>0</v>
      </c>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17.75"/>
    <col customWidth="1" min="9" max="9" width="23.25"/>
    <col customWidth="1" min="10" max="10" width="17.88"/>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2.5"/>
    <col customWidth="1" min="19" max="19" width="15.25"/>
    <col customWidth="1" min="20" max="20" width="15.88"/>
    <col customWidth="1" min="21" max="21" width="12.38"/>
    <col customWidth="1" min="22" max="22" width="11.75"/>
    <col customWidth="1" min="23" max="23" width="19.25"/>
    <col customWidth="1" min="24" max="24" width="19.13"/>
    <col customWidth="1" min="25" max="25" width="11.25"/>
    <col customWidth="1" min="26" max="26" width="15.0"/>
    <col customWidth="1" min="27" max="27" width="19.63"/>
    <col customWidth="1" min="28" max="28" width="19.13"/>
  </cols>
  <sheetData>
    <row r="2">
      <c r="B2" s="266" t="s">
        <v>341</v>
      </c>
    </row>
    <row r="4">
      <c r="B4" s="267" t="s">
        <v>1</v>
      </c>
      <c r="C4" s="268" t="s">
        <v>3</v>
      </c>
      <c r="D4" s="269" t="s">
        <v>5</v>
      </c>
      <c r="E4" s="269" t="s">
        <v>7</v>
      </c>
      <c r="G4" s="267" t="s">
        <v>9</v>
      </c>
      <c r="J4" s="229"/>
      <c r="N4" s="270" t="s">
        <v>10</v>
      </c>
    </row>
    <row r="5">
      <c r="B5" s="271" t="s">
        <v>12</v>
      </c>
      <c r="C5" s="231">
        <f>H5*(1+C21*0.05*(1+0.2*C63))</f>
        <v>3862</v>
      </c>
      <c r="D5" s="27"/>
      <c r="E5" s="27"/>
      <c r="G5" s="271" t="s">
        <v>21</v>
      </c>
      <c r="H5" s="36">
        <f>Baseline!H5+10</f>
        <v>3862</v>
      </c>
      <c r="I5" s="272" t="s">
        <v>31</v>
      </c>
      <c r="J5" s="49">
        <f>(C5*1.45+((J6*(1+E116)*(1+D157)*1.8)+IF(E28=3,1,0)*1.13*(1-exp(-1*$J$9*12/60))*($J$6*(1+E116)*(1+D157)*0.02*$J$10)))*(1+0.06*C75)</f>
        <v>12093.31396</v>
      </c>
      <c r="K5" s="272" t="s">
        <v>41</v>
      </c>
      <c r="L5" s="52">
        <f>(J5 / (J5 + C154))</f>
        <v>0.7530147199</v>
      </c>
      <c r="N5" s="273" t="s">
        <v>46</v>
      </c>
      <c r="O5" s="274" t="s">
        <v>47</v>
      </c>
      <c r="P5" s="274" t="s">
        <v>49</v>
      </c>
      <c r="Q5" s="275" t="s">
        <v>325</v>
      </c>
      <c r="R5" s="275" t="s">
        <v>53</v>
      </c>
      <c r="S5" s="275" t="s">
        <v>326</v>
      </c>
      <c r="T5" s="274" t="s">
        <v>56</v>
      </c>
      <c r="U5" s="275" t="s">
        <v>57</v>
      </c>
      <c r="V5" s="276" t="s">
        <v>59</v>
      </c>
      <c r="W5" s="269" t="s">
        <v>60</v>
      </c>
      <c r="X5" s="268" t="s">
        <v>63</v>
      </c>
    </row>
    <row r="6">
      <c r="B6" s="271" t="s">
        <v>36</v>
      </c>
      <c r="C6" s="231">
        <f>(H6+C34*33)*(1+C21*0.05*(1+0.2*C63))</f>
        <v>2672</v>
      </c>
      <c r="D6" s="27"/>
      <c r="E6" s="27"/>
      <c r="G6" s="271" t="s">
        <v>65</v>
      </c>
      <c r="H6" s="277">
        <f>Baseline!H6</f>
        <v>2672</v>
      </c>
      <c r="I6" s="271" t="s">
        <v>67</v>
      </c>
      <c r="J6" s="52">
        <f>(C6+E32*252*8/120+E34*50)*(1+B21*1.13*(1-exp(-3*J9*15/60))*0.15*(1+0.2*C63))*(1+0.03*C77*(1-(0.85)^(8*L9)))*(1+0.1*12*(1/S40)*C131*(1-IF(OR(D100=1,AND(C152&lt;4,C131=1)),0,1)*IF(D100=2,1-(1-(0.75)^((5+(H15/2))/H15))/(1+3*(1-(0.75)^((5+(H15/2))/H15))*C82),1)*IF(NOT(OR(OR(D100=1,AND(C152&lt;4,C131=1)),D100=2)),1-(1-(0.75)^((4+(H15/2))/H15)),1)))*(1+0.1*T69*8*IF(C152=1,1,0))</f>
        <v>2890.654188</v>
      </c>
      <c r="K6" s="271" t="s">
        <v>82</v>
      </c>
      <c r="L6" s="84">
        <f>(J6-622)/19130</f>
        <v>0.1185914369</v>
      </c>
      <c r="N6" s="276" t="s">
        <v>87</v>
      </c>
      <c r="O6" s="250">
        <f>Baseline!O6</f>
        <v>3608042.253</v>
      </c>
      <c r="P6" s="94">
        <f>(O6-E26*C152/2*C7*0.0003*30)*(1-$L$14)*(1-$L$5)*$L$10*(1-0.01*E32)*(1-0.2/C152*C74)*(1-C51*0.12/C152*1.13*(1-exp(-3*6/60*55/120)))*(1-$C$135*$C$130*$D$130*0.075)*(1-$C$131*E136*10/S40*0.08)*(1-F116)*(1-E157)*(1-IF(C127&gt;1,1)*0.06*E127)*(1-(0.04*10*(1/S40)*C100*(1-IF(OR(D100=1,AND(C152&lt;4,C131=1)),0,1)*IF(D100=2,1-(1-(0.75)^((5+(H15/2))/H15))/(1+3*(1-(0.75)^((5+(H15/2))/H15))*C82),1)*IF(NOT(OR(OR(D100=1,AND(C152&lt;4,C131=1)),D100=2)),1-(1-(0.75)^((4+(H15/2))/H15)),1))))*(1-C120*0.025)</f>
        <v>427978.0578</v>
      </c>
      <c r="Q6" s="99">
        <f>P6*(1-((1-(1-(T38*(8+C110*4)))*(1-IF(C127&gt;3,1,0)*(1-0.875^(8*(T40+T43+T51+T57+T63)))))*MIN(0.3/(1-$L$14),1)))</f>
        <v>328452.4786</v>
      </c>
      <c r="R6" s="94">
        <f>Q6*(1-($T$52*8)*(0.3+0.1*$E$139))</f>
        <v>319693.7458</v>
      </c>
      <c r="S6" s="102">
        <f t="shared" ref="S6:S7" si="1">R6*(1-($T$70*8)*0.1)*(1-($T$26*8)*0.1)</f>
        <v>319693.7458</v>
      </c>
      <c r="T6" s="94">
        <f t="shared" ref="T6:T9" si="2">S6</f>
        <v>319693.7458</v>
      </c>
      <c r="U6" s="107"/>
      <c r="V6" s="27"/>
      <c r="W6" s="27"/>
      <c r="X6" s="27"/>
    </row>
    <row r="7">
      <c r="B7" s="271" t="s">
        <v>40</v>
      </c>
      <c r="C7" s="231">
        <f>(H7+C26*99)*(1+C21*0.05*(1+0.2*C63))*1.05*(1+0.2*C55)*(1.4)</f>
        <v>77197</v>
      </c>
      <c r="D7" s="27"/>
      <c r="E7" s="27"/>
      <c r="G7" s="271" t="s">
        <v>121</v>
      </c>
      <c r="H7" s="277">
        <f>Baseline!H7</f>
        <v>43762.47166</v>
      </c>
      <c r="I7" s="280" t="s">
        <v>124</v>
      </c>
      <c r="J7" s="109">
        <f>C7*20</f>
        <v>1543940</v>
      </c>
      <c r="K7" s="280" t="s">
        <v>127</v>
      </c>
      <c r="L7" s="111">
        <f>(J7+IF(E28=3,1,0)*1.13*(1-exp(-1*$J$9*12/60))*($J$6*1.3*$J$10))*(1+0.01*C97*(D97+2*C104))</f>
        <v>1682894.6</v>
      </c>
      <c r="N7" s="281" t="s">
        <v>131</v>
      </c>
      <c r="O7" s="250">
        <f>Baseline!O7</f>
        <v>0</v>
      </c>
      <c r="P7" s="94">
        <f>O7*$J$13*(1-$L$5)*$L$10*(1-0.01*E32)*(1-C51*0.12/C152*1.13*(1-exp(-3*6/60*55/120)))*(1-$C$135*$C$130*$D$130*0.075)*(1-$C$131*E136*10/S40*0.08)*(1-IF(C127&gt;1,1)*0.06*E127)*(1-(0.04*10*(1/S40)*C100*(1-IF(OR(D100=1,AND(C152&lt;4,C131=1)),0,1)*IF(D100=2,1-(1-(0.75)^((5+(H15/2))/H15))/(1+3*(1-(0.75)^((5+(H15/2))/H15))*C82),1)*IF(NOT(OR(OR(D100=1,AND(C152&lt;4,C131=1)),D100=2)),1-(1-(0.75)^((4+(H15/2))/H15)),1))))*(1-C120*0.025)</f>
        <v>0</v>
      </c>
      <c r="Q7" s="27"/>
      <c r="R7" s="94">
        <f t="shared" ref="R7:R9" si="3">P7*(1-($T$52*8)*(0.3+0.1*$E$139))</f>
        <v>0</v>
      </c>
      <c r="S7" s="102">
        <f t="shared" si="1"/>
        <v>0</v>
      </c>
      <c r="T7" s="94">
        <f t="shared" si="2"/>
        <v>0</v>
      </c>
      <c r="U7" s="107"/>
      <c r="V7" s="27"/>
      <c r="W7" s="27"/>
      <c r="X7" s="27"/>
    </row>
    <row r="8">
      <c r="B8" s="271" t="s">
        <v>44</v>
      </c>
      <c r="C8" s="25">
        <f>Inputs!C10</f>
        <v>778.5</v>
      </c>
      <c r="D8" s="282">
        <f>(C8+225*15/2/120*IF(1&lt;(IF(C8&gt;C9,1,0)+IF(C8&gt;C10,1,0)+IF(C8&gt;C11,1,0)),E27,0))*(1+0.02*C30)/(1+0.02*Baseline!C30)</f>
        <v>778.5</v>
      </c>
      <c r="E8" s="282">
        <f>IF(D8&lt;=1380,D8,IF(D8&lt;=1840,1380+0.9*(D8-1380),IF(D8&lt;=2300,1794+0.8*(D8-1840),IF(D8&lt;=2760,2162+0.7*(D8-2300),IF(D8&lt;=3680,2484+0.6*(D8-2760),IF(D8&lt;=9200,3036+0.5*(D8-3680),5796))))))</f>
        <v>778.5</v>
      </c>
      <c r="F8" s="4"/>
      <c r="G8" s="271" t="s">
        <v>159</v>
      </c>
      <c r="H8" s="118">
        <f>E8/4600+0.05+(C28+C32+C35)*0.01+IF(E28=4,1,0)*1.13*(1-exp(-1*$J$9*12/60))*0.04</f>
        <v>0.2192391304</v>
      </c>
      <c r="I8" s="271" t="s">
        <v>164</v>
      </c>
      <c r="J8" s="119">
        <f>1+H8*(1+2*0.02*(C26+C31))</f>
        <v>1.21923913</v>
      </c>
      <c r="K8" s="271" t="s">
        <v>167</v>
      </c>
      <c r="L8" s="84">
        <f>E8/5200/(1+0.02*C30)</f>
        <v>0.1497115385</v>
      </c>
      <c r="N8" s="276" t="s">
        <v>170</v>
      </c>
      <c r="O8" s="250">
        <f>Baseline!O8</f>
        <v>112528.835</v>
      </c>
      <c r="P8" s="94">
        <f>O8*$L$10*(1-C51*0.12/C152*1.13*(1-exp(-3*6/60*55/120)))*(1-$C$135*$C$130*$D$130*0.075)*(1-0.08*$C$80)*(1-IF(C127&gt;1,1)*0.06*E127)*(1-(0.04*10*(1/S40)*C100*(1-IF(OR(D100=1,AND(C152&lt;4,C131=1)),0,1)*IF(D100=2,1-(1-(0.75)^((5+(H15/2))/H15))/(1+3*(1-(0.75)^((5+(H15/2))/H15))*C82),1)*IF(NOT(OR(OR(D100=1,AND(C152&lt;4,C131=1)),D100=2)),1-(1-(0.75)^((4+(H15/2))/H15)),1))))*(1-C120*0.025)</f>
        <v>82191.78082</v>
      </c>
      <c r="Q8" s="27"/>
      <c r="R8" s="94">
        <f t="shared" si="3"/>
        <v>80000</v>
      </c>
      <c r="S8" s="102">
        <f t="shared" ref="S8:S9" si="4">R8*(1-($T$26*8)*0.1)</f>
        <v>80000</v>
      </c>
      <c r="T8" s="94">
        <f t="shared" si="2"/>
        <v>80000</v>
      </c>
      <c r="U8" s="94">
        <f>T8*(T20*(6+2*C67))*0.15</f>
        <v>0</v>
      </c>
      <c r="V8" s="99">
        <f>IF(T8-U8-$T$19*(($L$7*0.3*$J$10*(1+0.4*$C$68)*(1+0.15*$C$46)))&gt;0,$T$19*($L$7*0.3*$J$10*(1+0.4*$C$68)*(1+0.15*$C$46)),T8-U8)</f>
        <v>11765.66776</v>
      </c>
      <c r="W8" s="27"/>
      <c r="X8" s="27"/>
    </row>
    <row r="9">
      <c r="B9" s="271" t="s">
        <v>50</v>
      </c>
      <c r="C9" s="25">
        <f>Inputs!C11</f>
        <v>1053.5</v>
      </c>
      <c r="D9" s="282">
        <f>(C9+225*15/2/120*IF(1&lt;(IF(C9&gt;C8,1,0)+IF(C9&gt;C10,1,0)+IF(C9&gt;C11,1,0)),E27,0))*(1+0.02*C30)/(1+0.02*Baseline!C30)</f>
        <v>1053.5</v>
      </c>
      <c r="E9" s="282">
        <f>IF(D9&lt;=1320,D9,IF(D9&lt;=1760,1320+0.9*(D9-1320),IF(D9&lt;=2200,1716+0.8*(D9-1760),IF(D9&lt;=2640,2068+0.7*(D9-2200),IF(D9&lt;=3520,2376+0.6*(D9-2640),IF(D9&lt;=8800,2904+0.5*(D9-3520),5544))))))</f>
        <v>1053.5</v>
      </c>
      <c r="F9" s="4"/>
      <c r="G9" s="271" t="s">
        <v>192</v>
      </c>
      <c r="H9" s="118">
        <f>(1+(C29+C33)*0.01)*E9/4400+(C29+C33)*0.01</f>
        <v>0.2394318182</v>
      </c>
      <c r="I9" s="271" t="s">
        <v>194</v>
      </c>
      <c r="J9" s="132">
        <f>(1+H9)*(1+C27*0.15/18)*(1+0.1*C104)*(1+0.02*C49)*(1+0.01*K134)</f>
        <v>1.524574934</v>
      </c>
      <c r="K9" s="283" t="s">
        <v>198</v>
      </c>
      <c r="L9" s="133">
        <f>3/10*J9</f>
        <v>0.4573724803</v>
      </c>
      <c r="N9" s="284" t="s">
        <v>200</v>
      </c>
      <c r="O9" s="250">
        <f>Baseline!O9</f>
        <v>0</v>
      </c>
      <c r="P9" s="135">
        <f>O9*$J$13*$L$10*(1-C51*0.12/C152*1.13*(1-exp(-3*6/60*55/120)))*(1-$C$135*$C$130*$D$130*0.075)*(1-0.08*$C$80)*(1-IF(C127&gt;1,1)*0.06*E127)*(1-(0.04*10*(1/S40)*C100*(1-IF(OR(D100=1,AND(C152&lt;4,C131=1)),0,1)*IF(D100=2,1-(1-(0.75)^((5+(H15/2))/H15))/(1+3*(1-(0.75)^((5+(H15/2))/H15))*C82),1)*IF(NOT(OR(OR(D100=1,AND(C152&lt;4,C131=1)),D100=2)),1-(1-(0.75)^((4+(H15/2))/H15)),1))))*(1-C120*0.025)</f>
        <v>0</v>
      </c>
      <c r="Q9" s="136"/>
      <c r="R9" s="135">
        <f t="shared" si="3"/>
        <v>0</v>
      </c>
      <c r="S9" s="102">
        <f t="shared" si="4"/>
        <v>0</v>
      </c>
      <c r="T9" s="94">
        <f t="shared" si="2"/>
        <v>0</v>
      </c>
      <c r="U9" s="135">
        <f>T8*(T20*(6+2*C67))*0.15</f>
        <v>0</v>
      </c>
      <c r="V9" s="135">
        <f>IF(T8+T9-U8-U9-V8&gt;0,MIN($T$19*($L$7*0.3*$J$10*(1+0.4*$C$68)*(1+0.15*$C$46))-V8,T8+T9-U8-U9-V8),0)
</f>
        <v>0</v>
      </c>
      <c r="W9" s="136"/>
      <c r="X9" s="136"/>
    </row>
    <row r="10">
      <c r="B10" s="271" t="s">
        <v>55</v>
      </c>
      <c r="C10" s="25">
        <f>Inputs!C12</f>
        <v>1514.5</v>
      </c>
      <c r="D10" s="282">
        <f>(C10+65*E24+225*15/2/120*IF(1&lt;(IF(C10&gt;C8,1,0)+IF(C10&gt;C9,0)+IF(C10&gt;C11,1,0)),E27,0))*(1+0.02*C30)/(1+0.02*Baseline!C30)</f>
        <v>1514.5</v>
      </c>
      <c r="E10" s="282">
        <f>IF(D10&lt;=1620,D10,IF(D10&lt;=2160,1622+0.9*(D10-1620),IF(D10&lt;=2700,2106+0.8*(D10-2160),IF(D10&lt;=3240,2538+0.7*(D10-2700),IF(D10&lt;=4320,2916+0.6*(D10-3240),IF(D10&lt;=10800,3564+0.5*(D10-4320),6804))))))</f>
        <v>1514.5</v>
      </c>
      <c r="F10" s="4"/>
      <c r="G10" s="271" t="s">
        <v>210</v>
      </c>
      <c r="H10" s="118">
        <f>E10/5400+(E26+E33)*0.01</f>
        <v>0.280462963</v>
      </c>
      <c r="I10" s="281" t="s">
        <v>226</v>
      </c>
      <c r="J10" s="119">
        <f>1+H10</f>
        <v>1.280462963</v>
      </c>
      <c r="K10" s="281" t="s">
        <v>228</v>
      </c>
      <c r="L10" s="119">
        <f>1-H10/2</f>
        <v>0.8597685185</v>
      </c>
      <c r="N10" s="286" t="s">
        <v>230</v>
      </c>
      <c r="O10" s="140">
        <f t="shared" ref="O10:U10" si="5">SUM(O6:O9)</f>
        <v>3720571.088</v>
      </c>
      <c r="P10" s="140">
        <f t="shared" si="5"/>
        <v>510169.8386</v>
      </c>
      <c r="Q10" s="140">
        <f t="shared" si="5"/>
        <v>328452.4786</v>
      </c>
      <c r="R10" s="140">
        <f t="shared" si="5"/>
        <v>399693.7458</v>
      </c>
      <c r="S10" s="140">
        <f t="shared" si="5"/>
        <v>399693.7458</v>
      </c>
      <c r="T10" s="140">
        <f t="shared" si="5"/>
        <v>399693.7458</v>
      </c>
      <c r="U10" s="140">
        <f t="shared" si="5"/>
        <v>0</v>
      </c>
      <c r="V10" s="140">
        <f>sum(V6:V9)</f>
        <v>11765.66776</v>
      </c>
      <c r="W10" s="140">
        <f>(Y77+C27*0.0011*L7*(1-C144))</f>
        <v>384252.4483</v>
      </c>
      <c r="X10" s="152">
        <f>(MAX((T10-U10-V10-W10),0)*(1-$T$76*(10+2*C92))+MAX((T10-U10-V10-W10*(1.3+0.05*C92)),0)*($T$76*(10+2*C92))/(1.3+0.05*C92))/IF(D100=2,(1+0.06*(1-T40*(1-(0.75)^((5+(H15/2))/H15))/(1+3*(1-(0.75)^((5+(H15/2))/H15))*C82)/(1-(0.75)^((5+(H15/2))/H15)))),(1+0.02*C49))</f>
        <v>1219.274859</v>
      </c>
    </row>
    <row r="11">
      <c r="B11" s="271" t="s">
        <v>62</v>
      </c>
      <c r="C11" s="25">
        <f>Inputs!C13</f>
        <v>479.5</v>
      </c>
      <c r="D11" s="282">
        <f>(C11+225*15/2/120*IF(1&lt;(IF(C11&gt;C8,1,0)+IF(C11&gt;C10,1,0)+IF(C11&gt;C9,1,0)),E27,0))*(1+0.02*C30)/(1+0.02*Baseline!C30)</f>
        <v>479.5</v>
      </c>
      <c r="E11" s="282">
        <f>IF(D11&lt;=1380,D11,IF(D11&lt;=1840,1380+0.9*(D11-1380),IF(D11&lt;=2300,1794+0.8*(D11-1840),IF(D11&lt;=2760,2162+0.7*(D11-2300),IF(D11&lt;=3680,2484+0.6*(D11-2760),IF(D11&lt;=9200,3036+0.5*(D11-3680),5796))))))</f>
        <v>479.5</v>
      </c>
      <c r="F11" s="4"/>
      <c r="G11" s="271" t="s">
        <v>232</v>
      </c>
      <c r="H11" s="118">
        <f>0.16+E11/2300+0.002*(C131*K134)</f>
        <v>0.3835236353</v>
      </c>
      <c r="I11" s="283" t="s">
        <v>253</v>
      </c>
      <c r="J11" s="119">
        <f t="shared" ref="J11:J12" si="6">H11</f>
        <v>0.3835236353</v>
      </c>
      <c r="K11" s="271" t="s">
        <v>255</v>
      </c>
      <c r="L11" s="52">
        <f>1+H11/2</f>
        <v>1.191761818</v>
      </c>
    </row>
    <row r="12">
      <c r="B12" s="281" t="s">
        <v>64</v>
      </c>
      <c r="C12" s="25">
        <f>Inputs!C14</f>
        <v>0</v>
      </c>
      <c r="D12" s="115">
        <f t="shared" ref="D12:D13" si="7">C12</f>
        <v>0</v>
      </c>
      <c r="E12" s="115">
        <f>IF(D12&lt;=690,D12,IF(D12&lt;=1035,690+0.8*(D12-690),IF(D12&lt;=1380,966+0.6*(D12-1035),1173+0.4*(D12-1380))))</f>
        <v>0</v>
      </c>
      <c r="F12" s="4"/>
      <c r="G12" s="271" t="s">
        <v>256</v>
      </c>
      <c r="H12" s="159">
        <f>E12/6900+C71*0.03+C131*E138*0.02</f>
        <v>0.03</v>
      </c>
      <c r="I12" s="271" t="s">
        <v>264</v>
      </c>
      <c r="J12" s="119">
        <f t="shared" si="6"/>
        <v>0.03</v>
      </c>
      <c r="K12" s="271" t="s">
        <v>266</v>
      </c>
      <c r="L12" s="119">
        <f>J12+C111*0.15*MIN(8*T42,1)+0.06*(10+2*$C$72)*T54*(1+C131*E138)</f>
        <v>0.185</v>
      </c>
    </row>
    <row r="13">
      <c r="B13" s="281" t="s">
        <v>66</v>
      </c>
      <c r="C13" s="25">
        <f>Inputs!C15</f>
        <v>0</v>
      </c>
      <c r="D13" s="115">
        <f t="shared" si="7"/>
        <v>0</v>
      </c>
      <c r="E13" s="115">
        <f>IF(D13&lt;=368,D13,IF(D13&lt;=552,368+0.8*(D13-368),IF(D13&lt;=736,515.2+0.6*(D13-552),625.6+0.4*(D13-736))))</f>
        <v>0</v>
      </c>
      <c r="F13" s="4"/>
      <c r="G13" s="271" t="s">
        <v>270</v>
      </c>
      <c r="H13" s="159">
        <f>E13/3680+C70*0.03</f>
        <v>0</v>
      </c>
      <c r="I13" s="271" t="s">
        <v>272</v>
      </c>
      <c r="J13" s="119">
        <f>1-H13</f>
        <v>1</v>
      </c>
      <c r="K13" s="271" t="s">
        <v>273</v>
      </c>
      <c r="L13" s="84">
        <f>622/19130+0.03+(L6+L8)/((L6+L8)*1+1/0.94)+0.05*8*T28</f>
        <v>0.2639229608</v>
      </c>
      <c r="N13" s="290" t="s">
        <v>24</v>
      </c>
      <c r="V13" s="171"/>
    </row>
    <row r="14">
      <c r="B14" s="271" t="s">
        <v>68</v>
      </c>
      <c r="C14" s="174">
        <f>Inputs!C16</f>
        <v>151.4</v>
      </c>
      <c r="D14" s="27"/>
      <c r="E14" s="27"/>
      <c r="F14" s="4"/>
      <c r="G14" s="271" t="s">
        <v>277</v>
      </c>
      <c r="H14" s="159">
        <f>0.03+0.02*C32</f>
        <v>0.03</v>
      </c>
      <c r="I14" s="283" t="s">
        <v>279</v>
      </c>
      <c r="J14" s="133">
        <f>(1+E30*0.05*(1.13*(1-exp(-1*J9*15/60))))*(1+C57*0.06*(1-0.85^(5/(3/((1/(1-0.15*C107))*(1+C130))))))*(1+C117*0.05)*IF(D100=2,(1+0.06*C119*(1-T40*(1-(0.75)^((5+(H15/2))/H15))/(1+3*(1-(0.75)^((5+(H15/2))/H15))*C82)/(1-(0.75)^((5+(H15/2))/H15)))),(1+0.06*(14-5*C131*E137)*C119*(1/S40)))*(1+IF(C127&gt;2,2,IF(C127=2,1,0))*0.03*E127)</f>
        <v>1.187331929</v>
      </c>
      <c r="K14" s="283" t="s">
        <v>281</v>
      </c>
      <c r="L14" s="84">
        <f>MAX(L13-0.015*(C153-90),0)+MAX(H14-0.015*(C153-90),0)+MAX(0.03-0.015*(C153-90),0)</f>
        <v>0.3239229608</v>
      </c>
      <c r="N14" s="291" t="s">
        <v>71</v>
      </c>
      <c r="O14" s="291" t="s">
        <v>115</v>
      </c>
      <c r="P14" s="291" t="s">
        <v>150</v>
      </c>
      <c r="Q14" s="291" t="s">
        <v>282</v>
      </c>
      <c r="R14" s="291" t="s">
        <v>283</v>
      </c>
      <c r="S14" s="291" t="s">
        <v>284</v>
      </c>
    </row>
    <row r="15">
      <c r="B15" s="281" t="s">
        <v>69</v>
      </c>
      <c r="C15" s="174">
        <f>Inputs!C17</f>
        <v>3.6</v>
      </c>
      <c r="D15" s="27"/>
      <c r="E15" s="27"/>
      <c r="F15" s="4"/>
      <c r="G15" s="271" t="s">
        <v>285</v>
      </c>
      <c r="H15" s="178">
        <f>C15/(J9*(1+0.06*(3+1.5*C130*C136)*C59*D59))/((195.5+21.9*C152-0.673*C152^2)/195.5)</f>
        <v>1.378599312</v>
      </c>
      <c r="I15" s="291" t="s">
        <v>286</v>
      </c>
      <c r="J15" s="133">
        <f>(1+E30*0.05*(1.13*(1-exp(-1*J9*15/60))))*IF(D100=2,(1+0.06*C119*(1-T40*(1-(0.75)^((5+(H15/2))/H15))/(1+3*(1-(0.75)^((5+(H15/2))/H15))*C82)/(1-(0.75)^((5+(H15/2))/H15)))),(1+0.02*C49))*(1+C73*0.15*(5+2*C68)*(1/S19*C149*(1-C150)))*(1+0.01*E31)</f>
        <v>1.04</v>
      </c>
      <c r="K15" s="291" t="s">
        <v>288</v>
      </c>
      <c r="L15" s="133">
        <f>IF(C127=4,1/(2.5+(2/(1-(L14+0.3*(0.151+0.367*(J8)-0.0791*(J8)^2+0.0086*(J8)^3)))-1+IF(C152=1,0.5,0))/C152),1/(2.5+(2/(1-(L14+0.3*T38*(8+C110*4)))-1+IF(C152=1,0.5,0))/C152))</f>
        <v>0.3269240909</v>
      </c>
      <c r="N15" s="181">
        <f>IF(X10=0,"Self-Sufficient (+"&amp;Round(-((T10-U10-V10-W10)*(1-$T$76*(10+2*C92))+(T10-U10-V10-W10*(1.3+0.05*C92))*($T$76*(10+2*C92)))/O10%,2)&amp;"%)",($O$10-$X$10)/$O$10)</f>
        <v>0.9996722883</v>
      </c>
      <c r="O15" s="182">
        <f t="shared" ref="O15:P15" si="8">V77</f>
        <v>324430.9328</v>
      </c>
      <c r="P15" s="182">
        <f t="shared" si="8"/>
        <v>112067.4741</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9377307.057</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11527380.24</v>
      </c>
      <c r="S15" s="182">
        <f>$L$7*O10/T10*(0.7+0.3/(1-0.15*C79-0.05*IF(C79&gt;0,1,0)))*(1+($T$76*(10+2*C92))*0.3)</f>
        <v>21771424.44</v>
      </c>
    </row>
    <row r="17">
      <c r="A17" s="2"/>
      <c r="B17" s="294" t="s">
        <v>70</v>
      </c>
      <c r="C17" s="2"/>
      <c r="D17" s="2"/>
      <c r="E17" s="2"/>
      <c r="G17" s="296" t="s">
        <v>292</v>
      </c>
      <c r="H17" s="269" t="s">
        <v>255</v>
      </c>
      <c r="I17" s="268" t="s">
        <v>293</v>
      </c>
      <c r="J17" s="268" t="s">
        <v>294</v>
      </c>
      <c r="K17" s="269" t="s">
        <v>295</v>
      </c>
      <c r="L17" s="269" t="s">
        <v>296</v>
      </c>
      <c r="M17" s="268" t="s">
        <v>297</v>
      </c>
      <c r="N17" s="268" t="s">
        <v>298</v>
      </c>
      <c r="O17" s="268" t="s">
        <v>299</v>
      </c>
      <c r="P17" s="269" t="s">
        <v>300</v>
      </c>
      <c r="Q17" s="268" t="s">
        <v>301</v>
      </c>
      <c r="R17" s="268" t="s">
        <v>302</v>
      </c>
      <c r="S17" s="268" t="s">
        <v>303</v>
      </c>
      <c r="T17" s="268" t="s">
        <v>304</v>
      </c>
      <c r="U17" s="268" t="s">
        <v>305</v>
      </c>
      <c r="V17" s="269" t="s">
        <v>115</v>
      </c>
      <c r="W17" s="269" t="s">
        <v>150</v>
      </c>
      <c r="X17" s="268" t="s">
        <v>306</v>
      </c>
      <c r="Y17" s="269" t="s">
        <v>307</v>
      </c>
      <c r="Z17" s="268" t="s">
        <v>308</v>
      </c>
      <c r="AA17" s="268" t="s">
        <v>309</v>
      </c>
      <c r="AB17" s="269" t="s">
        <v>310</v>
      </c>
    </row>
    <row r="18">
      <c r="A18" s="2"/>
      <c r="B18" s="276" t="s">
        <v>72</v>
      </c>
      <c r="C18" s="276" t="s">
        <v>73</v>
      </c>
      <c r="D18" s="276" t="s">
        <v>74</v>
      </c>
      <c r="E18" s="276" t="s">
        <v>75</v>
      </c>
      <c r="G18" s="297" t="s">
        <v>195</v>
      </c>
      <c r="H18" s="194"/>
      <c r="I18" s="194"/>
      <c r="J18" s="194"/>
      <c r="K18" s="194"/>
      <c r="L18" s="194"/>
      <c r="M18" s="194"/>
      <c r="N18" s="194"/>
      <c r="O18" s="195"/>
      <c r="P18" s="194"/>
      <c r="Q18" s="196">
        <f>1.5/$J$9</f>
        <v>0.983880796</v>
      </c>
      <c r="R18" s="197">
        <v>120.0</v>
      </c>
      <c r="S18" s="198">
        <f>R18+$C$151</f>
        <v>120.8</v>
      </c>
      <c r="T18" s="196">
        <f>1/S18*C102*D102</f>
        <v>0</v>
      </c>
      <c r="U18" s="199">
        <f>T18*Q18</f>
        <v>0</v>
      </c>
      <c r="V18" s="194"/>
      <c r="W18" s="194"/>
      <c r="X18" s="194"/>
      <c r="Y18" s="194"/>
      <c r="Z18" s="194"/>
      <c r="AA18" s="195"/>
      <c r="AB18" s="194"/>
    </row>
    <row r="19">
      <c r="A19" s="2"/>
      <c r="B19" s="174" t="str">
        <f>Inputs!B21</f>
        <v/>
      </c>
      <c r="C19" s="174">
        <f>Inputs!C21</f>
        <v>1</v>
      </c>
      <c r="D19" s="79"/>
      <c r="E19" s="79"/>
      <c r="G19" s="281" t="s">
        <v>311</v>
      </c>
      <c r="H19" s="201"/>
      <c r="I19" s="194"/>
      <c r="J19" s="203"/>
      <c r="K19" s="195"/>
      <c r="L19" s="195"/>
      <c r="M19" s="195"/>
      <c r="N19" s="194"/>
      <c r="O19" s="196">
        <f>AA19/T19</f>
        <v>58.26106481</v>
      </c>
      <c r="P19" s="194"/>
      <c r="Q19" s="194"/>
      <c r="R19" s="197">
        <v>60.0</v>
      </c>
      <c r="S19" s="196">
        <f>(R19-20*C68+20*C81)</f>
        <v>40</v>
      </c>
      <c r="T19" s="196">
        <f>1/S19*C149*C150</f>
        <v>0.01</v>
      </c>
      <c r="U19" s="195"/>
      <c r="V19" s="195"/>
      <c r="W19" s="195"/>
      <c r="X19" s="195"/>
      <c r="Y19" s="194"/>
      <c r="Z19" s="194"/>
      <c r="AA19" s="196">
        <f>T19*$J$10*(1+0.4*$C$68)*(1+0.15*$C$46)*25</f>
        <v>0.5826106481</v>
      </c>
      <c r="AB19" s="194"/>
    </row>
    <row r="20">
      <c r="A20" s="2"/>
      <c r="B20" s="276" t="s">
        <v>76</v>
      </c>
      <c r="C20" s="276" t="s">
        <v>77</v>
      </c>
      <c r="D20" s="276" t="s">
        <v>78</v>
      </c>
      <c r="G20" s="276" t="s">
        <v>141</v>
      </c>
      <c r="H20" s="27"/>
      <c r="I20" s="194"/>
      <c r="J20" s="194"/>
      <c r="K20" s="194"/>
      <c r="L20" s="194"/>
      <c r="M20" s="194"/>
      <c r="N20" s="194"/>
      <c r="O20" s="194"/>
      <c r="P20" s="194"/>
      <c r="Q20" s="196">
        <f t="shared" ref="Q20:Q22" si="9">1.5/$J$9</f>
        <v>0.983880796</v>
      </c>
      <c r="R20" s="204">
        <v>240.0</v>
      </c>
      <c r="S20" s="205">
        <f>240-60*C67</f>
        <v>180</v>
      </c>
      <c r="T20" s="196">
        <f>1/S20*C61*D61</f>
        <v>0</v>
      </c>
      <c r="U20" s="199">
        <f t="shared" ref="U20:U22" si="10">T20*Q20</f>
        <v>0</v>
      </c>
      <c r="V20" s="194"/>
      <c r="W20" s="195"/>
      <c r="X20" s="195"/>
      <c r="Y20" s="194"/>
      <c r="Z20" s="194"/>
      <c r="AA20" s="194"/>
      <c r="AB20" s="194"/>
    </row>
    <row r="21">
      <c r="A21" s="2"/>
      <c r="B21" s="25" t="str">
        <f>Inputs!B23</f>
        <v/>
      </c>
      <c r="C21" s="25" t="str">
        <f>Inputs!C23</f>
        <v/>
      </c>
      <c r="D21" s="78"/>
      <c r="G21" s="276" t="s">
        <v>313</v>
      </c>
      <c r="H21" s="206">
        <v>1.5</v>
      </c>
      <c r="I21" s="194"/>
      <c r="J21" s="207">
        <f>($J$6*(1+$E$116)*(1+$D$157)+$C$14*6)*H21*$J$10*$L$11*(1+0.01*E25)</f>
        <v>9466.337868</v>
      </c>
      <c r="K21" s="196">
        <f>J21*$J$8*$C$152*$J$14*(1+0.08*C120*D120)
</f>
        <v>70711.93832</v>
      </c>
      <c r="L21" s="209">
        <f>K21/$C$152</f>
        <v>14142.38766</v>
      </c>
      <c r="M21" s="209">
        <f>K21*$L$12</f>
        <v>13081.70859</v>
      </c>
      <c r="N21" s="194"/>
      <c r="O21" s="194"/>
      <c r="P21" s="194"/>
      <c r="Q21" s="196">
        <f t="shared" si="9"/>
        <v>0.983880796</v>
      </c>
      <c r="R21" s="197">
        <v>180.0</v>
      </c>
      <c r="S21" s="198">
        <f t="shared" ref="S21:S22" si="11">R21+$C$151</f>
        <v>180.8</v>
      </c>
      <c r="T21" s="196">
        <f>1/S21*E25</f>
        <v>0</v>
      </c>
      <c r="U21" s="199">
        <f t="shared" si="10"/>
        <v>0</v>
      </c>
      <c r="V21" s="196">
        <f>T21*K21</f>
        <v>0</v>
      </c>
      <c r="W21" s="196">
        <f>T21*L21</f>
        <v>0</v>
      </c>
      <c r="X21" s="196">
        <f>T21*M21</f>
        <v>0</v>
      </c>
      <c r="Y21" s="196">
        <f>X21*(1-$C$144)</f>
        <v>0</v>
      </c>
      <c r="Z21" s="194"/>
      <c r="AA21" s="194"/>
      <c r="AB21" s="194"/>
    </row>
    <row r="22">
      <c r="A22" s="2"/>
      <c r="B22" s="2"/>
      <c r="E22" s="2"/>
      <c r="G22" s="281" t="s">
        <v>314</v>
      </c>
      <c r="H22" s="201"/>
      <c r="I22" s="194"/>
      <c r="J22" s="203"/>
      <c r="K22" s="195"/>
      <c r="L22" s="195"/>
      <c r="M22" s="195"/>
      <c r="N22" s="194"/>
      <c r="O22" s="211">
        <f>20</f>
        <v>20</v>
      </c>
      <c r="P22" s="194"/>
      <c r="Q22" s="196">
        <f t="shared" si="9"/>
        <v>0.983880796</v>
      </c>
      <c r="R22" s="197">
        <v>120.0</v>
      </c>
      <c r="S22" s="198">
        <f t="shared" si="11"/>
        <v>120.8</v>
      </c>
      <c r="T22" s="196">
        <f>1/S22*C28</f>
        <v>0</v>
      </c>
      <c r="U22" s="199">
        <f t="shared" si="10"/>
        <v>0</v>
      </c>
      <c r="V22" s="195"/>
      <c r="W22" s="195"/>
      <c r="X22" s="195"/>
      <c r="Y22" s="194"/>
      <c r="Z22" s="194"/>
      <c r="AA22" s="196">
        <f>T22*O22</f>
        <v>0</v>
      </c>
      <c r="AB22" s="194"/>
    </row>
    <row r="23">
      <c r="A23" s="2"/>
      <c r="B23" s="294" t="s">
        <v>79</v>
      </c>
      <c r="C23" s="2"/>
      <c r="D23" s="2"/>
      <c r="E23" s="2"/>
      <c r="G23" s="281" t="s">
        <v>315</v>
      </c>
      <c r="H23" s="212">
        <f>5*C15/12*1.25*1.2</f>
        <v>2.25</v>
      </c>
      <c r="I23" s="194"/>
      <c r="J23" s="207">
        <f>($J$6*(1+$E$116)*(1+$D$157)+169*15/120*$C$24+$C$14*6)*H23*$J$10*$L$11</f>
        <v>14199.5068</v>
      </c>
      <c r="K23" s="196">
        <f>J23*$J$8*0.7*$J$14*(1+0.08*C120*D120)
</f>
        <v>14849.50705</v>
      </c>
      <c r="L23" s="209">
        <f>K23</f>
        <v>14849.50705</v>
      </c>
      <c r="M23" s="209">
        <f>K23*$L$12</f>
        <v>2747.158804</v>
      </c>
      <c r="N23" s="215"/>
      <c r="O23" s="194"/>
      <c r="P23" s="194"/>
      <c r="Q23" s="195"/>
      <c r="R23" s="216">
        <f>C15</f>
        <v>3.6</v>
      </c>
      <c r="S23" s="209">
        <f>H15</f>
        <v>1.378599312</v>
      </c>
      <c r="T23" s="209">
        <f>1/S23</f>
        <v>0.7253739295</v>
      </c>
      <c r="U23" s="217"/>
      <c r="V23" s="196">
        <f t="shared" ref="V23:V24" si="12">T23*K23</f>
        <v>10771.44528</v>
      </c>
      <c r="W23" s="196">
        <f t="shared" ref="W23:W24" si="13">T23*L23</f>
        <v>10771.44528</v>
      </c>
      <c r="X23" s="196">
        <f t="shared" ref="X23:X24" si="14">T23*M23</f>
        <v>1992.717376</v>
      </c>
      <c r="Y23" s="196">
        <f t="shared" ref="Y23:Y29" si="15">X23*(1-$C$144)</f>
        <v>1594.173901</v>
      </c>
      <c r="Z23" s="194"/>
      <c r="AA23" s="194"/>
      <c r="AB23" s="194"/>
    </row>
    <row r="24">
      <c r="A24" s="2"/>
      <c r="B24" s="281" t="s">
        <v>80</v>
      </c>
      <c r="C24" s="25">
        <f>Inputs!C26</f>
        <v>0</v>
      </c>
      <c r="D24" s="308" t="s">
        <v>81</v>
      </c>
      <c r="E24" s="25">
        <f>Inputs!E26</f>
        <v>0</v>
      </c>
      <c r="G24" s="276" t="s">
        <v>316</v>
      </c>
      <c r="H24" s="218">
        <f>0.1115*1.4/6*1.36*1.075*15</f>
        <v>0.5705455</v>
      </c>
      <c r="I24" s="204">
        <v>1.15</v>
      </c>
      <c r="J24" s="219">
        <f>($J$6*(1+$E$116)*(1+$D$157)+169*15/120*$C$24+$C$14*6)*H24*$J$10*$L$11*I24*(1+0.01*C24)</f>
        <v>4140.748629</v>
      </c>
      <c r="K24" s="196">
        <f>(J24*$J$8*INT($J$9*10/1+1)*0.7*$J$14+J24*7.875*1.25*$J$8*$C$152/SQRT(MAX(1,$C$152/8))*$J$14)*(1+0.15*$C$152/SQRT(MAX(1,$C$152/8))*(1+$C$131*0.05*MIN(1,5/$C$152))*J10)</f>
        <v>727368.0093</v>
      </c>
      <c r="L24" s="196">
        <f>(J24*$J$8*INT($J$9*10/1+1)*0.7*$J$14+J24*7.875*1.25*$J$8/SQRT(MAX(1,$C$152/8))*$J$14)+(K24/(1+0.15*$C$152/SQRT(MAX(1,$C$152/8))*(1+$C$131*0.05*MIN(1,5/$C$152))*J10))*(0.15*1/SQRT(MAX(1,$C$152/8))*(1+$C$131*0.05)*J10)</f>
        <v>199182.7069</v>
      </c>
      <c r="M24" s="196">
        <f>K24/((1+$C$131*0.05*MIN(1,5/$C$152)))/$C$152</f>
        <v>138546.2875</v>
      </c>
      <c r="N24" s="194"/>
      <c r="O24" s="194"/>
      <c r="P24" s="194"/>
      <c r="Q24" s="195"/>
      <c r="R24" s="195"/>
      <c r="S24" s="196">
        <f>S38</f>
        <v>90.8</v>
      </c>
      <c r="T24" s="196">
        <f>1/S24*C131</f>
        <v>0.01101321586</v>
      </c>
      <c r="U24" s="222"/>
      <c r="V24" s="196">
        <f t="shared" si="12"/>
        <v>8010.660895</v>
      </c>
      <c r="W24" s="196">
        <f t="shared" si="13"/>
        <v>2193.642146</v>
      </c>
      <c r="X24" s="196">
        <f t="shared" si="14"/>
        <v>1525.840171</v>
      </c>
      <c r="Y24" s="196">
        <f t="shared" si="15"/>
        <v>1220.672136</v>
      </c>
      <c r="Z24" s="194"/>
      <c r="AA24" s="194"/>
      <c r="AB24" s="194"/>
    </row>
    <row r="25">
      <c r="A25" s="2"/>
      <c r="B25" s="281" t="s">
        <v>83</v>
      </c>
      <c r="C25" s="25">
        <f>Inputs!C27</f>
        <v>0</v>
      </c>
      <c r="D25" s="308" t="s">
        <v>84</v>
      </c>
      <c r="E25" s="25">
        <f>Inputs!E27</f>
        <v>0</v>
      </c>
      <c r="G25" s="281" t="s">
        <v>177</v>
      </c>
      <c r="H25" s="206">
        <f>1.4256*1.15</f>
        <v>1.63944</v>
      </c>
      <c r="I25" s="204">
        <v>1.15</v>
      </c>
      <c r="J25" s="207">
        <f>($J$6*(1+$E$116)*(1+$D$157)+169*15/120*$C$24+$C$14*6)*H25*$J$10*$L$11*I25*(1+0.01*$E$25)*(1+0.3*C130)</f>
        <v>11898.27793</v>
      </c>
      <c r="K25" s="196">
        <f>J25*$J$8*$C$152*$J$14*(1+C130*0.15*$B$19*(1+0.2*$C$63))*(1+$C$131*0.05*MIN(1,5/$C$152))*$H$135*(1+0.08*C120*D120)
</f>
        <v>93322.02403</v>
      </c>
      <c r="L25" s="209">
        <f t="shared" ref="L25:L26" si="16">K25/$C$152</f>
        <v>18664.40481</v>
      </c>
      <c r="M25" s="209">
        <f>K25*$L$12</f>
        <v>17264.57445</v>
      </c>
      <c r="N25" s="194"/>
      <c r="O25" s="194"/>
      <c r="P25" s="195"/>
      <c r="Q25" s="196">
        <f>1.5/$J$9</f>
        <v>0.983880796</v>
      </c>
      <c r="R25" s="197">
        <v>7.5</v>
      </c>
      <c r="S25" s="196">
        <f>1/((1/(R25/J9))+(C113/((R25/J9)/((1/(1-0.15*C107))/3*(1+C130)*(1-(1-H8)^C152)*0.25))))</f>
        <v>4.91940398</v>
      </c>
      <c r="T25" s="196">
        <f>MIN(1/S25,MAX((1-SUM(U19:U23,U29:U41,U43:U50,U52:U76)-($L$9+SUM(Z19:Z50,Z52:Z76))*Q51/(-N51)+(SUM(AA19:AA24,AA26:AA41,AA43:AA50,AA52:AA76)+(($L$9+SUM(Z19:Z50)+SUM(Z52:Z76))*O51/(-N51)))/O42*Q42)/Q25*(-O42/(O25-O42)),(1+C130)/24-T47*C130*0.5))</f>
        <v>0.04166666667</v>
      </c>
      <c r="U25" s="199">
        <f>T25*Q25</f>
        <v>0.04099503317</v>
      </c>
      <c r="V25" s="196">
        <f>(T25+C108*T51*(1-(1-0.15)*(1-0.15*MAX(4,C152-1)))*1.5)*K25</f>
        <v>40872.21588</v>
      </c>
      <c r="W25" s="196">
        <f>(T25+C108*T51*(1-(1-0.15)*(1-0.15*MAX(4,C152-1)))*1.5)*L25</f>
        <v>8174.443176</v>
      </c>
      <c r="X25" s="196">
        <f>(T25+C108*T51*0.15*1.5)*M25</f>
        <v>2274.357875</v>
      </c>
      <c r="Y25" s="196">
        <f t="shared" si="15"/>
        <v>1819.4863</v>
      </c>
      <c r="Z25" s="194"/>
      <c r="AA25" s="195"/>
      <c r="AB25" s="195"/>
    </row>
    <row r="26">
      <c r="A26" s="2"/>
      <c r="B26" s="281" t="s">
        <v>85</v>
      </c>
      <c r="C26" s="25">
        <f>Inputs!C28</f>
        <v>0</v>
      </c>
      <c r="D26" s="308" t="s">
        <v>86</v>
      </c>
      <c r="E26" s="25">
        <f>Inputs!E28</f>
        <v>0</v>
      </c>
      <c r="G26" s="276" t="s">
        <v>161</v>
      </c>
      <c r="H26" s="218">
        <v>1.2</v>
      </c>
      <c r="I26" s="204">
        <v>1.15</v>
      </c>
      <c r="J26" s="207">
        <f>($J$6*(1+$E$116)*(1+$D$157)+169*15/120*$C$24+$C$14*6)*H26*$J$10*$L$11*I26*(1+0.01*$E$25)</f>
        <v>8709.030839</v>
      </c>
      <c r="K26" s="196">
        <f>J26*$J$8*$C$152*$J$14*(1+$C$131*0.05*MIN(1,5/$C$152))*(1+0.08*C120*D120)
</f>
        <v>68307.73242</v>
      </c>
      <c r="L26" s="196">
        <f t="shared" si="16"/>
        <v>13661.54648</v>
      </c>
      <c r="M26" s="196">
        <f>K26*(1+$L$12)*1.25</f>
        <v>101180.8286</v>
      </c>
      <c r="N26" s="194"/>
      <c r="O26" s="194"/>
      <c r="P26" s="194"/>
      <c r="Q26" s="195"/>
      <c r="R26" s="204">
        <v>120.0</v>
      </c>
      <c r="S26" s="204">
        <v>120.0</v>
      </c>
      <c r="T26" s="196">
        <f>1/S26*C76</f>
        <v>0</v>
      </c>
      <c r="U26" s="222"/>
      <c r="V26" s="196">
        <f>T26*K26</f>
        <v>0</v>
      </c>
      <c r="W26" s="196">
        <f>T26*L26</f>
        <v>0</v>
      </c>
      <c r="X26" s="196">
        <f t="shared" ref="X26:X28" si="17">T26*M26</f>
        <v>0</v>
      </c>
      <c r="Y26" s="196">
        <f t="shared" si="15"/>
        <v>0</v>
      </c>
      <c r="Z26" s="195"/>
      <c r="AA26" s="195"/>
      <c r="AB26" s="194"/>
    </row>
    <row r="27">
      <c r="A27" s="2"/>
      <c r="B27" s="281" t="s">
        <v>88</v>
      </c>
      <c r="C27" s="25">
        <f>Inputs!C29</f>
        <v>0</v>
      </c>
      <c r="D27" s="308" t="s">
        <v>89</v>
      </c>
      <c r="E27" s="25">
        <f>Inputs!E29</f>
        <v>0</v>
      </c>
      <c r="G27" s="276" t="s">
        <v>208</v>
      </c>
      <c r="H27" s="224"/>
      <c r="I27" s="194"/>
      <c r="J27" s="194"/>
      <c r="K27" s="194"/>
      <c r="L27" s="194"/>
      <c r="M27" s="196">
        <f>V10/T19</f>
        <v>1176566.776</v>
      </c>
      <c r="N27" s="194"/>
      <c r="O27" s="194"/>
      <c r="P27" s="194"/>
      <c r="Q27" s="195"/>
      <c r="R27" s="194"/>
      <c r="S27" s="194"/>
      <c r="T27" s="196">
        <f>T19*C112</f>
        <v>0</v>
      </c>
      <c r="U27" s="222"/>
      <c r="V27" s="222"/>
      <c r="W27" s="222"/>
      <c r="X27" s="196">
        <f t="shared" si="17"/>
        <v>0</v>
      </c>
      <c r="Y27" s="196">
        <f t="shared" si="15"/>
        <v>0</v>
      </c>
      <c r="Z27" s="195"/>
      <c r="AA27" s="194"/>
      <c r="AB27" s="194"/>
    </row>
    <row r="28">
      <c r="A28" s="2"/>
      <c r="B28" s="281" t="s">
        <v>90</v>
      </c>
      <c r="C28" s="25">
        <f>Inputs!C30</f>
        <v>0</v>
      </c>
      <c r="D28" s="308" t="s">
        <v>91</v>
      </c>
      <c r="E28" s="25">
        <f>Inputs!E30</f>
        <v>0</v>
      </c>
      <c r="G28" s="276" t="s">
        <v>215</v>
      </c>
      <c r="H28" s="206">
        <v>0.64</v>
      </c>
      <c r="I28" s="204">
        <v>1.15</v>
      </c>
      <c r="J28" s="207">
        <f>($J$6*(1+$E$116)*(1+$D$157)+169*15/120*$C$24+$C$14*6)*H28*$J$10*$L$11*I28*(1+0.01*E25)</f>
        <v>4644.816447</v>
      </c>
      <c r="K28" s="196">
        <f>J28*$J$8*$C$152/SQRT(MAX(1,$C$152/8))*$J$14*9*(1+0.08*C120*D120)*(1+$C$131*0.05*MIN(1,5/$C$152))</f>
        <v>327877.1156</v>
      </c>
      <c r="L28" s="196">
        <f t="shared" ref="L28:L29" si="18">K28/$C$152</f>
        <v>65575.42312</v>
      </c>
      <c r="M28" s="209">
        <f>K28*$L$12</f>
        <v>60657.26639</v>
      </c>
      <c r="N28" s="194"/>
      <c r="O28" s="219">
        <f>MIN(C152,5)*2*9</f>
        <v>90</v>
      </c>
      <c r="P28" s="194"/>
      <c r="Q28" s="195"/>
      <c r="R28" s="194"/>
      <c r="S28" s="194"/>
      <c r="T28" s="196">
        <f>T38*C118</f>
        <v>0</v>
      </c>
      <c r="U28" s="222"/>
      <c r="V28" s="196">
        <f>T28*K28</f>
        <v>0</v>
      </c>
      <c r="W28" s="196">
        <f>T28*L28</f>
        <v>0</v>
      </c>
      <c r="X28" s="196">
        <f t="shared" si="17"/>
        <v>0</v>
      </c>
      <c r="Y28" s="196">
        <f t="shared" si="15"/>
        <v>0</v>
      </c>
      <c r="Z28" s="195"/>
      <c r="AA28" s="196">
        <f>T28*O28</f>
        <v>0</v>
      </c>
      <c r="AB28" s="194"/>
    </row>
    <row r="29">
      <c r="A29" s="2"/>
      <c r="B29" s="281" t="s">
        <v>92</v>
      </c>
      <c r="C29" s="25">
        <f>Inputs!C31</f>
        <v>0</v>
      </c>
      <c r="D29" s="308" t="s">
        <v>93</v>
      </c>
      <c r="E29" s="25">
        <f>Inputs!E31</f>
        <v>0</v>
      </c>
      <c r="G29" s="281" t="s">
        <v>321</v>
      </c>
      <c r="H29" s="237">
        <f>0.3348*24/3*(1/(1-0.15*C107))</f>
        <v>3.151058824</v>
      </c>
      <c r="I29" s="204">
        <v>1.15</v>
      </c>
      <c r="J29" s="207">
        <f>($J$6*(1+$E$116)*(1+$D$157)+169*15/120*$C$24+$C$14*6)*H29*$J$10*$L$11*I29*(1+0.01*E25)</f>
        <v>22868.89039</v>
      </c>
      <c r="K29" s="196">
        <f>J29*$J$8*$C$152*$J$14*(1+0.4*C117*D117)*(1+$C$131*0.05*MIN(1,5/$C$152))*(1+0.08*C120*D120)*(1+0.15*C131)/(1+0.05*C117)
</f>
        <v>259314.9799</v>
      </c>
      <c r="L29" s="196">
        <f t="shared" si="18"/>
        <v>51862.99599</v>
      </c>
      <c r="M29" s="196">
        <f>K29*(1+0.85*$C$107+$L$12)*1.25</f>
        <v>659632.4802</v>
      </c>
      <c r="N29" s="194"/>
      <c r="O29" s="194"/>
      <c r="P29" s="194"/>
      <c r="Q29" s="195"/>
      <c r="R29" s="194"/>
      <c r="S29" s="194"/>
      <c r="T29" s="195"/>
      <c r="U29" s="222"/>
      <c r="V29" s="196">
        <f>K29/24*(1+C130)</f>
        <v>10804.79083</v>
      </c>
      <c r="W29" s="196">
        <f>L29/24*(1+C130)</f>
        <v>2160.958166</v>
      </c>
      <c r="X29" s="196">
        <f>M29/24*(1+C130)</f>
        <v>27484.68668</v>
      </c>
      <c r="Y29" s="196">
        <f t="shared" si="15"/>
        <v>21987.74934</v>
      </c>
      <c r="Z29" s="195"/>
      <c r="AA29" s="195"/>
      <c r="AB29" s="194"/>
    </row>
    <row r="30">
      <c r="A30" s="2"/>
      <c r="B30" s="276" t="s">
        <v>94</v>
      </c>
      <c r="C30" s="25">
        <f>Inputs!C32</f>
        <v>0</v>
      </c>
      <c r="D30" s="276" t="s">
        <v>95</v>
      </c>
      <c r="E30" s="25">
        <f>Inputs!E32</f>
        <v>0</v>
      </c>
      <c r="G30" s="276" t="s">
        <v>327</v>
      </c>
      <c r="H30" s="224"/>
      <c r="I30" s="194"/>
      <c r="J30" s="194"/>
      <c r="K30" s="194"/>
      <c r="L30" s="194"/>
      <c r="M30" s="209">
        <f>MIN(J11*(MAX(5*0.2*T10*(1+0.05*C111),7/100*L7)*(1+0.15*C42))*$J$10*(1+0.15*C46)*(1+0.2*C115),(0.5+0.15*C114)*L7*MAX(1,T42/0.2)/(1+($T$76*(10+2*C92))*(0.3+0.05*C92)))</f>
        <v>369741.5393</v>
      </c>
      <c r="N30" s="194"/>
      <c r="O30" s="194"/>
      <c r="P30" s="194"/>
      <c r="Q30" s="194"/>
      <c r="R30" s="194"/>
      <c r="S30" s="194"/>
      <c r="T30" s="196">
        <f>T42</f>
        <v>0.4013494365</v>
      </c>
      <c r="U30" s="222"/>
      <c r="V30" s="222"/>
      <c r="W30" s="222"/>
      <c r="X30" s="196">
        <f>MIN(T30,0.2)*M30</f>
        <v>73948.30786</v>
      </c>
      <c r="Y30" s="196">
        <f t="shared" ref="Y30:Y33" si="19">X30</f>
        <v>73948.30786</v>
      </c>
      <c r="Z30" s="195"/>
      <c r="AA30" s="195"/>
      <c r="AB30" s="194"/>
    </row>
    <row r="31">
      <c r="A31" s="2"/>
      <c r="B31" s="276" t="s">
        <v>96</v>
      </c>
      <c r="C31" s="25">
        <f>Inputs!C33</f>
        <v>0</v>
      </c>
      <c r="D31" s="276" t="s">
        <v>97</v>
      </c>
      <c r="E31" s="25">
        <f>Inputs!E33</f>
        <v>0</v>
      </c>
      <c r="G31" s="276" t="s">
        <v>328</v>
      </c>
      <c r="H31" s="218">
        <v>9.0</v>
      </c>
      <c r="I31" s="194"/>
      <c r="J31" s="219">
        <f>($J$6*(1+$E$116)*(1+$D$157)+169*15/120*$C$24+$C$14*6)*H31*$J$10*$L$11*(1+0.01*E25)</f>
        <v>56798.02721</v>
      </c>
      <c r="K31" s="196">
        <f>J31*$J$8*(2*$C$152/3+1/3)*(1+$C$131*0.05*MIN(1,5.5/($C$152+0.5)))*$H$135
</f>
        <v>266613.9526</v>
      </c>
      <c r="L31" s="196">
        <f>K31/(2*$C$152/3+1/3)</f>
        <v>72712.89617</v>
      </c>
      <c r="M31" s="209">
        <f>K31*$L$12</f>
        <v>49323.58123</v>
      </c>
      <c r="N31" s="194"/>
      <c r="O31" s="194"/>
      <c r="P31" s="194"/>
      <c r="Q31" s="195"/>
      <c r="R31" s="195"/>
      <c r="S31" s="195"/>
      <c r="T31" s="196">
        <f>T42/10*C158</f>
        <v>0.04013494365</v>
      </c>
      <c r="U31" s="222"/>
      <c r="V31" s="196">
        <f t="shared" ref="V31:V33" si="20">T31*K31</f>
        <v>10700.53597</v>
      </c>
      <c r="W31" s="196">
        <f t="shared" ref="W31:W33" si="21">T31*L31</f>
        <v>2918.327991</v>
      </c>
      <c r="X31" s="196">
        <f t="shared" ref="X31:X33" si="22">T31*M31</f>
        <v>1979.599154</v>
      </c>
      <c r="Y31" s="196">
        <f t="shared" si="19"/>
        <v>1979.599154</v>
      </c>
      <c r="Z31" s="194"/>
      <c r="AA31" s="194"/>
      <c r="AB31" s="194"/>
    </row>
    <row r="32">
      <c r="A32" s="2"/>
      <c r="B32" s="276" t="s">
        <v>98</v>
      </c>
      <c r="C32" s="25">
        <f>Inputs!C34</f>
        <v>0</v>
      </c>
      <c r="D32" s="276" t="s">
        <v>99</v>
      </c>
      <c r="E32" s="25">
        <f>Inputs!E34</f>
        <v>0</v>
      </c>
      <c r="G32" s="281" t="s">
        <v>193</v>
      </c>
      <c r="H32" s="206">
        <f>0.235*1.4/6*1.075</f>
        <v>0.05894583333</v>
      </c>
      <c r="I32" s="204">
        <v>1.0</v>
      </c>
      <c r="J32" s="219">
        <f>($J$6*(1+$E$116)*(1+$D$157)+169*15/120*$C$24+$C$14*6)*H32*$J$10*$L$11*I32*(1+0.01*C24)</f>
        <v>372.0007828</v>
      </c>
      <c r="K32" s="196">
        <f>J32*$J$8*INT($J$9*D101/1.4+1)*0.7*$J$14</f>
        <v>4146.63318</v>
      </c>
      <c r="L32" s="196">
        <f>K32</f>
        <v>4146.63318</v>
      </c>
      <c r="M32" s="196">
        <f>L7*0.5*0.15</f>
        <v>126217.095</v>
      </c>
      <c r="N32" s="194"/>
      <c r="O32" s="194"/>
      <c r="P32" s="194"/>
      <c r="Q32" s="195"/>
      <c r="R32" s="197">
        <f>60/5</f>
        <v>12</v>
      </c>
      <c r="S32" s="196">
        <f>R32/1.13</f>
        <v>10.61946903</v>
      </c>
      <c r="T32" s="196">
        <f>1/S32*C101</f>
        <v>0</v>
      </c>
      <c r="U32" s="222"/>
      <c r="V32" s="196">
        <f t="shared" si="20"/>
        <v>0</v>
      </c>
      <c r="W32" s="196">
        <f t="shared" si="21"/>
        <v>0</v>
      </c>
      <c r="X32" s="196">
        <f t="shared" si="22"/>
        <v>0</v>
      </c>
      <c r="Y32" s="196">
        <f t="shared" si="19"/>
        <v>0</v>
      </c>
      <c r="Z32" s="194"/>
      <c r="AA32" s="194"/>
      <c r="AB32" s="194"/>
    </row>
    <row r="33">
      <c r="A33" s="2"/>
      <c r="B33" s="276" t="s">
        <v>100</v>
      </c>
      <c r="C33" s="25">
        <f>Inputs!C35</f>
        <v>0</v>
      </c>
      <c r="D33" s="276" t="s">
        <v>101</v>
      </c>
      <c r="E33" s="25">
        <f>Inputs!E35</f>
        <v>0</v>
      </c>
      <c r="G33" s="276" t="s">
        <v>211</v>
      </c>
      <c r="H33" s="218">
        <v>1.1</v>
      </c>
      <c r="I33" s="204">
        <v>1.15</v>
      </c>
      <c r="J33" s="207">
        <f>($J$6*(1+$E$116)*(1+$D$157)+169*15/120*$C$24+$C$14*6)*H33*$J$10*$L$11*I33*(1+0.01*$E$25)</f>
        <v>7983.278269</v>
      </c>
      <c r="K33" s="196">
        <f>J33*$J$8*$J$14*(1+$C$131*0.05*MIN(1,5/$C$152))*$H$135*(1+0.08*C127)
</f>
        <v>16017.89849</v>
      </c>
      <c r="L33" s="196">
        <f>K33/C$152</f>
        <v>3203.579699</v>
      </c>
      <c r="M33" s="209">
        <f>K33*$L$12</f>
        <v>2963.311221</v>
      </c>
      <c r="N33" s="194"/>
      <c r="O33" s="194"/>
      <c r="P33" s="194"/>
      <c r="Q33" s="203"/>
      <c r="R33" s="204">
        <v>0.5</v>
      </c>
      <c r="S33" s="196">
        <f>1/T42</f>
        <v>2.491594379</v>
      </c>
      <c r="T33" s="196">
        <f>1/S33*C114</f>
        <v>0</v>
      </c>
      <c r="U33" s="203"/>
      <c r="V33" s="196">
        <f t="shared" si="20"/>
        <v>0</v>
      </c>
      <c r="W33" s="196">
        <f t="shared" si="21"/>
        <v>0</v>
      </c>
      <c r="X33" s="196">
        <f t="shared" si="22"/>
        <v>0</v>
      </c>
      <c r="Y33" s="196">
        <f t="shared" si="19"/>
        <v>0</v>
      </c>
      <c r="Z33" s="194"/>
      <c r="AA33" s="194"/>
      <c r="AB33" s="194"/>
    </row>
    <row r="34">
      <c r="A34" s="2"/>
      <c r="B34" s="276" t="s">
        <v>102</v>
      </c>
      <c r="C34" s="25">
        <f>Inputs!C36</f>
        <v>0</v>
      </c>
      <c r="D34" s="276" t="s">
        <v>103</v>
      </c>
      <c r="E34" s="25">
        <f>Inputs!E36</f>
        <v>0</v>
      </c>
      <c r="G34" s="276" t="s">
        <v>329</v>
      </c>
      <c r="H34" s="252"/>
      <c r="I34" s="203"/>
      <c r="J34" s="203"/>
      <c r="K34" s="203"/>
      <c r="L34" s="203"/>
      <c r="M34" s="203"/>
      <c r="N34" s="194"/>
      <c r="O34" s="194"/>
      <c r="P34" s="194"/>
      <c r="Q34" s="203"/>
      <c r="R34" s="203"/>
      <c r="S34" s="203"/>
      <c r="T34" s="203"/>
      <c r="U34" s="203"/>
      <c r="V34" s="203"/>
      <c r="W34" s="203"/>
      <c r="X34" s="196">
        <f>T10*0.02*E33</f>
        <v>0</v>
      </c>
      <c r="Y34" s="196">
        <f t="shared" ref="Y34:Y36" si="23">X34*(1-$C$144)</f>
        <v>0</v>
      </c>
      <c r="Z34" s="194"/>
      <c r="AA34" s="194"/>
      <c r="AB34" s="194"/>
    </row>
    <row r="35">
      <c r="A35" s="2"/>
      <c r="B35" s="276" t="s">
        <v>104</v>
      </c>
      <c r="C35" s="25">
        <f>Inputs!C37</f>
        <v>0</v>
      </c>
      <c r="D35" s="276"/>
      <c r="E35" s="25" t="str">
        <f>Inputs!E37</f>
        <v/>
      </c>
      <c r="G35" s="281" t="s">
        <v>218</v>
      </c>
      <c r="H35" s="218">
        <f>4.8084*1.3</f>
        <v>6.25092</v>
      </c>
      <c r="I35" s="204">
        <v>1.15</v>
      </c>
      <c r="J35" s="207">
        <f>($J$6*(1+$E$116)*(1+$D$157)+169*15/120*$C$24+$C$14*6)*H35*$J$10*$L$11*I35*(1+0.01*$E$25)</f>
        <v>45366.21254</v>
      </c>
      <c r="K35" s="196">
        <f>J35*$J$8*$C$152/SQRT(MAX(1,$C$152/8))*$J$14*(1+$C$131*0.05*MIN(1,5/$C$152))*(1+0.08*C120*D120)+24/(1+C130)*V29*D121*0.25*(1+0.08*C120*D120)</f>
        <v>422725.0738</v>
      </c>
      <c r="L35" s="196">
        <f>K35/$C$152</f>
        <v>84545.01476</v>
      </c>
      <c r="M35" s="196">
        <f>K35*$L$12+24/(1+C130)*V29*D121*0.25*(1+0.08*C120*D120)*(1+0.5*$C$107+$L$12)*1.25+K35*C125*1.5*J11*J10*(1+0.15*C46)*(1+0.2*C115)/(1-$C$144)</f>
        <v>219119.1402</v>
      </c>
      <c r="N35" s="194"/>
      <c r="O35" s="194"/>
      <c r="P35" s="194"/>
      <c r="Q35" s="196">
        <f>(1+0.5*D121)/$J$9</f>
        <v>0.983880796</v>
      </c>
      <c r="R35" s="204">
        <v>45.0</v>
      </c>
      <c r="S35" s="198">
        <f>(R35/(1+$C$125*22.5*1.1/60*1.13*$J$9))+$C$151</f>
        <v>45.8</v>
      </c>
      <c r="T35" s="196">
        <f>1/S35*C121</f>
        <v>0</v>
      </c>
      <c r="U35" s="199">
        <f t="shared" ref="U35:U36" si="24">T35*Q35</f>
        <v>0</v>
      </c>
      <c r="V35" s="196">
        <f t="shared" ref="V35:V36" si="25">T35*K35</f>
        <v>0</v>
      </c>
      <c r="W35" s="196">
        <f t="shared" ref="W35:W36" si="26">T35*L35</f>
        <v>0</v>
      </c>
      <c r="X35" s="196">
        <f t="shared" ref="X35:X36" si="27">T35*M35</f>
        <v>0</v>
      </c>
      <c r="Y35" s="196">
        <f t="shared" si="23"/>
        <v>0</v>
      </c>
      <c r="Z35" s="194"/>
      <c r="AA35" s="194"/>
      <c r="AB35" s="194"/>
    </row>
    <row r="36">
      <c r="A36" s="2"/>
      <c r="B36" s="2"/>
      <c r="C36" s="2"/>
      <c r="D36" s="2"/>
      <c r="E36" s="2"/>
      <c r="G36" s="276" t="s">
        <v>330</v>
      </c>
      <c r="H36" s="253">
        <v>2.52</v>
      </c>
      <c r="I36" s="203"/>
      <c r="J36" s="207">
        <f>($J$6*(1+$E$116)*(1+$D$157)+$C$14*6)*H36*$J$10*$L$11</f>
        <v>15903.44762</v>
      </c>
      <c r="K36" s="196">
        <f>J36*$J$8*$J$14*(1+0.08*C120*D120)</f>
        <v>23759.21128</v>
      </c>
      <c r="L36" s="196">
        <f>K36</f>
        <v>23759.21128</v>
      </c>
      <c r="M36" s="194"/>
      <c r="N36" s="194"/>
      <c r="O36" s="194"/>
      <c r="P36" s="194"/>
      <c r="Q36" s="196">
        <f>1.5/$J$9</f>
        <v>0.983880796</v>
      </c>
      <c r="R36" s="197">
        <v>90.0</v>
      </c>
      <c r="S36" s="198">
        <f>R36+$C$151</f>
        <v>90.8</v>
      </c>
      <c r="T36" s="196">
        <f>1/S36*IF($E$29=1,1,0)</f>
        <v>0</v>
      </c>
      <c r="U36" s="199">
        <f t="shared" si="24"/>
        <v>0</v>
      </c>
      <c r="V36" s="196">
        <f t="shared" si="25"/>
        <v>0</v>
      </c>
      <c r="W36" s="196">
        <f t="shared" si="26"/>
        <v>0</v>
      </c>
      <c r="X36" s="196">
        <f t="shared" si="27"/>
        <v>0</v>
      </c>
      <c r="Y36" s="196">
        <f t="shared" si="23"/>
        <v>0</v>
      </c>
      <c r="Z36" s="194"/>
      <c r="AA36" s="194"/>
      <c r="AB36" s="194"/>
    </row>
    <row r="37">
      <c r="A37" s="2"/>
      <c r="B37" s="321" t="s">
        <v>105</v>
      </c>
      <c r="C37" s="283" t="s">
        <v>106</v>
      </c>
      <c r="D37" s="283" t="s">
        <v>107</v>
      </c>
      <c r="E37" s="2"/>
      <c r="G37" s="276" t="s">
        <v>331</v>
      </c>
      <c r="H37" s="254"/>
      <c r="I37" s="255"/>
      <c r="J37" s="255"/>
      <c r="K37" s="255"/>
      <c r="L37" s="255"/>
      <c r="M37" s="194"/>
      <c r="N37" s="204">
        <v>1.0</v>
      </c>
      <c r="O37" s="194"/>
      <c r="P37" s="255"/>
      <c r="Q37" s="255"/>
      <c r="R37" s="255"/>
      <c r="S37" s="255"/>
      <c r="T37" s="196">
        <f>F127</f>
        <v>0.1402974432</v>
      </c>
      <c r="U37" s="195"/>
      <c r="V37" s="195"/>
      <c r="W37" s="195"/>
      <c r="X37" s="195"/>
      <c r="Y37" s="194"/>
      <c r="Z37" s="196">
        <f>T37*N37</f>
        <v>0.1402974432</v>
      </c>
      <c r="AA37" s="194"/>
      <c r="AB37" s="194"/>
    </row>
    <row r="38">
      <c r="A38" s="322" t="s">
        <v>108</v>
      </c>
      <c r="B38" s="276" t="s">
        <v>109</v>
      </c>
      <c r="C38" s="25">
        <f>Inputs!C40</f>
        <v>1</v>
      </c>
      <c r="D38" s="78"/>
      <c r="E38" s="2"/>
      <c r="G38" s="281"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2066007.829</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641712.8202</v>
      </c>
      <c r="M38" s="194"/>
      <c r="N38" s="194"/>
      <c r="O38" s="194"/>
      <c r="P38" s="256">
        <f>D105*C105</f>
        <v>5</v>
      </c>
      <c r="Q38" s="196">
        <f>1.5/$J$9</f>
        <v>0.983880796</v>
      </c>
      <c r="R38" s="197">
        <v>120.0</v>
      </c>
      <c r="S38" s="196">
        <f>120-30*C105+$C$151</f>
        <v>90.8</v>
      </c>
      <c r="T38" s="196">
        <f>1/S38*C98*C149</f>
        <v>0.01101321586</v>
      </c>
      <c r="U38" s="199">
        <f>T38*Q38</f>
        <v>0.01083569159</v>
      </c>
      <c r="V38" s="196">
        <f t="shared" ref="V38:V40" si="28">T38*K38</f>
        <v>22753.39019</v>
      </c>
      <c r="W38" s="196">
        <f t="shared" ref="W38:W40" si="29">T38*L38</f>
        <v>7067.321808</v>
      </c>
      <c r="X38" s="195"/>
      <c r="Y38" s="194"/>
      <c r="Z38" s="194"/>
      <c r="AA38" s="194"/>
      <c r="AB38" s="196">
        <f>P38*T38</f>
        <v>0.0550660793</v>
      </c>
    </row>
    <row r="39">
      <c r="A39" s="97"/>
      <c r="B39" s="276" t="s">
        <v>110</v>
      </c>
      <c r="C39" s="25">
        <f>Inputs!C41</f>
        <v>1</v>
      </c>
      <c r="D39" s="78"/>
      <c r="E39" s="2"/>
      <c r="G39" s="276"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452787.6408</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179503.2611</v>
      </c>
      <c r="M39" s="194"/>
      <c r="N39" s="255"/>
      <c r="O39" s="255"/>
      <c r="P39" s="194"/>
      <c r="Q39" s="255"/>
      <c r="R39" s="255"/>
      <c r="S39" s="255">
        <f>IF(OR(D100=1,AND(C152&lt;4,C131=1)),MAX((10-5*C131*E137+H15*3.5+C151),12),0)+IF(NOT(OR(D100=1,AND(C152&lt;4,C131=1))),15-5*C131*E137-C82,0)</f>
        <v>14</v>
      </c>
      <c r="T39" s="196">
        <f>IF(C127&gt;3,1,0)*0.1*(T40+T43+T51+T57+T63)</f>
        <v>0.05623539705</v>
      </c>
      <c r="U39" s="195"/>
      <c r="V39" s="196">
        <f t="shared" si="28"/>
        <v>25462.69276</v>
      </c>
      <c r="W39" s="196">
        <f t="shared" si="29"/>
        <v>10094.43716</v>
      </c>
      <c r="X39" s="195"/>
      <c r="Y39" s="194"/>
      <c r="Z39" s="194"/>
      <c r="AA39" s="194"/>
      <c r="AB39" s="195"/>
    </row>
    <row r="40">
      <c r="A40" s="98"/>
      <c r="B40" s="276" t="s">
        <v>111</v>
      </c>
      <c r="C40" s="25">
        <f>Inputs!C42</f>
        <v>1</v>
      </c>
      <c r="D40" s="78"/>
      <c r="E40" s="2"/>
      <c r="G40" s="281" t="s">
        <v>333</v>
      </c>
      <c r="H40" s="237">
        <f>0.083*(11+2*C107)*1.3*1.25</f>
        <v>1.753375</v>
      </c>
      <c r="I40" s="204">
        <f>1.48*1.15</f>
        <v>1.702</v>
      </c>
      <c r="J40" s="207">
        <f>($J$6*(1+$E$116)*(1+$D$157)+169*15/120*$C$24+$C$14*6)*H40*$J$10*$L$11*I40*(1+0.01*E25)</f>
        <v>18833.2429</v>
      </c>
      <c r="K40" s="196">
        <f>J40*$J$8*$C$152*$J$14*(1+$C$131*0.05*MIN(1,5/$C$152))*(1+0.08*C120*D120)
</f>
        <v>147715.1867</v>
      </c>
      <c r="L40" s="196">
        <f>K40/$C$152</f>
        <v>29543.03735</v>
      </c>
      <c r="M40" s="196">
        <f>K40*$L$12+($J$6*(1+$E$116)*(1+$D$157)+4925*15/120*C24+$C$14*6)*0.375*(D97+2*C104)*$J$10*$J$8*$L$11*C94*(1-IF(OR(D100=1,AND(C152&lt;4,C131=1)),0,1)*IF(D100=2,1-(1-(0.75)^((5+(H15/2))/H15))/(1+3*(1-(0.75)^((5+(H15/2))/H15))*C82),1)*IF(NOT(OR(OR(D100=1,AND(C152&lt;4,C131=1)),D100=2)),1-(1-(0.75)^((4+(H15/2))/H15)),1))</f>
        <v>43535.63882</v>
      </c>
      <c r="N40" s="196">
        <f>-1*IF(OR(D100=1,AND(C152&lt;4,C131=1)),0,1)*IF(D100=2,1-(1-(0.75)^((5+(H15/2))/H15))/(1+3*(1-(0.75)^((5+(H15/2))/H15))*C82),1)*IF(NOT(OR(OR(D100=1,AND(C152&lt;4,C131=1)),D100=2)),1-(1-(0.75)^((4+(H15/2))/H15)),1)</f>
        <v>-0.3758559437</v>
      </c>
      <c r="O40" s="196">
        <f>10*IF(OR(D100=1,AND(C152&lt;4,C131=1)),C94,1)*IF(D100=2,IF(C94&gt;0,1,1-(1-(0.75)^((5+(H15/2))/H15))/(1+3*(1-(0.75)^((5+(H15/2))/H15))*C82)),1)*IF(NOT(OR(OR(D100=1,AND(C152&lt;4,C131=1)),D100=2)),IF(C94&gt;0,1,1-(1-(0.75)^((4+(H15/2))/H15))),1)</f>
        <v>10</v>
      </c>
      <c r="P40" s="194"/>
      <c r="Q40" s="196">
        <f>1.5/$J$9</f>
        <v>0.983880796</v>
      </c>
      <c r="R40" s="197">
        <v>15.0</v>
      </c>
      <c r="S40" s="196">
        <f>IF(OR(D100=1,AND(C152&lt;4,C131=1)),MAX((10-5*C131*E137+H15*3.5+C151),12),0)+IF(NOT(OR(D100=1,AND(C152&lt;4,C131=1))),15-5*C131*E137-C82,0)</f>
        <v>14</v>
      </c>
      <c r="T40" s="196">
        <f>1/S40</f>
        <v>0.07142857143</v>
      </c>
      <c r="U40" s="199">
        <f>T40*Q40</f>
        <v>0.07027719971</v>
      </c>
      <c r="V40" s="196">
        <f t="shared" si="28"/>
        <v>10551.08477</v>
      </c>
      <c r="W40" s="196">
        <f t="shared" si="29"/>
        <v>2110.216954</v>
      </c>
      <c r="X40" s="196">
        <f t="shared" ref="X40:X41" si="30">T40*M40</f>
        <v>3109.688487</v>
      </c>
      <c r="Y40" s="196">
        <f>X40*(1-$C$144)</f>
        <v>2487.75079</v>
      </c>
      <c r="Z40" s="196">
        <f>T40*N40</f>
        <v>-0.02684685312</v>
      </c>
      <c r="AA40" s="196">
        <f>T40*O40</f>
        <v>0.7142857143</v>
      </c>
      <c r="AB40" s="194"/>
    </row>
    <row r="41">
      <c r="A41" s="322" t="s">
        <v>112</v>
      </c>
      <c r="B41" s="276" t="s">
        <v>113</v>
      </c>
      <c r="C41" s="25">
        <f>Inputs!C43</f>
        <v>1</v>
      </c>
      <c r="D41" s="78"/>
      <c r="E41" s="2"/>
      <c r="G41" s="276" t="s">
        <v>135</v>
      </c>
      <c r="H41" s="254"/>
      <c r="I41" s="194"/>
      <c r="J41" s="194"/>
      <c r="K41" s="255"/>
      <c r="L41" s="255"/>
      <c r="M41" s="196">
        <f>$L$7*(0.2+0.1*C62)*$J$10</f>
        <v>430976.8412</v>
      </c>
      <c r="N41" s="194"/>
      <c r="O41" s="194"/>
      <c r="P41" s="194"/>
      <c r="Q41" s="194"/>
      <c r="R41" s="197">
        <v>120.0</v>
      </c>
      <c r="S41" s="198">
        <f>R41-30*C62+$C$151</f>
        <v>120.8</v>
      </c>
      <c r="T41" s="196">
        <f>1/S41*C56</f>
        <v>0</v>
      </c>
      <c r="U41" s="222"/>
      <c r="V41" s="222"/>
      <c r="W41" s="222"/>
      <c r="X41" s="196">
        <f t="shared" si="30"/>
        <v>0</v>
      </c>
      <c r="Y41" s="196">
        <f>X41</f>
        <v>0</v>
      </c>
      <c r="Z41" s="194"/>
      <c r="AA41" s="194"/>
      <c r="AB41" s="194"/>
    </row>
    <row r="42">
      <c r="A42" s="97"/>
      <c r="B42" s="276" t="s">
        <v>114</v>
      </c>
      <c r="C42" s="25">
        <f>Inputs!C44</f>
        <v>1</v>
      </c>
      <c r="D42" s="78"/>
      <c r="G42" s="323" t="s">
        <v>110</v>
      </c>
      <c r="H42" s="260">
        <f>1.5312*1.2*1.12</f>
        <v>2.0579328</v>
      </c>
      <c r="I42" s="204">
        <f>2.3</f>
        <v>2.3</v>
      </c>
      <c r="J42" s="207">
        <f>($J$6*(1+$E$116)*(1+$D$157)+169*15/120*$C$24+$C$14*6)*H42*$J$10*$L$11*I42*(1+0.12*C130)</f>
        <v>29871.00036</v>
      </c>
      <c r="K42" s="196">
        <f>J42*$J$8*0.7*(1+C99*0.08*MIN((T25+C108*T51*(1-(1-0.15)*(1-0.15*MAX(4,C152-1))))/T42*C152,5))*(1+0.6*C19*(1+0.2*C63))*$J$14*(1+0.08*C120)*(1+0.05*K134)*MAX((1+0.2*C63*C19),MIN((1+0.2*C63*C19)+C106*0.75*(C152-1),(1+0.2*C63*C19)+C106*1.5))</f>
        <v>272610.7645</v>
      </c>
      <c r="L42" s="196">
        <f>K42*(1+0.2*C63*C19)/MAX((1+0.2*C63*C19),MIN((1+0.2*C63*C19)+C106*0.75*(C152-1),(1+0.2*C63*C19)+C106*1.5))</f>
        <v>121160.3398</v>
      </c>
      <c r="M42" s="196">
        <f>K42*$L$12+MAX(5*0.2*T10*(1+0.05*C111),7/100*L7)*(1+C99*0.08*MIN((T25+C108*T51*(1-(1-0.15)*(1-0.15*MAX(4,C152-1))))/T42*C152,5))*$J$10*$J$15*(1+0.15*C42)</f>
        <v>889066.4805</v>
      </c>
      <c r="N42" s="194"/>
      <c r="O42" s="196">
        <f>(-45)+5*C91+IF(C42&gt;0,5,0)+10*8*T26</f>
        <v>-35</v>
      </c>
      <c r="P42" s="194"/>
      <c r="Q42" s="196">
        <f t="shared" ref="Q42:Q43" si="31">1.5/$J$9</f>
        <v>0.983880796</v>
      </c>
      <c r="R42" s="194"/>
      <c r="S42" s="194"/>
      <c r="T42" s="196">
        <f>-(SUM(AA19:AA41,AA43:AA76))/O42</f>
        <v>0.4013494365</v>
      </c>
      <c r="U42" s="199">
        <f t="shared" ref="U42:U43" si="32">T42*Q42</f>
        <v>0.3948800031</v>
      </c>
      <c r="V42" s="196">
        <f t="shared" ref="V42:V44" si="33">T42*K42</f>
        <v>109412.1767</v>
      </c>
      <c r="W42" s="196">
        <f t="shared" ref="W42:W44" si="34">T42*L42</f>
        <v>48627.6341</v>
      </c>
      <c r="X42" s="196">
        <f>MIN(T42,0.2)*M42</f>
        <v>177813.2961</v>
      </c>
      <c r="Y42" s="196">
        <f t="shared" ref="Y42:Y48" si="35">X42*(1-$C$144)</f>
        <v>142250.6369</v>
      </c>
      <c r="Z42" s="194"/>
      <c r="AA42" s="196">
        <f t="shared" ref="AA42:AA43" si="36">T42*O42</f>
        <v>-14.04723028</v>
      </c>
      <c r="AB42" s="194"/>
    </row>
    <row r="43">
      <c r="A43" s="98"/>
      <c r="B43" s="276" t="s">
        <v>116</v>
      </c>
      <c r="C43" s="25">
        <f>Inputs!C45</f>
        <v>1</v>
      </c>
      <c r="D43" s="78"/>
      <c r="E43" s="2"/>
      <c r="G43" s="281" t="s">
        <v>334</v>
      </c>
      <c r="H43" s="263">
        <f>0.4374</f>
        <v>0.4374</v>
      </c>
      <c r="I43" s="204">
        <v>1.15</v>
      </c>
      <c r="J43" s="207">
        <f>($J$6*(1+$E$116)*(1+$D$157)+169*15/120*$C$24+$C$14*6)*H43*$J$10*$L$11*I43*(1+0.01*E25)</f>
        <v>3174.441741</v>
      </c>
      <c r="K43" s="196">
        <f>J43*$J$8*$J$14*(1+$C$131*0.05)*(1+0.08*C120*D120)</f>
        <v>4979.633694</v>
      </c>
      <c r="L43" s="209">
        <f t="shared" ref="L43:L46" si="37">K43</f>
        <v>4979.633694</v>
      </c>
      <c r="M43" s="209">
        <f>K43*$L$12</f>
        <v>921.2322333</v>
      </c>
      <c r="N43" s="197">
        <v>-1.0</v>
      </c>
      <c r="O43" s="211">
        <v>10.0</v>
      </c>
      <c r="P43" s="204">
        <v>2.0</v>
      </c>
      <c r="Q43" s="196">
        <f t="shared" si="31"/>
        <v>0.983880796</v>
      </c>
      <c r="R43" s="204">
        <v>6.0</v>
      </c>
      <c r="S43" s="198">
        <f>IF(4*Q43&gt;=R43,4*Q43,(IF(5*Q43&gt;=R43,5*Q43,(IF(6*Q43&gt;=R43,6*Q43,(IF(7*Q43&gt;=R43,7*Q43,(8*Q43))))))))</f>
        <v>6.887165572</v>
      </c>
      <c r="T43" s="196">
        <f>MIN(1/S43,(L15-SUM(AB19:AB42)-SUM(AB44:AB56)-SUM(AB61:AB76))/2)*D87</f>
        <v>0</v>
      </c>
      <c r="U43" s="199">
        <f t="shared" si="32"/>
        <v>0</v>
      </c>
      <c r="V43" s="196">
        <f t="shared" si="33"/>
        <v>0</v>
      </c>
      <c r="W43" s="196">
        <f t="shared" si="34"/>
        <v>0</v>
      </c>
      <c r="X43" s="196">
        <f t="shared" ref="X43:X44" si="38">T43*M43</f>
        <v>0</v>
      </c>
      <c r="Y43" s="196">
        <f t="shared" si="35"/>
        <v>0</v>
      </c>
      <c r="Z43" s="196">
        <f>T43*N43</f>
        <v>0</v>
      </c>
      <c r="AA43" s="196">
        <f t="shared" si="36"/>
        <v>0</v>
      </c>
      <c r="AB43" s="196">
        <f>P43*T43</f>
        <v>0</v>
      </c>
    </row>
    <row r="44">
      <c r="A44" s="322" t="s">
        <v>117</v>
      </c>
      <c r="B44" s="276" t="s">
        <v>118</v>
      </c>
      <c r="C44" s="25">
        <f>Inputs!C46</f>
        <v>1</v>
      </c>
      <c r="D44" s="264">
        <f>Inputs!D46</f>
        <v>0</v>
      </c>
      <c r="G44" s="276" t="s">
        <v>335</v>
      </c>
      <c r="H44" s="263">
        <f>0.22</f>
        <v>0.22</v>
      </c>
      <c r="I44" s="255"/>
      <c r="J44" s="207">
        <f t="shared" ref="J44:J45" si="39">($J$6*(1+$E$116)*(1+$D$157)+$C$14*6)*H44*$J$10*$L$11</f>
        <v>1388.396221</v>
      </c>
      <c r="K44" s="196">
        <f>J44*$J$8*$J$14*(1+0.08*C120*D120)</f>
        <v>2074.216858</v>
      </c>
      <c r="L44" s="196">
        <f t="shared" si="37"/>
        <v>2074.216858</v>
      </c>
      <c r="M44" s="196">
        <f>K44*(1+$L$12)</f>
        <v>2457.946976</v>
      </c>
      <c r="N44" s="255"/>
      <c r="O44" s="255"/>
      <c r="P44" s="194"/>
      <c r="Q44" s="255"/>
      <c r="R44" s="197">
        <f>60/3</f>
        <v>20</v>
      </c>
      <c r="S44" s="196">
        <f>R44/1.13/$J$9</f>
        <v>11.60921293</v>
      </c>
      <c r="T44" s="196">
        <f>1/S44*IF($E$28=1,1,0)</f>
        <v>0</v>
      </c>
      <c r="U44" s="194"/>
      <c r="V44" s="196">
        <f t="shared" si="33"/>
        <v>0</v>
      </c>
      <c r="W44" s="196">
        <f t="shared" si="34"/>
        <v>0</v>
      </c>
      <c r="X44" s="196">
        <f t="shared" si="38"/>
        <v>0</v>
      </c>
      <c r="Y44" s="196">
        <f t="shared" si="35"/>
        <v>0</v>
      </c>
      <c r="Z44" s="194"/>
      <c r="AA44" s="194"/>
      <c r="AB44" s="194"/>
    </row>
    <row r="45">
      <c r="A45" s="97"/>
      <c r="B45" s="276" t="s">
        <v>119</v>
      </c>
      <c r="C45" s="25">
        <f>Inputs!C47</f>
        <v>1</v>
      </c>
      <c r="D45" s="78"/>
      <c r="G45" s="276" t="s">
        <v>336</v>
      </c>
      <c r="H45" s="253">
        <v>0.075</v>
      </c>
      <c r="I45" s="255"/>
      <c r="J45" s="207">
        <f t="shared" si="39"/>
        <v>473.3168934</v>
      </c>
      <c r="K45" s="209">
        <f>J45*$J$8*$J$14*(1+0.08*C120*D120)</f>
        <v>707.1193832</v>
      </c>
      <c r="L45" s="196">
        <f t="shared" si="37"/>
        <v>707.1193832</v>
      </c>
      <c r="M45" s="196">
        <f t="shared" ref="M45:M47" si="40">K45*$L$12</f>
        <v>130.8170859</v>
      </c>
      <c r="N45" s="255"/>
      <c r="O45" s="255"/>
      <c r="P45" s="194"/>
      <c r="Q45" s="255"/>
      <c r="R45" s="194"/>
      <c r="S45" s="194"/>
      <c r="T45" s="194"/>
      <c r="U45" s="194"/>
      <c r="V45" s="209">
        <f>IF(IF($E$28=2,1,0),1.13*(exp(6*12*J9/60)-1)*(1-(1-exp(-6*12*J9/60))^3)*K45/6,0)</f>
        <v>0</v>
      </c>
      <c r="W45" s="196">
        <f>V45</f>
        <v>0</v>
      </c>
      <c r="X45" s="196">
        <f>V45*$L$12</f>
        <v>0</v>
      </c>
      <c r="Y45" s="196">
        <f t="shared" si="35"/>
        <v>0</v>
      </c>
      <c r="Z45" s="194"/>
      <c r="AA45" s="194"/>
      <c r="AB45" s="194"/>
    </row>
    <row r="46">
      <c r="A46" s="97"/>
      <c r="B46" s="276" t="s">
        <v>120</v>
      </c>
      <c r="C46" s="25">
        <f>Inputs!C48</f>
        <v>2</v>
      </c>
      <c r="D46" s="78"/>
      <c r="G46" s="276" t="s">
        <v>337</v>
      </c>
      <c r="H46" s="253">
        <f>7.1545*1.2*1.2</f>
        <v>10.30248</v>
      </c>
      <c r="I46" s="204">
        <v>1.15</v>
      </c>
      <c r="J46" s="207">
        <f t="shared" ref="J46:J47" si="41">($J$6*(1+$E$116)*(1+$D$157)+169*15/120*$C$24+$C$14*6)*H46*$J$10*$L$11*I46*(1+0.01*$E$25)</f>
        <v>74770.51336</v>
      </c>
      <c r="K46" s="196">
        <f>J46*$J$8*$J$14*(1+C130*0.15*$B$19*(1+0.2*$C$63))*$H$135*(1+0.08*C120*D120)
</f>
        <v>111704.6107</v>
      </c>
      <c r="L46" s="196">
        <f t="shared" si="37"/>
        <v>111704.6107</v>
      </c>
      <c r="M46" s="196">
        <f t="shared" si="40"/>
        <v>20665.35297</v>
      </c>
      <c r="N46" s="194"/>
      <c r="O46" s="194"/>
      <c r="P46" s="194"/>
      <c r="Q46" s="194"/>
      <c r="R46" s="194"/>
      <c r="S46" s="194"/>
      <c r="T46" s="196">
        <f>T64*(3-C137)+T38</f>
        <v>0.01101321586</v>
      </c>
      <c r="U46" s="194"/>
      <c r="V46" s="196">
        <f t="shared" ref="V46:V47" si="42">T46*K46</f>
        <v>1230.22699</v>
      </c>
      <c r="W46" s="196">
        <f t="shared" ref="W46:W47" si="43">T46*L46</f>
        <v>1230.22699</v>
      </c>
      <c r="X46" s="196">
        <f t="shared" ref="X46:X48" si="44">T46*M46</f>
        <v>227.5919931</v>
      </c>
      <c r="Y46" s="196">
        <f t="shared" si="35"/>
        <v>182.0735945</v>
      </c>
      <c r="Z46" s="194"/>
      <c r="AA46" s="194"/>
      <c r="AB46" s="194"/>
    </row>
    <row r="47">
      <c r="A47" s="97"/>
      <c r="B47" s="276" t="s">
        <v>122</v>
      </c>
      <c r="C47" s="25">
        <f>Inputs!C49</f>
        <v>0</v>
      </c>
      <c r="D47" s="78"/>
      <c r="G47" s="276" t="s">
        <v>338</v>
      </c>
      <c r="H47" s="253">
        <f>3.91*1.2</f>
        <v>4.692</v>
      </c>
      <c r="I47" s="204">
        <v>1.15</v>
      </c>
      <c r="J47" s="207">
        <f t="shared" si="41"/>
        <v>34052.31058</v>
      </c>
      <c r="K47" s="196">
        <f>J47*$J$8*$C$152/SQRT(MAX(1,$C$152/8))*$J$14*(1+C130*0.15*$B$19*(1+0.2*$C$63))*$H$135*(1+0.08*C120*D120)
</f>
        <v>254364.9845</v>
      </c>
      <c r="L47" s="209">
        <f>K47/$C$152</f>
        <v>50872.99691</v>
      </c>
      <c r="M47" s="209">
        <f t="shared" si="40"/>
        <v>47057.52214</v>
      </c>
      <c r="N47" s="194"/>
      <c r="O47" s="194"/>
      <c r="P47" s="194"/>
      <c r="Q47" s="194"/>
      <c r="R47" s="194"/>
      <c r="S47" s="194"/>
      <c r="T47" s="196">
        <f>T64*(3-C137)+T38</f>
        <v>0.01101321586</v>
      </c>
      <c r="U47" s="194"/>
      <c r="V47" s="196">
        <f t="shared" si="42"/>
        <v>2801.376482</v>
      </c>
      <c r="W47" s="196">
        <f t="shared" si="43"/>
        <v>560.2752963</v>
      </c>
      <c r="X47" s="196">
        <f t="shared" si="44"/>
        <v>518.2546491</v>
      </c>
      <c r="Y47" s="196">
        <f t="shared" si="35"/>
        <v>414.6037193</v>
      </c>
      <c r="Z47" s="194"/>
      <c r="AA47" s="194"/>
      <c r="AB47" s="194"/>
    </row>
    <row r="48">
      <c r="A48" s="97"/>
      <c r="B48" s="276" t="s">
        <v>123</v>
      </c>
      <c r="C48" s="25">
        <f>Inputs!C50</f>
        <v>0</v>
      </c>
      <c r="D48" s="78"/>
      <c r="G48" s="276" t="s">
        <v>339</v>
      </c>
      <c r="H48" s="252"/>
      <c r="I48" s="203"/>
      <c r="J48" s="203"/>
      <c r="K48" s="255"/>
      <c r="L48" s="203"/>
      <c r="M48" s="196">
        <f>L7*0.2</f>
        <v>336578.92</v>
      </c>
      <c r="N48" s="194"/>
      <c r="O48" s="194"/>
      <c r="P48" s="194"/>
      <c r="Q48" s="194"/>
      <c r="R48" s="204">
        <v>120.0</v>
      </c>
      <c r="S48" s="198">
        <f t="shared" ref="S48:S50" si="45">R48+$C$151</f>
        <v>120.8</v>
      </c>
      <c r="T48" s="196">
        <f>1/S48*C34</f>
        <v>0</v>
      </c>
      <c r="U48" s="194"/>
      <c r="V48" s="194"/>
      <c r="W48" s="194"/>
      <c r="X48" s="196">
        <f t="shared" si="44"/>
        <v>0</v>
      </c>
      <c r="Y48" s="196">
        <f t="shared" si="35"/>
        <v>0</v>
      </c>
      <c r="Z48" s="194"/>
      <c r="AA48" s="194"/>
      <c r="AB48" s="194"/>
    </row>
    <row r="49">
      <c r="A49" s="97"/>
      <c r="B49" s="276" t="s">
        <v>125</v>
      </c>
      <c r="C49" s="25">
        <f>Inputs!C51</f>
        <v>2</v>
      </c>
      <c r="D49" s="78"/>
      <c r="G49" s="276" t="s">
        <v>196</v>
      </c>
      <c r="H49" s="252"/>
      <c r="I49" s="203"/>
      <c r="J49" s="203"/>
      <c r="K49" s="255"/>
      <c r="L49" s="203"/>
      <c r="M49" s="203"/>
      <c r="N49" s="194"/>
      <c r="O49" s="194"/>
      <c r="P49" s="256">
        <f>MIN(C90*C152,6)</f>
        <v>5</v>
      </c>
      <c r="Q49" s="196">
        <f t="shared" ref="Q49:Q51" si="46">1.5/$J$9</f>
        <v>0.983880796</v>
      </c>
      <c r="R49" s="204">
        <v>90.0</v>
      </c>
      <c r="S49" s="198">
        <f t="shared" si="45"/>
        <v>90.8</v>
      </c>
      <c r="T49" s="196">
        <f>1/S49*C103*D103</f>
        <v>0</v>
      </c>
      <c r="U49" s="199">
        <f t="shared" ref="U49:U51" si="47">T49*Q49</f>
        <v>0</v>
      </c>
      <c r="V49" s="194"/>
      <c r="W49" s="194"/>
      <c r="X49" s="194"/>
      <c r="Y49" s="194"/>
      <c r="Z49" s="194"/>
      <c r="AA49" s="194"/>
      <c r="AB49" s="196">
        <f>P49*T49</f>
        <v>0</v>
      </c>
    </row>
    <row r="50">
      <c r="A50" s="97"/>
      <c r="B50" s="276" t="s">
        <v>126</v>
      </c>
      <c r="C50" s="25">
        <f>Inputs!C52</f>
        <v>0</v>
      </c>
      <c r="D50" s="78"/>
      <c r="G50" s="276" t="s">
        <v>340</v>
      </c>
      <c r="H50" s="253">
        <v>3.78</v>
      </c>
      <c r="I50" s="203"/>
      <c r="J50" s="207">
        <f>($J$6*(1+$E$116)*(1+$D$157)+$C$14*6)*H50*$J$10*$L$11</f>
        <v>23855.17143</v>
      </c>
      <c r="K50" s="255"/>
      <c r="L50" s="203"/>
      <c r="M50" s="196">
        <f>J50*$J$8*$J$15</f>
        <v>30248.56481</v>
      </c>
      <c r="N50" s="194"/>
      <c r="O50" s="194"/>
      <c r="P50" s="194"/>
      <c r="Q50" s="196">
        <f t="shared" si="46"/>
        <v>0.983880796</v>
      </c>
      <c r="R50" s="197">
        <v>90.0</v>
      </c>
      <c r="S50" s="198">
        <f t="shared" si="45"/>
        <v>90.8</v>
      </c>
      <c r="T50" s="196">
        <f>1/S50*IF($E$29=2,1,0)</f>
        <v>0</v>
      </c>
      <c r="U50" s="199">
        <f t="shared" si="47"/>
        <v>0</v>
      </c>
      <c r="V50" s="194"/>
      <c r="W50" s="194"/>
      <c r="X50" s="196">
        <f>T50*M50</f>
        <v>0</v>
      </c>
      <c r="Y50" s="196">
        <f t="shared" ref="Y50:Y51" si="48">X50*(1-$C$144)</f>
        <v>0</v>
      </c>
      <c r="Z50" s="194"/>
      <c r="AA50" s="194"/>
      <c r="AB50" s="194"/>
    </row>
    <row r="51">
      <c r="A51" s="98"/>
      <c r="B51" s="276" t="s">
        <v>128</v>
      </c>
      <c r="C51" s="25">
        <f>Inputs!C53</f>
        <v>1</v>
      </c>
      <c r="D51" s="78"/>
      <c r="E51" s="2"/>
      <c r="G51" s="281" t="s">
        <v>175</v>
      </c>
      <c r="H51" s="253">
        <f>1.31112*1.2*1.25</f>
        <v>1.96668</v>
      </c>
      <c r="I51" s="204">
        <v>1.15</v>
      </c>
      <c r="J51" s="207">
        <f>($J$6*(1+$E$116)*(1+$D$157)+169*15/120*$C$24+$C$14*6)*H51*$J$10*$L$11*I51*(1+0.15*C93)</f>
        <v>14273.23064</v>
      </c>
      <c r="K51" s="196">
        <f>J51*$J$8*0.7*IF($C$152&lt;=5,IF($C$152&lt;3,$C$152,2+IF($C$43&gt;0,$C$152-2,0)*((14-5*C131*E137)/S40)),2+IF($C$43&gt;0,3,0)*((14-5*C131*E137)/S40))*$J$14*(1+0.08*C120*D120)</f>
        <v>74633.02844</v>
      </c>
      <c r="L51" s="196">
        <f>K51/IF($C$152&lt;=5,IF($C$152&lt;3,$C$152,2+IF($C$43&gt;0,$C$152-2,0)*((14-5*C131*E137)/S40)),2+IF($C$43&gt;0,3,0)*((14-5*C131*E137)/S40))</f>
        <v>14926.60569</v>
      </c>
      <c r="M51" s="196">
        <f>K51*$L$12+IF($C$152&lt;=5,IF($C$152&lt;3,$C$152,2+IF($C$43&gt;0,$C$152-2,0)*((14-5*C131*E137)/S40)),2+IF($C$43&gt;0,3,0)*((14-5*C131*E137)/S40))*$L$7*0.0025*$C$95</f>
        <v>13807.11026</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6"/>
        <v>0.983880796</v>
      </c>
      <c r="R51" s="194"/>
      <c r="S51" s="194"/>
      <c r="T51" s="196">
        <f>MIN(($L$9+SUM(Z19:Z50)+SUM(Z52:Z76))/(-N51),MAX((1-SUM(U18:U41,U43:U50,U52:U76)+SUM(AA19:AA41,AA43:AA50,AA52:AA76)/O42*Q42)/Q51*(-O42/(O51-O42)),0))</f>
        <v>0.4003060619</v>
      </c>
      <c r="U51" s="199">
        <f t="shared" si="47"/>
        <v>0.3938534468</v>
      </c>
      <c r="V51" s="196">
        <f>(T51-T74+3*(1-C131*T38*(8+C110*4))*C116/(9/(1/(0.5+(2/((L14+0.3*(1-(1-(T38*(8+C110*4)))*(1-IF(C127&gt;3,1,0)*(1-0.875^(8*(T40+T43+T51+T57+T63)))))))-1+IF(C152=1,0.5,0))/C152))+9/(1/(0.5+(2/((L14+0.3*(1-(1-(T38*(8+C110*4)))*(1-IF(C127&gt;3,1,0)*(1-0.875^(8*(T40+T43+T51+T57+T63)))))))-1+IF(C152=1,0.5,0))/C152))/2*((0.8/3^(C152-1))/(1-(0.8/3^(C152-1))))+6)+1.5*(1-C131*(T38*(8+C110*4))/(1-(1-(T38*(8+C110*4)))*(1-IF(C127&gt;3,1,0)*(1-0.875^(8*(T40+T43+T51+T57+T63))))))*F127)*K51</f>
        <v>39245.06523</v>
      </c>
      <c r="W51" s="196">
        <f>(T51-T74+3*(1-C131*T38*(8+C110*4))*C116/(9/(1/(0.5+(2/((L14+0.3*(1-(1-(T38*(8+C110*4)))*(1-IF(C127&gt;3,1,0)*(1-0.875^(8*(T40+T43+T51+T57+T63)))))))-1+IF(C152=1,0.5,0))/C152))+9/(1/(0.5+(2/((L14+0.3*(1-(1-(T38*(8+C110*4)))*(1-IF(C127&gt;3,1,0)*(1-0.875^(8*(T40+T43+T51+T57+T63)))))))-1+IF(C152=1,0.5,0))/C152))/2*((0.8/3^(C152-1))/(1-(0.8/3^(C152-1))))+6)+1.5*(1-C131*(T38*(8+C110*4))/(1-(1-(T38*(8+C110*4)))*(1-IF(C127&gt;3,1,0)*(1-0.875^(8*(T40+T43+T51+T57+T63))))))*F127)*L51</f>
        <v>7849.013046</v>
      </c>
      <c r="X51" s="196">
        <f>(T51-T74)*M51</f>
        <v>2872.971253</v>
      </c>
      <c r="Y51" s="196">
        <f t="shared" si="48"/>
        <v>2298.377002</v>
      </c>
      <c r="Z51" s="196">
        <f>T51*N51</f>
        <v>-0.4003060619</v>
      </c>
      <c r="AA51" s="196">
        <f>T51*O51</f>
        <v>10.00765155</v>
      </c>
      <c r="AB51" s="194"/>
    </row>
    <row r="52">
      <c r="A52" s="329" t="s">
        <v>129</v>
      </c>
      <c r="B52" s="276" t="s">
        <v>130</v>
      </c>
      <c r="C52" s="25">
        <f>Inputs!C54</f>
        <v>1</v>
      </c>
      <c r="D52" s="78"/>
      <c r="G52" s="281"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276" t="s">
        <v>132</v>
      </c>
      <c r="C53" s="25">
        <f>Inputs!C55</f>
        <v>0</v>
      </c>
      <c r="D53" s="78"/>
      <c r="G53" s="276" t="s">
        <v>342</v>
      </c>
      <c r="H53" s="27"/>
      <c r="I53" s="194"/>
      <c r="J53" s="207">
        <f>J29*0.2</f>
        <v>4573.778078</v>
      </c>
      <c r="K53" s="196">
        <f>J53*$J$8*IF($C$152&lt;=5,IF($C$152&lt;3,$C$152,IF($C$43&gt;0,$C$152,2)*(14-5*C131*E137)/$S$40+2*($S$40-(14-5*C131*E137))/$S$40),IF($C$43&gt;0,5,2)*(14-5*C131*E137)/$S$40+2*($S$40-(14-5*C131*E137))/$S$40)*$J$14*(1+$C$131*0.05)*(1+0.08*C120*D120)</f>
        <v>35873.61383</v>
      </c>
      <c r="L53" s="196">
        <f>K53/IF($C$152&lt;=5,IF($C$152&lt;3,$C$152,IF($C$43&gt;0,$C$152,2)*(14-5*C131*E137)/$S$40+2*($S$40-(14-5*C131*E137))/$S$40),IF($C$43&gt;0,5,2)*(14-5*C131*E137)/$S$40+2*($S$40-(14-5*C131*E137))/$S$40)</f>
        <v>7174.722765</v>
      </c>
      <c r="M53" s="209">
        <f>K53*$L$12</f>
        <v>6636.618558</v>
      </c>
      <c r="N53" s="194"/>
      <c r="O53" s="194"/>
      <c r="P53" s="194"/>
      <c r="Q53" s="194"/>
      <c r="R53" s="194"/>
      <c r="S53" s="194"/>
      <c r="T53" s="196">
        <f>C131*T74</f>
        <v>0.1922269492</v>
      </c>
      <c r="U53" s="194"/>
      <c r="V53" s="196">
        <f>T53*K53*C131</f>
        <v>6895.875341</v>
      </c>
      <c r="W53" s="196">
        <f>T53*L53*C131</f>
        <v>1379.175068</v>
      </c>
      <c r="X53" s="196">
        <f>T53*M53*C131</f>
        <v>1275.736938</v>
      </c>
      <c r="Y53" s="196">
        <f>X53*(1-$C$144)</f>
        <v>1020.58955</v>
      </c>
      <c r="Z53" s="195"/>
      <c r="AA53" s="195"/>
      <c r="AB53" s="194"/>
    </row>
    <row r="54">
      <c r="A54" s="97"/>
      <c r="B54" s="276" t="s">
        <v>133</v>
      </c>
      <c r="C54" s="25">
        <f>Inputs!C56</f>
        <v>1</v>
      </c>
      <c r="D54" s="78"/>
      <c r="G54" s="276"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276" t="s">
        <v>134</v>
      </c>
      <c r="C55" s="25">
        <f>Inputs!C57</f>
        <v>1</v>
      </c>
      <c r="D55" s="78"/>
      <c r="G55" s="276" t="s">
        <v>204</v>
      </c>
      <c r="H55" s="27"/>
      <c r="I55" s="194"/>
      <c r="J55" s="194"/>
      <c r="K55" s="194"/>
      <c r="L55" s="255"/>
      <c r="M55" s="196">
        <f>M42*0.2/(1+C99*0.08*MIN((T25+C108*T51*(1-(1-0.15)*(1-0.15*MAX(4,C152-1))))/T42*C152,5))</f>
        <v>136272.0797</v>
      </c>
      <c r="N55" s="194"/>
      <c r="O55" s="194"/>
      <c r="P55" s="194"/>
      <c r="Q55" s="194"/>
      <c r="R55" s="194"/>
      <c r="S55" s="194"/>
      <c r="T55" s="196">
        <f>T42*C109</f>
        <v>0.4013494365</v>
      </c>
      <c r="U55" s="194"/>
      <c r="V55" s="255"/>
      <c r="W55" s="255"/>
      <c r="X55" s="196">
        <f t="shared" ref="X55:X57" si="49">T55*M55</f>
        <v>54692.72242</v>
      </c>
      <c r="Y55" s="196">
        <f t="shared" ref="Y55:Y57" si="50">X55*(1-$C$144)</f>
        <v>43754.17794</v>
      </c>
      <c r="Z55" s="195"/>
      <c r="AA55" s="195"/>
      <c r="AB55" s="194"/>
    </row>
    <row r="56">
      <c r="A56" s="97"/>
      <c r="B56" s="276" t="s">
        <v>135</v>
      </c>
      <c r="C56" s="25">
        <f>Inputs!C58</f>
        <v>0</v>
      </c>
      <c r="D56" s="78"/>
      <c r="G56" s="276" t="s">
        <v>344</v>
      </c>
      <c r="H56" s="253">
        <v>4.2</v>
      </c>
      <c r="I56" s="194"/>
      <c r="J56" s="207">
        <f>($J$6*(1+$E$116)*(1+$D$157)+$C$14*6)*H56*$J$10*$L$11</f>
        <v>26505.74603</v>
      </c>
      <c r="K56" s="196">
        <f>J56*$J$8*$C$152/SQRT(MAX(1,$C$152/8))*$J$14*(1+0.08*C120*D120)
</f>
        <v>197993.4273</v>
      </c>
      <c r="L56" s="196">
        <f>K56/$C$152</f>
        <v>39598.68546</v>
      </c>
      <c r="M56" s="196">
        <f t="shared" ref="M56:M57" si="51">K56*$L$12</f>
        <v>36628.78405</v>
      </c>
      <c r="N56" s="194"/>
      <c r="O56" s="194"/>
      <c r="P56" s="194"/>
      <c r="Q56" s="196">
        <f t="shared" ref="Q56:Q57" si="52">1.5/$J$9</f>
        <v>0.983880796</v>
      </c>
      <c r="R56" s="204">
        <v>150.0</v>
      </c>
      <c r="S56" s="198">
        <f>R56+$C$151</f>
        <v>150.8</v>
      </c>
      <c r="T56" s="196">
        <f>1/S56*E31</f>
        <v>0</v>
      </c>
      <c r="U56" s="199">
        <f t="shared" ref="U56:U57" si="53">T56*Q56</f>
        <v>0</v>
      </c>
      <c r="V56" s="196">
        <f t="shared" ref="V56:V57" si="54">T56*K56</f>
        <v>0</v>
      </c>
      <c r="W56" s="196">
        <f t="shared" ref="W56:W57" si="55">T56*L56</f>
        <v>0</v>
      </c>
      <c r="X56" s="196">
        <f t="shared" si="49"/>
        <v>0</v>
      </c>
      <c r="Y56" s="196">
        <f t="shared" si="50"/>
        <v>0</v>
      </c>
      <c r="Z56" s="195"/>
      <c r="AA56" s="195"/>
      <c r="AB56" s="194"/>
    </row>
    <row r="57">
      <c r="A57" s="97"/>
      <c r="B57" s="276" t="s">
        <v>136</v>
      </c>
      <c r="C57" s="25">
        <f>Inputs!C59</f>
        <v>1</v>
      </c>
      <c r="D57" s="78"/>
      <c r="G57" s="281" t="s">
        <v>176</v>
      </c>
      <c r="H57" s="253">
        <f>1.471*1.5</f>
        <v>2.2065</v>
      </c>
      <c r="I57" s="204">
        <v>1.15</v>
      </c>
      <c r="J57" s="207">
        <f>($J$6*(1+$E$116)*(1+$D$157)+169*15/120*$C$24+$C$14*6)*H57*$J$10*$L$11*I57</f>
        <v>16013.73045</v>
      </c>
      <c r="K57" s="196">
        <f>J57*$J$8*0.7*$J$14*(1+0.08*C120*D120)
</f>
        <v>16746.77907</v>
      </c>
      <c r="L57" s="196">
        <f>K57</f>
        <v>16746.77907</v>
      </c>
      <c r="M57" s="196">
        <f t="shared" si="51"/>
        <v>3098.154127</v>
      </c>
      <c r="N57" s="197">
        <v>-2.0</v>
      </c>
      <c r="O57" s="211">
        <f>20</f>
        <v>20</v>
      </c>
      <c r="P57" s="204">
        <v>3.0</v>
      </c>
      <c r="Q57" s="196">
        <f t="shared" si="52"/>
        <v>0.983880796</v>
      </c>
      <c r="R57" s="194"/>
      <c r="S57" s="194"/>
      <c r="T57" s="196">
        <f>MAX((L15-SUM(AB19:AB56)-SUM(AB58:AB76))/3,T47)</f>
        <v>0.0906193372</v>
      </c>
      <c r="U57" s="199">
        <f t="shared" si="53"/>
        <v>0.08915862562</v>
      </c>
      <c r="V57" s="196">
        <f t="shared" si="54"/>
        <v>1517.582019</v>
      </c>
      <c r="W57" s="196">
        <f t="shared" si="55"/>
        <v>1517.582019</v>
      </c>
      <c r="X57" s="196">
        <f t="shared" si="49"/>
        <v>280.7526736</v>
      </c>
      <c r="Y57" s="196">
        <f t="shared" si="50"/>
        <v>224.6021388</v>
      </c>
      <c r="Z57" s="196">
        <f>(T57-T47/(2))*N57</f>
        <v>-0.1702254585</v>
      </c>
      <c r="AA57" s="196">
        <f t="shared" ref="AA57:AA58" si="56">T57*O57</f>
        <v>1.812386744</v>
      </c>
      <c r="AB57" s="196">
        <f>P57*T57</f>
        <v>0.2718580116</v>
      </c>
    </row>
    <row r="58">
      <c r="A58" s="97"/>
      <c r="B58" s="276" t="s">
        <v>137</v>
      </c>
      <c r="C58" s="25">
        <f>Inputs!C60</f>
        <v>0</v>
      </c>
      <c r="D58" s="78"/>
      <c r="G58" s="276"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6"/>
        <v>0</v>
      </c>
      <c r="AB58" s="194"/>
    </row>
    <row r="59">
      <c r="A59" s="329" t="s">
        <v>138</v>
      </c>
      <c r="B59" s="276" t="s">
        <v>139</v>
      </c>
      <c r="C59" s="25">
        <f>Inputs!C61</f>
        <v>1</v>
      </c>
      <c r="D59" s="264">
        <f>Inputs!D61</f>
        <v>0.9</v>
      </c>
      <c r="E59" s="2"/>
      <c r="G59" s="276" t="s">
        <v>249</v>
      </c>
      <c r="H59" s="27"/>
      <c r="I59" s="278"/>
      <c r="J59" s="194"/>
      <c r="K59" s="256">
        <f>SUM(V25,V26,K28/10*C118,V29,V35,V40,V43,V53,K68/10*C123,IF(C131=1,V74*T51/T74,0))*10*0.15*0.15*$C$152/SQRT(MAX(1,$C$152/8))*(1+$C$131*0.05*MIN(1,5/$C$152))*J10*(1+0.08*C120*D120)</f>
        <v>174737.8144</v>
      </c>
      <c r="L59" s="209">
        <f>K59/$C$152</f>
        <v>34947.56289</v>
      </c>
      <c r="M59" s="196">
        <f>K59/((1+$C$131*0.05*MIN(1,5/$C$152)))/$C$152</f>
        <v>33283.39323</v>
      </c>
      <c r="N59" s="195"/>
      <c r="O59" s="195"/>
      <c r="P59" s="194"/>
      <c r="Q59" s="194"/>
      <c r="R59" s="194"/>
      <c r="S59" s="194"/>
      <c r="T59" s="196">
        <f>T24*C131*E141</f>
        <v>0.01101321586</v>
      </c>
      <c r="U59" s="278"/>
      <c r="V59" s="196">
        <f>T59*K59</f>
        <v>1924.425269</v>
      </c>
      <c r="W59" s="196">
        <f>T59*L59</f>
        <v>384.8850538</v>
      </c>
      <c r="X59" s="196">
        <f>T59*M59</f>
        <v>366.5571941</v>
      </c>
      <c r="Y59" s="196">
        <f>X59*(1-$C$144)</f>
        <v>293.2457553</v>
      </c>
      <c r="Z59" s="194"/>
      <c r="AA59" s="194"/>
      <c r="AB59" s="194"/>
    </row>
    <row r="60">
      <c r="A60" s="97"/>
      <c r="B60" s="276" t="s">
        <v>140</v>
      </c>
      <c r="C60" s="25">
        <f>Inputs!C62</f>
        <v>1</v>
      </c>
      <c r="D60" s="78"/>
      <c r="G60" s="276" t="s">
        <v>133</v>
      </c>
      <c r="H60" s="27"/>
      <c r="I60" s="278"/>
      <c r="J60" s="194"/>
      <c r="K60" s="194"/>
      <c r="L60" s="195"/>
      <c r="M60" s="196">
        <f>K23*0.5*(1+0.15*C46)*(1+C130)</f>
        <v>9652.179581</v>
      </c>
      <c r="N60" s="195"/>
      <c r="O60" s="195"/>
      <c r="P60" s="194"/>
      <c r="Q60" s="194"/>
      <c r="R60" s="194"/>
      <c r="S60" s="194"/>
      <c r="T60" s="196">
        <f>T23*C54</f>
        <v>0.7253739295</v>
      </c>
      <c r="U60" s="278"/>
      <c r="V60" s="194"/>
      <c r="W60" s="194"/>
      <c r="X60" s="196">
        <f>T60*M60+C130*T47*(K46+K47)*0.1*(1+0.15*C46)*C54</f>
        <v>7001.439431</v>
      </c>
      <c r="Y60" s="196">
        <f>X60</f>
        <v>7001.439431</v>
      </c>
      <c r="Z60" s="194"/>
      <c r="AA60" s="194"/>
      <c r="AB60" s="194"/>
    </row>
    <row r="61">
      <c r="A61" s="97"/>
      <c r="B61" s="276" t="s">
        <v>141</v>
      </c>
      <c r="C61" s="25">
        <f>Inputs!C63</f>
        <v>1</v>
      </c>
      <c r="D61" s="264">
        <f>Inputs!D63</f>
        <v>0</v>
      </c>
      <c r="G61" s="276" t="s">
        <v>111</v>
      </c>
      <c r="H61" s="218">
        <f>0.5875*2/6*1.075</f>
        <v>0.2105208333</v>
      </c>
      <c r="I61" s="204">
        <v>1.0</v>
      </c>
      <c r="J61" s="219">
        <f>($J$6*(1+$E$116)*(1+$D$157)+169*15/120*$C$24+$C$14*6)*H61*$J$10*$L$11*I61*(1+0.01*C24)</f>
        <v>1328.574224</v>
      </c>
      <c r="K61" s="196">
        <f>J61*$J$8*0.7*(INT($J$9*60/2+1)+(60*$J$9*10+25)/40*1.35)*$J$14*(1+$C$131*0.05)</f>
        <v>109861.8312</v>
      </c>
      <c r="L61" s="196">
        <f t="shared" ref="L61:L65" si="57">K61</f>
        <v>109861.8312</v>
      </c>
      <c r="M61" s="195"/>
      <c r="N61" s="195"/>
      <c r="O61" s="195"/>
      <c r="P61" s="194"/>
      <c r="Q61" s="194"/>
      <c r="R61" s="197">
        <v>120.0</v>
      </c>
      <c r="S61" s="256">
        <f>120-30*C130*C138</f>
        <v>120</v>
      </c>
      <c r="T61" s="196">
        <f>1/S61*C40</f>
        <v>0.008333333333</v>
      </c>
      <c r="U61" s="194"/>
      <c r="V61" s="196">
        <f t="shared" ref="V61:V65" si="58">T61*K61</f>
        <v>915.5152597</v>
      </c>
      <c r="W61" s="196">
        <f t="shared" ref="W61:W65" si="59">T61*L61</f>
        <v>915.5152597</v>
      </c>
      <c r="X61" s="194"/>
      <c r="Y61" s="194"/>
      <c r="Z61" s="194"/>
      <c r="AA61" s="194"/>
      <c r="AB61" s="194"/>
    </row>
    <row r="62">
      <c r="A62" s="97"/>
      <c r="B62" s="276" t="s">
        <v>142</v>
      </c>
      <c r="C62" s="25">
        <f>Inputs!C64</f>
        <v>0</v>
      </c>
      <c r="D62" s="78"/>
      <c r="G62" s="276" t="s">
        <v>72</v>
      </c>
      <c r="H62" s="253">
        <v>0.01127</v>
      </c>
      <c r="I62" s="204">
        <v>1.15</v>
      </c>
      <c r="J62" s="207">
        <f>($J$6*(1+$E$116)*(1+$D$157)+169*15/120*$C$24+$C$14*6)*H62*$J$10*$L$11*I62*(1+0.01*E25)</f>
        <v>81.79231463</v>
      </c>
      <c r="K62" s="209">
        <f>J62*$J$8*$J$14*(1+0.2*C63)*(1+0.08*C120*D120)*(1+0.15*$B$19*(1+0.2*$C$63))</f>
        <v>146.6339323</v>
      </c>
      <c r="L62" s="196">
        <f t="shared" si="57"/>
        <v>146.6339323</v>
      </c>
      <c r="M62" s="196">
        <f t="shared" ref="M62:M65" si="60">K62*$L$12</f>
        <v>27.12727747</v>
      </c>
      <c r="N62" s="194"/>
      <c r="O62" s="194"/>
      <c r="P62" s="194"/>
      <c r="Q62" s="194"/>
      <c r="R62" s="194"/>
      <c r="S62" s="194"/>
      <c r="T62" s="196">
        <f>$B$19*(T23+T35*$C$152+T42*MIN((C152-1)*C106+1,2*C106+1)+T51*IF($C$152&lt;=5,IF($C$152&lt;3,$C$152,2+IF(C43&gt;0,$C$152-2,0)*10/S40+2*(S40-10)/S40),2+IF(C43&gt;0,3,0)*10/S40+2*(S40-10)/S40)+T57)</f>
        <v>0</v>
      </c>
      <c r="U62" s="194"/>
      <c r="V62" s="196">
        <f t="shared" si="58"/>
        <v>0</v>
      </c>
      <c r="W62" s="196">
        <f t="shared" si="59"/>
        <v>0</v>
      </c>
      <c r="X62" s="196">
        <f t="shared" ref="X62:X66" si="61">T62*M62</f>
        <v>0</v>
      </c>
      <c r="Y62" s="196">
        <f t="shared" ref="Y62:Y66" si="62">X62*(1-$C$144)</f>
        <v>0</v>
      </c>
      <c r="Z62" s="194"/>
      <c r="AA62" s="194"/>
      <c r="AB62" s="194"/>
    </row>
    <row r="63">
      <c r="A63" s="97"/>
      <c r="B63" s="276" t="s">
        <v>143</v>
      </c>
      <c r="C63" s="25">
        <f>Inputs!C65</f>
        <v>1</v>
      </c>
      <c r="D63" s="78"/>
      <c r="G63" s="276" t="s">
        <v>345</v>
      </c>
      <c r="H63" s="253">
        <f>3.07125*1.2*1.2</f>
        <v>4.4226</v>
      </c>
      <c r="I63" s="204">
        <v>1.15</v>
      </c>
      <c r="J63" s="207">
        <f>($J$6*(1+$E$116)*(1+$D$157)+169*15/120*$C$24+$C$14*6)*H63*$J$10*$L$11*I63*(1+0.01*E25)*1.05</f>
        <v>33701.98981</v>
      </c>
      <c r="K63" s="196">
        <f>J63*$J$8*$J$14*(1+0.15*$B$19*(1+0.2*$C$63))*(1+0.08*C120*D120)</f>
        <v>50349.62957</v>
      </c>
      <c r="L63" s="196">
        <f t="shared" si="57"/>
        <v>50349.62957</v>
      </c>
      <c r="M63" s="196">
        <f t="shared" si="60"/>
        <v>9314.68147</v>
      </c>
      <c r="N63" s="197">
        <v>-2.0</v>
      </c>
      <c r="O63" s="211">
        <f>20</f>
        <v>20</v>
      </c>
      <c r="P63" s="204">
        <f>3</f>
        <v>3</v>
      </c>
      <c r="Q63" s="196">
        <f>1.5/$J$9</f>
        <v>0.983880796</v>
      </c>
      <c r="R63" s="204">
        <v>45.0</v>
      </c>
      <c r="S63" s="198">
        <f>2*R63/(2+C137)+$C$151</f>
        <v>45.8</v>
      </c>
      <c r="T63" s="196">
        <f>1/S63*C130</f>
        <v>0</v>
      </c>
      <c r="U63" s="199">
        <f>T63*Q63</f>
        <v>0</v>
      </c>
      <c r="V63" s="196">
        <f t="shared" si="58"/>
        <v>0</v>
      </c>
      <c r="W63" s="196">
        <f t="shared" si="59"/>
        <v>0</v>
      </c>
      <c r="X63" s="196">
        <f t="shared" si="61"/>
        <v>0</v>
      </c>
      <c r="Y63" s="196">
        <f t="shared" si="62"/>
        <v>0</v>
      </c>
      <c r="Z63" s="196">
        <f>T63*N63</f>
        <v>0</v>
      </c>
      <c r="AA63" s="196">
        <f>T63*O63</f>
        <v>0</v>
      </c>
      <c r="AB63" s="196">
        <f>P63*T63</f>
        <v>0</v>
      </c>
    </row>
    <row r="64">
      <c r="A64" s="329" t="s">
        <v>144</v>
      </c>
      <c r="B64" s="276" t="s">
        <v>145</v>
      </c>
      <c r="C64" s="25">
        <f>Inputs!C66</f>
        <v>0</v>
      </c>
      <c r="D64" s="78"/>
      <c r="G64" s="276" t="s">
        <v>346</v>
      </c>
      <c r="H64" s="253">
        <f>0.3779*1.2</f>
        <v>0.45348</v>
      </c>
      <c r="I64" s="204">
        <v>1.15</v>
      </c>
      <c r="J64" s="207">
        <f>($J$6*(1+$E$116)*(1+$D$157)+169*15/120*$C$24+$C$14*6)*H64*$J$10*$L$11*I64*(1+0.01*E25)*1.05</f>
        <v>3455.699892</v>
      </c>
      <c r="K64" s="196">
        <f>J64*$J$8*$J$14*(1+0.15*$B$19*(1+0.2*$C$63))*$H$134*(1+0.15)*(1+0.05*(1+H8))*(1+0.08*C120*D120)</f>
        <v>251961.6242</v>
      </c>
      <c r="L64" s="196">
        <f t="shared" si="57"/>
        <v>251961.6242</v>
      </c>
      <c r="M64" s="196">
        <f t="shared" si="60"/>
        <v>46612.90047</v>
      </c>
      <c r="N64" s="194"/>
      <c r="O64" s="194"/>
      <c r="P64" s="194"/>
      <c r="Q64" s="194"/>
      <c r="R64" s="194"/>
      <c r="S64" s="194"/>
      <c r="T64" s="196">
        <f>T63</f>
        <v>0</v>
      </c>
      <c r="U64" s="194"/>
      <c r="V64" s="196">
        <f t="shared" si="58"/>
        <v>0</v>
      </c>
      <c r="W64" s="196">
        <f t="shared" si="59"/>
        <v>0</v>
      </c>
      <c r="X64" s="196">
        <f t="shared" si="61"/>
        <v>0</v>
      </c>
      <c r="Y64" s="196">
        <f t="shared" si="62"/>
        <v>0</v>
      </c>
      <c r="Z64" s="194"/>
      <c r="AA64" s="194"/>
      <c r="AB64" s="194"/>
    </row>
    <row r="65">
      <c r="A65" s="97"/>
      <c r="B65" s="276" t="s">
        <v>146</v>
      </c>
      <c r="C65" s="25">
        <f>Inputs!C67</f>
        <v>0</v>
      </c>
      <c r="D65" s="78"/>
      <c r="G65" s="281" t="s">
        <v>347</v>
      </c>
      <c r="H65" s="263">
        <v>0.5</v>
      </c>
      <c r="I65" s="194"/>
      <c r="J65" s="219">
        <f>(360+343*0.429/0.5*(1+0.05*C21)+$J$6*(1+$E$116)*(1+$D$157)+$C$14*6)*H65*$J$10*$L$11</f>
        <v>3654.674525</v>
      </c>
      <c r="K65" s="209">
        <f>J65*$J$8*$J$14*(1+0.08*C120*D120)</f>
        <v>5459.959769</v>
      </c>
      <c r="L65" s="196">
        <f t="shared" si="57"/>
        <v>5459.959769</v>
      </c>
      <c r="M65" s="196">
        <f t="shared" si="60"/>
        <v>1010.092557</v>
      </c>
      <c r="N65" s="194"/>
      <c r="O65" s="194"/>
      <c r="P65" s="194"/>
      <c r="Q65" s="196">
        <f>1.5/$J$9</f>
        <v>0.983880796</v>
      </c>
      <c r="R65" s="197">
        <v>90.0</v>
      </c>
      <c r="S65" s="198">
        <f>R65+$C$151</f>
        <v>90.8</v>
      </c>
      <c r="T65" s="196">
        <f>1/S65*C29</f>
        <v>0</v>
      </c>
      <c r="U65" s="199">
        <f>T65*Q65</f>
        <v>0</v>
      </c>
      <c r="V65" s="196">
        <f t="shared" si="58"/>
        <v>0</v>
      </c>
      <c r="W65" s="196">
        <f t="shared" si="59"/>
        <v>0</v>
      </c>
      <c r="X65" s="196">
        <f t="shared" si="61"/>
        <v>0</v>
      </c>
      <c r="Y65" s="196">
        <f t="shared" si="62"/>
        <v>0</v>
      </c>
      <c r="Z65" s="194"/>
      <c r="AA65" s="194"/>
      <c r="AB65" s="194"/>
    </row>
    <row r="66">
      <c r="A66" s="97"/>
      <c r="B66" s="276" t="s">
        <v>147</v>
      </c>
      <c r="C66" s="25">
        <f>Inputs!C68</f>
        <v>1</v>
      </c>
      <c r="D66" s="78"/>
      <c r="E66" s="2"/>
      <c r="G66" s="276" t="s">
        <v>348</v>
      </c>
      <c r="H66" s="27"/>
      <c r="I66" s="194"/>
      <c r="J66" s="194"/>
      <c r="K66" s="194"/>
      <c r="L66" s="194"/>
      <c r="M66" s="196">
        <f>$L$7*0.48*(1+0.2*C63)</f>
        <v>969347.2896</v>
      </c>
      <c r="N66" s="194"/>
      <c r="O66" s="194"/>
      <c r="P66" s="194"/>
      <c r="Q66" s="194"/>
      <c r="R66" s="204">
        <v>360.0</v>
      </c>
      <c r="S66" s="204">
        <v>360.0</v>
      </c>
      <c r="T66" s="196">
        <f>1/S66*C19</f>
        <v>0.002777777778</v>
      </c>
      <c r="U66" s="194"/>
      <c r="V66" s="194"/>
      <c r="W66" s="194"/>
      <c r="X66" s="196">
        <f t="shared" si="61"/>
        <v>2692.63136</v>
      </c>
      <c r="Y66" s="196">
        <f t="shared" si="62"/>
        <v>2154.105088</v>
      </c>
      <c r="Z66" s="194"/>
      <c r="AA66" s="194"/>
      <c r="AB66" s="194"/>
    </row>
    <row r="67">
      <c r="A67" s="97"/>
      <c r="B67" s="276" t="s">
        <v>148</v>
      </c>
      <c r="C67" s="25">
        <f>Inputs!C69</f>
        <v>1</v>
      </c>
      <c r="D67" s="78"/>
      <c r="E67" s="2"/>
      <c r="G67" s="276" t="s">
        <v>113</v>
      </c>
      <c r="H67" s="27"/>
      <c r="I67" s="194"/>
      <c r="J67" s="194"/>
      <c r="K67" s="194"/>
      <c r="L67" s="194"/>
      <c r="M67" s="194"/>
      <c r="N67" s="194"/>
      <c r="O67" s="211">
        <v>3.0</v>
      </c>
      <c r="P67" s="194"/>
      <c r="Q67" s="194"/>
      <c r="R67" s="285">
        <f>60/10.8</f>
        <v>5.555555556</v>
      </c>
      <c r="S67" s="198">
        <f>1/(10.8*J9*1.13/60)</f>
        <v>3.22478137</v>
      </c>
      <c r="T67" s="196">
        <f>1/S67*C41</f>
        <v>0.3100985417</v>
      </c>
      <c r="U67" s="194"/>
      <c r="V67" s="194"/>
      <c r="W67" s="194"/>
      <c r="X67" s="194"/>
      <c r="Y67" s="194"/>
      <c r="Z67" s="194"/>
      <c r="AA67" s="196">
        <f>T67*O67</f>
        <v>0.930295625</v>
      </c>
      <c r="AB67" s="194"/>
    </row>
    <row r="68">
      <c r="A68" s="97"/>
      <c r="B68" s="276" t="s">
        <v>149</v>
      </c>
      <c r="C68" s="25">
        <f>Inputs!C70</f>
        <v>1</v>
      </c>
      <c r="D68" s="78"/>
      <c r="G68" s="276" t="s">
        <v>220</v>
      </c>
      <c r="H68" s="253">
        <v>2.76</v>
      </c>
      <c r="I68" s="194"/>
      <c r="J68" s="207">
        <f>($J$6*(1+$E$116)*(1+$D$157)+169*15/120*$C$24+$C$14*6)*H68*$J$10*$L$11*(1+0.01*$E$25)</f>
        <v>17418.06168</v>
      </c>
      <c r="K68" s="196">
        <f>J68*$J$8*$J$14*(1+$C$131*0.05*MIN(1,5/$C$152))*$C$152/SQRT(MAX(1,$C$152/8))*(1+0.02*-AA42*8*((O42-5*IF(C42&gt;0,1,0))/O42))*(1+0.08*C120*D120)</f>
        <v>487530.9198</v>
      </c>
      <c r="L68" s="209">
        <f t="shared" ref="L68:L69" si="63">K68/$C$152</f>
        <v>97506.18396</v>
      </c>
      <c r="M68" s="196">
        <f>K68*(0.18+$L$12)</f>
        <v>177948.7857</v>
      </c>
      <c r="N68" s="194"/>
      <c r="O68" s="194"/>
      <c r="P68" s="194"/>
      <c r="Q68" s="194"/>
      <c r="R68" s="194"/>
      <c r="S68" s="194"/>
      <c r="T68" s="196">
        <f>T28*C123</f>
        <v>0</v>
      </c>
      <c r="U68" s="194"/>
      <c r="V68" s="196">
        <f t="shared" ref="V68:V69" si="64">T68*K68</f>
        <v>0</v>
      </c>
      <c r="W68" s="196">
        <f t="shared" ref="W68:W69" si="65">T68*L68</f>
        <v>0</v>
      </c>
      <c r="X68" s="196">
        <f t="shared" ref="X68:X69" si="66">T68*M68</f>
        <v>0</v>
      </c>
      <c r="Y68" s="196">
        <f t="shared" ref="Y68:Y69" si="67">X68*(1-$C$144)</f>
        <v>0</v>
      </c>
      <c r="Z68" s="194"/>
      <c r="AA68" s="194"/>
      <c r="AB68" s="194"/>
    </row>
    <row r="69">
      <c r="A69" s="97"/>
      <c r="B69" s="276" t="s">
        <v>151</v>
      </c>
      <c r="C69" s="25">
        <f>Inputs!C71</f>
        <v>1</v>
      </c>
      <c r="D69" s="78"/>
      <c r="G69" s="276" t="s">
        <v>349</v>
      </c>
      <c r="H69" s="27"/>
      <c r="I69" s="204">
        <v>1.15</v>
      </c>
      <c r="J69" s="194"/>
      <c r="K69" s="196">
        <f>K64*1/10*($C$152-1)*$I$69*1.05*IF(D100=2,(1+0.06*C119*(1-T40*(1-(0.75)^((5+(H15/2))/H15))/(1+3*(1-(0.75)^((5+(H15/2))/H15))*C82)/(1-(0.75)^((5+(H15/2))/H15)))),(1+0.06*(14-5*C131*E137)*C119*(1/S40)))</f>
        <v>128999.3124</v>
      </c>
      <c r="L69" s="196">
        <f t="shared" si="63"/>
        <v>25799.86247</v>
      </c>
      <c r="M69" s="196">
        <f>K69*$L$12</f>
        <v>23864.87279</v>
      </c>
      <c r="N69" s="194"/>
      <c r="O69" s="194"/>
      <c r="P69" s="194"/>
      <c r="Q69" s="194"/>
      <c r="R69" s="194"/>
      <c r="S69" s="194"/>
      <c r="T69" s="196">
        <f>T64</f>
        <v>0</v>
      </c>
      <c r="U69" s="194"/>
      <c r="V69" s="196">
        <f t="shared" si="64"/>
        <v>0</v>
      </c>
      <c r="W69" s="196">
        <f t="shared" si="65"/>
        <v>0</v>
      </c>
      <c r="X69" s="196">
        <f t="shared" si="66"/>
        <v>0</v>
      </c>
      <c r="Y69" s="196">
        <f t="shared" si="67"/>
        <v>0</v>
      </c>
      <c r="Z69" s="194"/>
      <c r="AA69" s="194"/>
      <c r="AB69" s="194"/>
    </row>
    <row r="70">
      <c r="A70" s="329" t="s">
        <v>152</v>
      </c>
      <c r="B70" s="276" t="s">
        <v>153</v>
      </c>
      <c r="C70" s="25">
        <f>Inputs!C72</f>
        <v>0</v>
      </c>
      <c r="D70" s="78"/>
      <c r="E70" s="2"/>
      <c r="G70" s="276"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276" t="s">
        <v>154</v>
      </c>
      <c r="C71" s="25">
        <f>Inputs!C73</f>
        <v>1</v>
      </c>
      <c r="D71" s="78"/>
      <c r="G71" s="281" t="s">
        <v>351</v>
      </c>
      <c r="H71" s="263">
        <f>1.25*0.25</f>
        <v>0.3125</v>
      </c>
      <c r="I71" s="194"/>
      <c r="J71" s="207">
        <f>($J$6*(1+$E$116)*(1+$D$157)+$C$14*6)*H71*$J$10*$L$11</f>
        <v>1972.153723</v>
      </c>
      <c r="K71" s="196">
        <f>J71*$J$8*$J$14*(1+0.08*C120*D120)*(1+$C$131*0.05*MIN(1,5/$C$152))</f>
        <v>3093.647302</v>
      </c>
      <c r="L71" s="196">
        <f>K71</f>
        <v>3093.647302</v>
      </c>
      <c r="M71" s="196">
        <f>K71*(1+$L$12)</f>
        <v>3665.972053</v>
      </c>
      <c r="N71" s="194"/>
      <c r="O71" s="194"/>
      <c r="P71" s="194"/>
      <c r="Q71" s="195"/>
      <c r="R71" s="197">
        <v>15.0</v>
      </c>
      <c r="S71" s="288">
        <f>15</f>
        <v>15</v>
      </c>
      <c r="T71" s="196">
        <f>1/S71*C25</f>
        <v>0</v>
      </c>
      <c r="U71" s="222"/>
      <c r="V71" s="196">
        <f>T71*K71</f>
        <v>0</v>
      </c>
      <c r="W71" s="196">
        <f>T71*L71</f>
        <v>0</v>
      </c>
      <c r="X71" s="196">
        <f t="shared" ref="X71:X75" si="68">T71*M71</f>
        <v>0</v>
      </c>
      <c r="Y71" s="196">
        <f>X71*(1-$C$144)</f>
        <v>0</v>
      </c>
      <c r="Z71" s="194"/>
      <c r="AA71" s="194"/>
      <c r="AB71" s="194"/>
    </row>
    <row r="72">
      <c r="A72" s="98"/>
      <c r="B72" s="276" t="s">
        <v>155</v>
      </c>
      <c r="C72" s="25">
        <f>Inputs!C74</f>
        <v>0</v>
      </c>
      <c r="D72" s="78"/>
      <c r="E72" s="2"/>
      <c r="G72" s="276" t="s">
        <v>223</v>
      </c>
      <c r="H72" s="27"/>
      <c r="I72" s="194"/>
      <c r="J72" s="194"/>
      <c r="K72" s="194"/>
      <c r="L72" s="194"/>
      <c r="M72" s="196">
        <f>MIN(L7,V29*(10+2*C92)*6)*J10*(1+0.15*C46)</f>
        <v>1510796.685</v>
      </c>
      <c r="N72" s="194"/>
      <c r="O72" s="194"/>
      <c r="P72" s="194"/>
      <c r="Q72" s="194"/>
      <c r="R72" s="194"/>
      <c r="S72" s="194"/>
      <c r="T72" s="196">
        <f>T76*C126</f>
        <v>0.04678661658</v>
      </c>
      <c r="U72" s="194"/>
      <c r="V72" s="194"/>
      <c r="W72" s="194"/>
      <c r="X72" s="196">
        <f t="shared" si="68"/>
        <v>70685.06525</v>
      </c>
      <c r="Y72" s="196">
        <f>X72</f>
        <v>70685.06525</v>
      </c>
      <c r="Z72" s="194"/>
      <c r="AA72" s="194"/>
      <c r="AB72" s="194"/>
    </row>
    <row r="73">
      <c r="A73" s="329" t="s">
        <v>156</v>
      </c>
      <c r="B73" s="276" t="s">
        <v>157</v>
      </c>
      <c r="C73" s="25">
        <f>Inputs!C75</f>
        <v>0</v>
      </c>
      <c r="D73" s="78"/>
      <c r="G73" s="281" t="s">
        <v>352</v>
      </c>
      <c r="H73" s="27"/>
      <c r="I73" s="194"/>
      <c r="J73" s="194"/>
      <c r="K73" s="194"/>
      <c r="L73" s="194"/>
      <c r="M73" s="196">
        <f>$L$7*0.04*(1+0.2*C63)</f>
        <v>80778.9408</v>
      </c>
      <c r="N73" s="194"/>
      <c r="O73" s="194"/>
      <c r="P73" s="194"/>
      <c r="Q73" s="194"/>
      <c r="R73" s="197">
        <f>60/3</f>
        <v>20</v>
      </c>
      <c r="S73" s="196">
        <f>R73/1.13/$J$9</f>
        <v>11.60921293</v>
      </c>
      <c r="T73" s="196">
        <f>1/S73*B21</f>
        <v>0</v>
      </c>
      <c r="U73" s="194"/>
      <c r="V73" s="194"/>
      <c r="W73" s="194"/>
      <c r="X73" s="196">
        <f t="shared" si="68"/>
        <v>0</v>
      </c>
      <c r="Y73" s="196">
        <f t="shared" ref="Y73:Y75" si="69">X73*(1-$C$144)</f>
        <v>0</v>
      </c>
      <c r="Z73" s="194"/>
      <c r="AA73" s="194"/>
      <c r="AB73" s="194"/>
    </row>
    <row r="74">
      <c r="A74" s="97"/>
      <c r="B74" s="276" t="s">
        <v>158</v>
      </c>
      <c r="C74" s="25">
        <f>Inputs!C76</f>
        <v>1</v>
      </c>
      <c r="D74" s="78"/>
      <c r="G74" s="276" t="s">
        <v>353</v>
      </c>
      <c r="H74" s="289">
        <f>0.907*1.25</f>
        <v>1.13375</v>
      </c>
      <c r="I74" s="204">
        <v>1.15</v>
      </c>
      <c r="J74" s="207">
        <f>($J$6*(1+$E$116)*(1+$D$157)+169*15/120*$C$24+$C$14*6)*H74*$J$10*$L$11*I74*(1+0.15*C93)*(1+0.01*$E$25)*(1+0.1*C43)</f>
        <v>9051.041737</v>
      </c>
      <c r="K74" s="196">
        <f>J74*$J$8*IF($C$152&lt;=5,IF($C$152&lt;3,$C$152,IF($C$43&gt;0,$C$152,2)*(14-5*C131*E137)/$S$40+2*($S$40-(14-5*C131*E137))/$S$40),IF($C$43&gt;0,5,2)*(14-5*C131*E137)/$S$40+2*($S$40-(14-5*C131*E137))/$S$40)*$J$14*(1+$C$131*0.2)*(1+0.08*C120*D120)</f>
        <v>81131.696</v>
      </c>
      <c r="L74" s="196">
        <f>K74/IF($C$152&lt;=5,IF($C$152&lt;3,$C$152,IF($C$43&gt;0,$C$152,2)*(14-5*C131*E137)/$S$40+2*($S$40-(14-5*C131*E137))/$S$40),IF($C$43&gt;0,5,2)*(14-5*C131*E137)/$S$40+2*($S$40-(14-5*C131*E137))/$S$40)</f>
        <v>16226.3392</v>
      </c>
      <c r="M74" s="196">
        <f>K74*$L$12+IF($C$152&lt;=5,IF($C$152&lt;3,$C$152,IF($C$43&gt;0,$C$152,2)*(14-5*C131*E137)/$S$40+2*($S$40-(14-5*C131*E137))/$S$40),IF($C$43&gt;0,5,2)*(14-5*C131*E137)/$S$40+2*($S$40-(14-5*C131*E137))/$S$40)*$L$7*0.0025*$C$95+$L$7*0.02*$J$10</f>
        <v>58107.04788</v>
      </c>
      <c r="N74" s="194"/>
      <c r="O74" s="194"/>
      <c r="P74" s="194"/>
      <c r="Q74" s="194"/>
      <c r="R74" s="194"/>
      <c r="S74" s="194"/>
      <c r="T74" s="196">
        <f>C131*((T38*(8+C110*4))*T51+(1-T38*(8+C110*4))*((0.35+0.05*14/S40*E136)*T42+(E140*0.35*0.15)*T42))</f>
        <v>0.1922269492</v>
      </c>
      <c r="U74" s="194"/>
      <c r="V74" s="196">
        <f>(T74+(C131*T38*(8+C110*4))*C116/(9/(1/(0.5+(2/((L14+0.3*(1-(1-(T38*(8+C110*4)))*(1-IF(C127&gt;3,1,0)*(1-0.875^(8*(T40+T43+T51+T57+T63)))))))-1+IF(C152=1,0.5,0))/C152))+9/(1/(0.5+(2/((L14+0.3*(1-(1-(T38*(8+C110*4)))*(1-IF(C127&gt;3,1,0)*(1-0.875^(8*(T40+T43+T51+T57+T63)))))))-1+IF(C152=1,0.5,0))/C152))/2*((0.8/3^(C152-1))/(1-(0.8/3^(C152-1))))+6)+1.5*C131*F127*((T38*(8+C110*4))/(1-(1-(T38*(8+C110*4)))*(1-IF(C127&gt;3,1,0)*(1-0.875^(8*(T40+T43+T51+T57+T63)))))))*K74</f>
        <v>20561.87291</v>
      </c>
      <c r="W74" s="196">
        <f>(T74+(C131*T38*(8+C110*4))*C116/(9/(1/(0.5+(2/((L14+0.3*(1-(1-(T38*(8+C110*4)))*(1-IF(C127&gt;3,1,0)*(1-0.875^(8*(T40+T43+T51+T57+T63)))))))-1+IF(C152=1,0.5,0))/C152))+9/(1/(0.5+(2/((L14+0.3*(1-(1-(T38*(8+C110*4)))*(1-IF(C127&gt;3,1,0)*(1-0.875^(8*(T40+T43+T51+T57+T63)))))))-1+IF(C152=1,0.5,0))/C152))/2*((0.8/3^(C152-1))/(1-(0.8/3^(C152-1))))+6)+1.5*C131*F127*((T38*(8+C110*4))/(1-(1-(T38*(8+C110*4)))*(1-IF(C127&gt;3,1,0)*(1-0.875^(8*(T40+T43+T51+T57+T63)))))))*L74</f>
        <v>4112.374582</v>
      </c>
      <c r="X74" s="196">
        <f t="shared" si="68"/>
        <v>11169.74054</v>
      </c>
      <c r="Y74" s="196">
        <f t="shared" si="69"/>
        <v>8935.79243</v>
      </c>
      <c r="Z74" s="194"/>
      <c r="AA74" s="194"/>
      <c r="AB74" s="293"/>
    </row>
    <row r="75">
      <c r="A75" s="97"/>
      <c r="B75" s="276" t="s">
        <v>160</v>
      </c>
      <c r="C75" s="25">
        <f>Inputs!C77</f>
        <v>1</v>
      </c>
      <c r="D75" s="78"/>
      <c r="G75" s="276" t="s">
        <v>354</v>
      </c>
      <c r="H75" s="253">
        <f>1.766*1.2</f>
        <v>2.1192</v>
      </c>
      <c r="I75" s="204">
        <v>1.15</v>
      </c>
      <c r="J75" s="207">
        <f>($J$6*(1+$E$116)*(1+$D$157)+169*15/120*$C$24+$C$14*6)*H75*$J$10*$L$11*I75*(1+0.01*$E$25)</f>
        <v>15380.14846</v>
      </c>
      <c r="K75" s="196">
        <f>J75*($J$8+2)/2*(1+$C$152)*$J$14*(1+0.15*$B$19*(1+0.2*$C$63))*(H8*0.05/2+1)*(1+0.08*C120*D120)</f>
        <v>183004.0595</v>
      </c>
      <c r="L75" s="196">
        <f>K75*2/(1+$C$152)</f>
        <v>61001.35316</v>
      </c>
      <c r="M75" s="196">
        <f>K75*$L$12</f>
        <v>33855.751</v>
      </c>
      <c r="N75" s="194"/>
      <c r="O75" s="194"/>
      <c r="P75" s="194"/>
      <c r="Q75" s="194"/>
      <c r="R75" s="194"/>
      <c r="S75" s="194"/>
      <c r="T75" s="196">
        <f>T63</f>
        <v>0</v>
      </c>
      <c r="U75" s="293"/>
      <c r="V75" s="196">
        <f>T75*K75</f>
        <v>0</v>
      </c>
      <c r="W75" s="196">
        <f>T75*L75</f>
        <v>0</v>
      </c>
      <c r="X75" s="196">
        <f t="shared" si="68"/>
        <v>0</v>
      </c>
      <c r="Y75" s="196">
        <f t="shared" si="69"/>
        <v>0</v>
      </c>
      <c r="Z75" s="293"/>
      <c r="AA75" s="293"/>
      <c r="AB75" s="293"/>
    </row>
    <row r="76">
      <c r="A76" s="98"/>
      <c r="B76" s="276" t="s">
        <v>161</v>
      </c>
      <c r="C76" s="25">
        <f>Inputs!C78</f>
        <v>0</v>
      </c>
      <c r="D76" s="78"/>
      <c r="G76" s="281" t="s">
        <v>179</v>
      </c>
      <c r="H76" s="27"/>
      <c r="I76" s="194"/>
      <c r="J76" s="194"/>
      <c r="K76" s="194"/>
      <c r="L76" s="194"/>
      <c r="M76" s="194"/>
      <c r="N76" s="194"/>
      <c r="O76" s="194"/>
      <c r="P76" s="194"/>
      <c r="Q76" s="194"/>
      <c r="R76" s="295">
        <f>90</f>
        <v>90</v>
      </c>
      <c r="S76" s="287">
        <f>R76/(1-AA42/5*C122*((O42-5*IF(C42&gt;0,1,0))/O42))</f>
        <v>21.3736336</v>
      </c>
      <c r="T76" s="287">
        <f>1/S76*C89*C149</f>
        <v>0.04678661658</v>
      </c>
      <c r="U76" s="293"/>
      <c r="V76" s="293"/>
      <c r="W76" s="298"/>
      <c r="X76" s="298"/>
      <c r="Y76" s="293"/>
      <c r="Z76" s="293"/>
      <c r="AA76" s="293"/>
      <c r="AB76" s="293"/>
    </row>
    <row r="77">
      <c r="A77" s="329" t="s">
        <v>162</v>
      </c>
      <c r="B77" s="276" t="s">
        <v>163</v>
      </c>
      <c r="C77" s="25">
        <f>Inputs!C79</f>
        <v>2</v>
      </c>
      <c r="D77" s="78"/>
      <c r="T77" s="334" t="s">
        <v>230</v>
      </c>
      <c r="U77" s="300">
        <f t="shared" ref="U77:X77" si="70">sum(U19:U76)</f>
        <v>1</v>
      </c>
      <c r="V77" s="140">
        <f t="shared" si="70"/>
        <v>324430.9328</v>
      </c>
      <c r="W77" s="140">
        <f t="shared" si="70"/>
        <v>112067.4741</v>
      </c>
      <c r="X77" s="140">
        <f t="shared" si="70"/>
        <v>441911.9574</v>
      </c>
      <c r="Y77" s="140">
        <f>sum(Y19:Y76)+W78</f>
        <v>384252.4483</v>
      </c>
      <c r="Z77" s="140">
        <f t="shared" ref="Z77:AB77" si="71">sum(Z19:Z76)</f>
        <v>-0.4570809304</v>
      </c>
      <c r="AA77" s="140">
        <f t="shared" si="71"/>
        <v>0</v>
      </c>
      <c r="AB77" s="152">
        <f t="shared" si="71"/>
        <v>0.3269240909</v>
      </c>
    </row>
    <row r="78">
      <c r="A78" s="97"/>
      <c r="B78" s="276" t="s">
        <v>165</v>
      </c>
      <c r="C78" s="25">
        <f>Inputs!C80</f>
        <v>0</v>
      </c>
      <c r="D78" s="78"/>
      <c r="E78" s="2"/>
      <c r="I78" s="325"/>
    </row>
    <row r="79">
      <c r="A79" s="98"/>
      <c r="B79" s="276" t="s">
        <v>166</v>
      </c>
      <c r="C79" s="25">
        <f>Inputs!C81</f>
        <v>2</v>
      </c>
      <c r="D79" s="78"/>
      <c r="E79" s="2"/>
      <c r="V79" s="326">
        <f>8047*20*1.13/60*J8*J10*0.7</f>
        <v>3312.418059</v>
      </c>
      <c r="W79" s="326">
        <f>498629/150*J8*J10*(0.85+0.15*C152)</f>
        <v>8303.518747</v>
      </c>
      <c r="Y79" s="326">
        <f>-(1.13*(1-exp(-1*12/60)))*49872/12*J10*L10</f>
        <v>-937.1879001</v>
      </c>
    </row>
    <row r="80">
      <c r="A80" s="335" t="s">
        <v>168</v>
      </c>
      <c r="B80" s="276" t="s">
        <v>169</v>
      </c>
      <c r="C80" s="25">
        <f>Inputs!C82</f>
        <v>1</v>
      </c>
      <c r="D80" s="78"/>
      <c r="E80" s="2"/>
      <c r="S80" s="301"/>
      <c r="T80" s="301"/>
      <c r="V80" s="326">
        <f>(239640*0.7+129036)*1.13*0.92/60*J8*J10</f>
        <v>8028.074942</v>
      </c>
    </row>
    <row r="81">
      <c r="A81" s="122"/>
      <c r="B81" s="276" t="s">
        <v>171</v>
      </c>
      <c r="C81" s="25">
        <f>Inputs!C83</f>
        <v>0</v>
      </c>
      <c r="D81" s="78"/>
      <c r="E81" s="2"/>
      <c r="S81" s="62"/>
      <c r="T81" s="62"/>
      <c r="V81" s="326">
        <f>221688*0.85*1.13/60*J8*J10*J9*(0.85+0.15*C152)</f>
        <v>13514.90433</v>
      </c>
      <c r="W81" s="326">
        <f>(1.13*(1-exp(-2*10/60)))*8804*5/10*(0.85+0.15*C152)*J8*J10</f>
        <v>3522.163189</v>
      </c>
    </row>
    <row r="82">
      <c r="A82" s="122"/>
      <c r="B82" s="276" t="s">
        <v>172</v>
      </c>
      <c r="C82" s="25">
        <f>Inputs!C84</f>
        <v>1</v>
      </c>
      <c r="D82" s="78"/>
      <c r="E82" s="2"/>
      <c r="S82" s="301"/>
      <c r="T82" s="301"/>
      <c r="U82" s="336"/>
      <c r="V82" s="326">
        <f>150750*1.25*1.13/60*J8*J10*J9*(0.85+0.15*C152)</f>
        <v>13515.09798</v>
      </c>
    </row>
    <row r="83">
      <c r="A83" s="123"/>
      <c r="B83" s="276" t="s">
        <v>173</v>
      </c>
      <c r="C83" s="25">
        <f>Inputs!C85</f>
        <v>0</v>
      </c>
      <c r="D83" s="78"/>
      <c r="E83" s="2"/>
      <c r="V83" s="326">
        <f>124747/6*(1.13*(1-exp(-2*J9*6/60)))*J8*J10</f>
        <v>9639.658385</v>
      </c>
    </row>
    <row r="84">
      <c r="A84" s="2"/>
      <c r="B84" s="2"/>
      <c r="C84" s="2"/>
      <c r="D84" s="2"/>
      <c r="E84" s="2"/>
      <c r="R84" s="302"/>
      <c r="V84" s="326">
        <f>135322*4/150*J8*J10*(0.85+0.15*C152)</f>
        <v>9013.906242</v>
      </c>
    </row>
    <row r="85">
      <c r="A85" s="2"/>
      <c r="B85" s="321" t="s">
        <v>174</v>
      </c>
      <c r="C85" s="283" t="s">
        <v>106</v>
      </c>
      <c r="D85" s="283" t="s">
        <v>107</v>
      </c>
      <c r="E85" s="2"/>
      <c r="V85" s="326">
        <f>15233*1.5*1.13/60*J8*J10*5*5/3</f>
        <v>5598.588682</v>
      </c>
    </row>
    <row r="86">
      <c r="A86" s="337" t="s">
        <v>108</v>
      </c>
      <c r="B86" s="276" t="s">
        <v>175</v>
      </c>
      <c r="C86" s="25">
        <f>Inputs!C88</f>
        <v>1</v>
      </c>
      <c r="D86" s="78"/>
      <c r="E86" s="2"/>
      <c r="U86" s="326">
        <f>(20*0.793)*14698*J8*J10*0.7/60*1.375</f>
        <v>5838.03679</v>
      </c>
      <c r="V86" s="326">
        <f>(20+2/3*(C152*4-2-2/3))*14698*J8*J10*0.7/60*1.375</f>
        <v>11615.54188</v>
      </c>
    </row>
    <row r="87">
      <c r="A87" s="322" t="s">
        <v>112</v>
      </c>
      <c r="B87" s="276" t="s">
        <v>176</v>
      </c>
      <c r="C87" s="25">
        <f>Inputs!C89</f>
        <v>1</v>
      </c>
      <c r="D87" s="25">
        <f>Inputs!D89</f>
        <v>0</v>
      </c>
      <c r="V87" s="326">
        <f>156528*1.13/60*J8*J9*J10*1.5*(0.85+0.15*C152)</f>
        <v>16839.73139</v>
      </c>
    </row>
    <row r="88">
      <c r="A88" s="98"/>
      <c r="B88" s="276" t="s">
        <v>177</v>
      </c>
      <c r="C88" s="25">
        <f>Inputs!C90</f>
        <v>1</v>
      </c>
      <c r="D88" s="78"/>
      <c r="E88" s="2"/>
      <c r="V88" s="326">
        <f>91711*J8*J10/90*(0.85+0.15*C152)*5*0.79+2395/3*J10*J8*C152*0.8</f>
        <v>15039.70349</v>
      </c>
      <c r="W88" s="326">
        <f>80382*J8*J10/90*(0.85+0.15*C152)*5*0.79+2013/3*J10*J8*C152*0.8</f>
        <v>13002.53577</v>
      </c>
      <c r="X88" s="326">
        <f>(660181*J10*1.15*1.5-93582*5*J10*L10*0.79)/90*1.5-2395*J10*L10/3*0.8</f>
        <v>16817.8867</v>
      </c>
      <c r="Y88" s="326">
        <f>(578625*J10*1.15*1.5-82021*5*J10*L10*0.79)/90*1.5-2013*J10*L10/3*0.8</f>
        <v>14765.58097</v>
      </c>
    </row>
    <row r="89">
      <c r="A89" s="329" t="s">
        <v>117</v>
      </c>
      <c r="B89" s="276" t="s">
        <v>179</v>
      </c>
      <c r="C89" s="25">
        <f>Inputs!C91</f>
        <v>1</v>
      </c>
      <c r="D89" s="78"/>
      <c r="E89" s="2"/>
      <c r="U89" s="326">
        <f>205064/1.2^15</f>
        <v>13309.77561</v>
      </c>
      <c r="V89" s="4">
        <f>(304680/(1.2)^15)*3*1.13*1.2^15/60*J8*J9*J10*(127566/205064)*IF(C152&gt;1,1,1)*0.9</f>
        <v>22939.56121</v>
      </c>
      <c r="X89" s="326">
        <f>-V89/2*L10</f>
        <v>-9861.356279</v>
      </c>
    </row>
    <row r="90">
      <c r="A90" s="98"/>
      <c r="B90" s="276" t="s">
        <v>180</v>
      </c>
      <c r="C90" s="25">
        <f>Inputs!C92</f>
        <v>1</v>
      </c>
      <c r="D90" s="78"/>
      <c r="E90" s="2"/>
      <c r="U90" s="326">
        <f>9935*1.2^14</f>
        <v>127557.2995</v>
      </c>
      <c r="V90" s="326">
        <f>7848*1.5*5*1.13/60*J8*J9*J10</f>
        <v>2638.469874</v>
      </c>
      <c r="X90" s="326">
        <f>-1053*1.5*5*1.13/60*J9*J10*L10</f>
        <v>-249.6399937</v>
      </c>
    </row>
    <row r="91">
      <c r="A91" s="329" t="s">
        <v>129</v>
      </c>
      <c r="B91" s="276" t="s">
        <v>181</v>
      </c>
      <c r="C91" s="25">
        <f>Inputs!C93</f>
        <v>1</v>
      </c>
      <c r="D91" s="78"/>
      <c r="E91" s="2"/>
      <c r="V91" s="326">
        <f>V25/C152</f>
        <v>8174.443176</v>
      </c>
      <c r="X91" s="326">
        <f>258568*2*1.13/60*1.15*J9*J10</f>
        <v>21864.80466</v>
      </c>
    </row>
    <row r="92">
      <c r="A92" s="97"/>
      <c r="B92" s="276" t="s">
        <v>182</v>
      </c>
      <c r="C92" s="25">
        <f>Inputs!C94</f>
        <v>2</v>
      </c>
      <c r="D92" s="78"/>
      <c r="E92" s="2"/>
      <c r="V92" s="326">
        <f>69524/60*1.13*2*J9*J8*J10+44080*J9*J8*J10*2/60*0.7*1.13</f>
        <v>8999.307032</v>
      </c>
    </row>
    <row r="93">
      <c r="A93" s="97"/>
      <c r="B93" s="276" t="s">
        <v>184</v>
      </c>
      <c r="C93" s="25">
        <f>Inputs!C95</f>
        <v>0</v>
      </c>
      <c r="D93" s="78"/>
      <c r="X93" s="326">
        <f>1.13*1.21/60*(140745+93831*2)*1.15*J10</f>
        <v>11020.20898</v>
      </c>
    </row>
    <row r="94">
      <c r="A94" s="98"/>
      <c r="B94" s="276" t="s">
        <v>185</v>
      </c>
      <c r="C94" s="25">
        <f>Inputs!C96</f>
        <v>1</v>
      </c>
      <c r="D94" s="78"/>
      <c r="E94" s="2"/>
      <c r="V94" s="326">
        <f>64988*J8*J10/90*(0.85+0.15*C152)*1.31*5+2182/3*J10*J8*C152</f>
        <v>17491.82593</v>
      </c>
      <c r="X94" s="326">
        <f>(409961*J10*1.15-58027*5*(1-L5)*L10)/90*1.5-2396*J10*L10/3</f>
        <v>8155.257176</v>
      </c>
    </row>
    <row r="95">
      <c r="A95" s="329" t="s">
        <v>138</v>
      </c>
      <c r="B95" s="276" t="s">
        <v>186</v>
      </c>
      <c r="C95" s="25">
        <f>Inputs!C97</f>
        <v>0</v>
      </c>
      <c r="D95" s="78"/>
    </row>
    <row r="96">
      <c r="A96" s="97"/>
      <c r="B96" s="276" t="s">
        <v>187</v>
      </c>
      <c r="C96" s="25">
        <f>Inputs!C98</f>
        <v>1</v>
      </c>
      <c r="D96" s="78"/>
      <c r="U96" s="4" t="s">
        <v>368</v>
      </c>
    </row>
    <row r="97">
      <c r="A97" s="97"/>
      <c r="B97" s="276" t="s">
        <v>188</v>
      </c>
      <c r="C97" s="25">
        <f>Inputs!C99</f>
        <v>1</v>
      </c>
      <c r="D97" s="25">
        <f>Inputs!D99</f>
        <v>7</v>
      </c>
      <c r="E97" s="2"/>
      <c r="N97" s="328"/>
    </row>
    <row r="98">
      <c r="A98" s="97"/>
      <c r="B98" s="276" t="s">
        <v>189</v>
      </c>
      <c r="C98" s="25">
        <f>Inputs!C100</f>
        <v>1</v>
      </c>
      <c r="D98" s="78"/>
    </row>
    <row r="99">
      <c r="A99" s="97"/>
      <c r="B99" s="276" t="s">
        <v>190</v>
      </c>
      <c r="C99" s="25">
        <f>Inputs!C101</f>
        <v>1</v>
      </c>
      <c r="D99" s="78"/>
    </row>
    <row r="100">
      <c r="A100" s="97"/>
      <c r="B100" s="276" t="s">
        <v>191</v>
      </c>
      <c r="C100" s="25">
        <f>Inputs!C102</f>
        <v>0</v>
      </c>
      <c r="D100" s="25">
        <f>Inputs!D102</f>
        <v>0</v>
      </c>
      <c r="E100" s="2"/>
    </row>
    <row r="101">
      <c r="A101" s="98"/>
      <c r="B101" s="276" t="s">
        <v>193</v>
      </c>
      <c r="C101" s="25">
        <f>Inputs!C103</f>
        <v>0</v>
      </c>
      <c r="D101" s="25">
        <f>Inputs!D103</f>
        <v>10</v>
      </c>
    </row>
    <row r="102">
      <c r="A102" s="329" t="s">
        <v>144</v>
      </c>
      <c r="B102" s="276" t="s">
        <v>195</v>
      </c>
      <c r="C102" s="25">
        <f>Inputs!C104</f>
        <v>0</v>
      </c>
      <c r="D102" s="78"/>
      <c r="E102" s="2"/>
    </row>
    <row r="103">
      <c r="A103" s="97"/>
      <c r="B103" s="276" t="s">
        <v>196</v>
      </c>
      <c r="C103" s="25">
        <f>Inputs!C105</f>
        <v>1</v>
      </c>
      <c r="D103" s="25">
        <f>Inputs!D105</f>
        <v>0</v>
      </c>
      <c r="E103" s="2"/>
      <c r="Q103" s="326">
        <f>264000/1.1957</f>
        <v>220791.1684</v>
      </c>
    </row>
    <row r="104">
      <c r="A104" s="97"/>
      <c r="B104" s="276" t="s">
        <v>197</v>
      </c>
      <c r="C104" s="25">
        <f>Inputs!C106</f>
        <v>1</v>
      </c>
      <c r="D104" s="78"/>
    </row>
    <row r="105">
      <c r="A105" s="97"/>
      <c r="B105" s="276" t="s">
        <v>199</v>
      </c>
      <c r="C105" s="25">
        <f>Inputs!C107</f>
        <v>1</v>
      </c>
      <c r="D105" s="25">
        <f>Inputs!D107</f>
        <v>5</v>
      </c>
    </row>
    <row r="106">
      <c r="A106" s="97"/>
      <c r="B106" s="276" t="s">
        <v>201</v>
      </c>
      <c r="C106" s="25">
        <f>Inputs!C108</f>
        <v>1</v>
      </c>
      <c r="D106" s="78"/>
      <c r="E106" s="2"/>
    </row>
    <row r="107">
      <c r="A107" s="97"/>
      <c r="B107" s="276" t="s">
        <v>202</v>
      </c>
      <c r="C107" s="25">
        <f>Inputs!C109</f>
        <v>1</v>
      </c>
      <c r="D107" s="78"/>
    </row>
    <row r="108">
      <c r="A108" s="329" t="s">
        <v>152</v>
      </c>
      <c r="B108" s="276" t="s">
        <v>203</v>
      </c>
      <c r="C108" s="25">
        <f>Inputs!C110</f>
        <v>1</v>
      </c>
      <c r="D108" s="78"/>
    </row>
    <row r="109">
      <c r="A109" s="97"/>
      <c r="B109" s="276" t="s">
        <v>204</v>
      </c>
      <c r="C109" s="25">
        <f>Inputs!C111</f>
        <v>1</v>
      </c>
      <c r="D109" s="78"/>
      <c r="E109" s="2"/>
    </row>
    <row r="110">
      <c r="A110" s="97"/>
      <c r="B110" s="276" t="s">
        <v>205</v>
      </c>
      <c r="C110" s="25">
        <f>Inputs!C112</f>
        <v>1</v>
      </c>
      <c r="D110" s="78"/>
      <c r="E110" s="2"/>
    </row>
    <row r="111">
      <c r="A111" s="97"/>
      <c r="B111" s="276" t="s">
        <v>207</v>
      </c>
      <c r="C111" s="25">
        <f>Inputs!C113</f>
        <v>1</v>
      </c>
      <c r="D111" s="78"/>
      <c r="E111" s="2"/>
    </row>
    <row r="112">
      <c r="A112" s="97"/>
      <c r="B112" s="276" t="s">
        <v>208</v>
      </c>
      <c r="C112" s="25">
        <f>Inputs!C114</f>
        <v>0</v>
      </c>
      <c r="D112" s="78"/>
    </row>
    <row r="113">
      <c r="A113" s="329" t="s">
        <v>156</v>
      </c>
      <c r="B113" s="276" t="s">
        <v>209</v>
      </c>
      <c r="C113" s="25">
        <f>Inputs!C115</f>
        <v>0</v>
      </c>
      <c r="D113" s="78"/>
    </row>
    <row r="114">
      <c r="A114" s="97"/>
      <c r="B114" s="276" t="s">
        <v>211</v>
      </c>
      <c r="C114" s="25">
        <f>Inputs!C116</f>
        <v>0</v>
      </c>
      <c r="D114" s="338">
        <v>1.0</v>
      </c>
      <c r="E114" s="2"/>
    </row>
    <row r="115">
      <c r="A115" s="97"/>
      <c r="B115" s="276" t="s">
        <v>212</v>
      </c>
      <c r="C115" s="25">
        <f>Inputs!C117</f>
        <v>1</v>
      </c>
      <c r="D115" s="78"/>
    </row>
    <row r="116">
      <c r="A116" s="97"/>
      <c r="B116" s="276" t="s">
        <v>213</v>
      </c>
      <c r="C116" s="25">
        <f>Inputs!C118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0.04814081478</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0.004894802317</v>
      </c>
    </row>
    <row r="117">
      <c r="A117" s="97"/>
      <c r="B117" s="276" t="s">
        <v>214</v>
      </c>
      <c r="C117" s="25">
        <f>Inputs!C119</f>
        <v>1</v>
      </c>
      <c r="D117" s="25">
        <f>Inputs!D119</f>
        <v>0.8</v>
      </c>
    </row>
    <row r="118">
      <c r="A118" s="329" t="s">
        <v>162</v>
      </c>
      <c r="B118" s="276" t="s">
        <v>215</v>
      </c>
      <c r="C118" s="25">
        <f>Inputs!C120</f>
        <v>0</v>
      </c>
      <c r="D118" s="78"/>
    </row>
    <row r="119">
      <c r="A119" s="97"/>
      <c r="B119" s="276" t="s">
        <v>216</v>
      </c>
      <c r="C119" s="25">
        <f>Inputs!C121</f>
        <v>1</v>
      </c>
      <c r="D119" s="78"/>
    </row>
    <row r="120">
      <c r="A120" s="97"/>
      <c r="B120" s="276" t="s">
        <v>217</v>
      </c>
      <c r="C120" s="25">
        <f>Inputs!C122</f>
        <v>1</v>
      </c>
      <c r="D120" s="25">
        <f>Inputs!D122</f>
        <v>0.4</v>
      </c>
      <c r="E120" s="2"/>
    </row>
    <row r="121">
      <c r="A121" s="97"/>
      <c r="B121" s="276" t="s">
        <v>218</v>
      </c>
      <c r="C121" s="25">
        <f>Inputs!C123</f>
        <v>0</v>
      </c>
      <c r="D121" s="25">
        <f>Inputs!D123</f>
        <v>1</v>
      </c>
    </row>
    <row r="122">
      <c r="A122" s="97"/>
      <c r="B122" s="276" t="s">
        <v>219</v>
      </c>
      <c r="C122" s="25">
        <f>Inputs!C124</f>
        <v>1</v>
      </c>
      <c r="D122" s="78"/>
    </row>
    <row r="123">
      <c r="A123" s="329" t="s">
        <v>168</v>
      </c>
      <c r="B123" s="276" t="s">
        <v>220</v>
      </c>
      <c r="C123" s="25">
        <f>Inputs!C125</f>
        <v>0</v>
      </c>
      <c r="D123" s="78"/>
    </row>
    <row r="124">
      <c r="A124" s="97"/>
      <c r="B124" s="276" t="s">
        <v>221</v>
      </c>
      <c r="C124" s="25">
        <f>Inputs!C126</f>
        <v>1</v>
      </c>
      <c r="D124" s="78"/>
      <c r="E124" s="2"/>
    </row>
    <row r="125">
      <c r="A125" s="97"/>
      <c r="B125" s="276" t="s">
        <v>222</v>
      </c>
      <c r="C125" s="25">
        <f>Inputs!C127</f>
        <v>0</v>
      </c>
      <c r="D125" s="78"/>
    </row>
    <row r="126">
      <c r="A126" s="97"/>
      <c r="B126" s="276" t="s">
        <v>223</v>
      </c>
      <c r="C126" s="25">
        <f>Inputs!C128</f>
        <v>1</v>
      </c>
      <c r="D126" s="78"/>
      <c r="E126" s="2"/>
    </row>
    <row r="127">
      <c r="A127" s="329" t="s">
        <v>224</v>
      </c>
      <c r="B127" s="276" t="s">
        <v>225</v>
      </c>
      <c r="C127" s="25">
        <f>Inputs!C129</f>
        <v>4</v>
      </c>
      <c r="D127" s="78"/>
      <c r="E127" s="309">
        <f>T38*(8+C110*4)*(1+C110)+IF(C127&gt;3,1,0)*8*0.125*(T40+T43+T51+T57+T63)</f>
        <v>0.8266711512</v>
      </c>
      <c r="F127" s="309">
        <f>IF(C127=4,(1-(1-(1-(1-(T38*(8+C110*4)))*(1-IF(C127&gt;3,1,0)*(1-0.875^(8*(T40+T43-T46+MIN(($L$9+SUM(Z19:Z36,Z38:Z50)+SUM(Z52:Z76))/(-N51),MAX((1-SUM(U18:U24,U26:U41,U43:U50,U52:U76)+SUM(AA19:AA24,AA26:AA41,AA43:AA50,AA52:AA76)/O42*Q42)/Q51*(-O42/(O51-O42)),0))+2*T57+2*T63)))))))/(3+(2/(L13+0.3)-1+IF(C152=1,0.5,0))/C152),IF(C127&gt;0,1,0)*(1-(1-(T38*(8+C110*4))))/(3+(2/(L13+0.3)-1+IF(C152=1,0.5,0))/C152))</f>
        <v>0.1402974432</v>
      </c>
    </row>
    <row r="128">
      <c r="A128" s="2"/>
      <c r="B128" s="2"/>
      <c r="C128" s="2"/>
      <c r="D128" s="2"/>
      <c r="E128" s="2"/>
    </row>
    <row r="129">
      <c r="A129" s="2"/>
      <c r="B129" s="321" t="s">
        <v>229</v>
      </c>
      <c r="C129" s="2"/>
      <c r="D129" s="2"/>
      <c r="E129" s="2"/>
    </row>
    <row r="130">
      <c r="A130" s="2"/>
      <c r="B130" s="339" t="s">
        <v>231</v>
      </c>
      <c r="C130" s="25">
        <f>Inputs!C132</f>
        <v>0</v>
      </c>
      <c r="D130" s="264">
        <f>Inputs!D132</f>
        <v>0.6</v>
      </c>
      <c r="E130" s="2"/>
    </row>
    <row r="131">
      <c r="A131" s="2"/>
      <c r="B131" s="339" t="s">
        <v>233</v>
      </c>
      <c r="C131" s="25">
        <f>Inputs!C133</f>
        <v>1</v>
      </c>
      <c r="D131" s="264">
        <f>Inputs!D133</f>
        <v>0.85</v>
      </c>
      <c r="E131" s="2"/>
    </row>
    <row r="132">
      <c r="A132" s="2"/>
      <c r="B132" s="2"/>
      <c r="C132" s="2"/>
      <c r="D132" s="2"/>
      <c r="E132" s="2"/>
    </row>
    <row r="133">
      <c r="A133" s="2"/>
      <c r="B133" s="340" t="s">
        <v>234</v>
      </c>
      <c r="C133" s="341"/>
      <c r="D133" s="342" t="s">
        <v>235</v>
      </c>
      <c r="E133" s="342"/>
      <c r="G133" s="340" t="s">
        <v>355</v>
      </c>
      <c r="J133" s="340" t="s">
        <v>356</v>
      </c>
    </row>
    <row r="134">
      <c r="A134" s="2"/>
      <c r="B134" s="343" t="s">
        <v>236</v>
      </c>
      <c r="C134" s="150"/>
      <c r="D134" s="339" t="s">
        <v>237</v>
      </c>
      <c r="E134" s="150"/>
      <c r="G134" s="343" t="s">
        <v>357</v>
      </c>
      <c r="H134" s="311">
        <f>MIN(40,1+12*(2*(1+H8)*T25+T26+1/3*(2)*(1/(1-0.15*C107))+T35*2+T40*(11+2*C107)+T42*(2*C136)*(1+C136*H8)+T43+T38*2*(2*(1+H8))+T38*2*(2*(1+H8))+T62*(2*C136)*(1+C136*H8)+2*(2/12+(1+H8)/12)))</f>
        <v>40</v>
      </c>
      <c r="J134" s="343" t="s">
        <v>358</v>
      </c>
      <c r="K134" s="282">
        <f>C131*7*(1+2*T38*(8+C110*4))*D131</f>
        <v>7.522687225</v>
      </c>
    </row>
    <row r="135">
      <c r="A135" s="2"/>
      <c r="B135" s="343" t="s">
        <v>238</v>
      </c>
      <c r="C135" s="25">
        <f>Inputs!C137</f>
        <v>1</v>
      </c>
      <c r="D135" s="339" t="s">
        <v>239</v>
      </c>
      <c r="E135" s="150"/>
      <c r="G135" s="343" t="s">
        <v>359</v>
      </c>
      <c r="H135" s="312">
        <f>1+C130*(0.05*15+0.05*17*H8)*T75</f>
        <v>1</v>
      </c>
    </row>
    <row r="136">
      <c r="A136" s="2"/>
      <c r="B136" s="343" t="s">
        <v>240</v>
      </c>
      <c r="C136" s="25">
        <f>Inputs!C138</f>
        <v>1</v>
      </c>
      <c r="D136" s="339" t="s">
        <v>241</v>
      </c>
      <c r="E136" s="25">
        <f>Inputs!E138</f>
        <v>1</v>
      </c>
    </row>
    <row r="137">
      <c r="A137" s="2"/>
      <c r="B137" s="343" t="s">
        <v>242</v>
      </c>
      <c r="C137" s="25">
        <f>Inputs!C139</f>
        <v>0</v>
      </c>
      <c r="D137" s="339" t="s">
        <v>243</v>
      </c>
      <c r="E137" s="25">
        <f>Inputs!E139</f>
        <v>0</v>
      </c>
    </row>
    <row r="138">
      <c r="A138" s="2"/>
      <c r="B138" s="343" t="s">
        <v>244</v>
      </c>
      <c r="C138" s="25">
        <f>Inputs!C140</f>
        <v>1</v>
      </c>
      <c r="D138" s="339" t="s">
        <v>245</v>
      </c>
      <c r="E138" s="25">
        <f>Inputs!E140</f>
        <v>0</v>
      </c>
    </row>
    <row r="139">
      <c r="A139" s="2"/>
      <c r="B139" s="343" t="s">
        <v>246</v>
      </c>
      <c r="C139" s="150"/>
      <c r="D139" s="339" t="s">
        <v>247</v>
      </c>
      <c r="E139" s="25">
        <f>Inputs!E141</f>
        <v>1</v>
      </c>
    </row>
    <row r="140">
      <c r="A140" s="2"/>
      <c r="B140" s="2"/>
      <c r="C140" s="2"/>
      <c r="D140" s="339" t="s">
        <v>248</v>
      </c>
      <c r="E140" s="25">
        <f>Inputs!E142</f>
        <v>0</v>
      </c>
    </row>
    <row r="141">
      <c r="A141" s="2"/>
      <c r="B141" s="2"/>
      <c r="C141" s="2"/>
      <c r="D141" s="339" t="s">
        <v>249</v>
      </c>
      <c r="E141" s="25">
        <f>Inputs!E143</f>
        <v>1</v>
      </c>
    </row>
    <row r="142">
      <c r="A142" s="2"/>
      <c r="B142" s="2"/>
      <c r="C142" s="2"/>
      <c r="D142" s="2"/>
      <c r="E142" s="2"/>
    </row>
    <row r="143">
      <c r="A143" s="2"/>
      <c r="B143" s="294" t="s">
        <v>250</v>
      </c>
      <c r="C143" s="2"/>
      <c r="D143" s="2"/>
      <c r="E143" s="2"/>
    </row>
    <row r="144">
      <c r="A144" s="2"/>
      <c r="B144" s="281" t="s">
        <v>251</v>
      </c>
      <c r="C144" s="313">
        <f>Inputs!C146</f>
        <v>0.2</v>
      </c>
      <c r="D144" s="2"/>
      <c r="E144" s="2"/>
    </row>
    <row r="145">
      <c r="A145" s="2"/>
      <c r="B145" s="276" t="s">
        <v>252</v>
      </c>
      <c r="C145" s="25">
        <f>Inputs!C147</f>
        <v>400000</v>
      </c>
      <c r="D145" s="2"/>
      <c r="E145" s="2"/>
    </row>
    <row r="146">
      <c r="A146" s="2"/>
      <c r="B146" s="281" t="s">
        <v>254</v>
      </c>
      <c r="C146" s="313">
        <f>Inputs!C148</f>
        <v>0.2</v>
      </c>
      <c r="D146" s="2"/>
      <c r="E146" s="2"/>
    </row>
    <row r="147">
      <c r="A147" s="2"/>
      <c r="B147" s="281" t="s">
        <v>257</v>
      </c>
      <c r="C147" s="313">
        <f>Inputs!C149</f>
        <v>0</v>
      </c>
      <c r="D147" s="2"/>
      <c r="E147" s="2"/>
    </row>
    <row r="148">
      <c r="A148" s="2"/>
      <c r="B148" s="281" t="s">
        <v>258</v>
      </c>
      <c r="C148" s="313">
        <f>Inputs!C150</f>
        <v>0</v>
      </c>
      <c r="D148" s="2"/>
      <c r="E148" s="2"/>
    </row>
    <row r="149">
      <c r="A149" s="2"/>
      <c r="B149" s="281" t="s">
        <v>259</v>
      </c>
      <c r="C149" s="313">
        <f>Inputs!C151</f>
        <v>1</v>
      </c>
      <c r="D149" s="2"/>
      <c r="E149" s="2"/>
    </row>
    <row r="150">
      <c r="A150" s="2"/>
      <c r="B150" s="276" t="s">
        <v>260</v>
      </c>
      <c r="C150" s="313">
        <f>Inputs!C152</f>
        <v>0.4</v>
      </c>
      <c r="D150" s="2"/>
      <c r="E150" s="2"/>
    </row>
    <row r="151">
      <c r="A151" s="2"/>
      <c r="B151" s="276" t="s">
        <v>261</v>
      </c>
      <c r="C151" s="174">
        <f>Inputs!C153</f>
        <v>0.8</v>
      </c>
      <c r="D151" s="2"/>
      <c r="E151" s="2"/>
    </row>
    <row r="152">
      <c r="A152" s="2"/>
      <c r="B152" s="281" t="s">
        <v>262</v>
      </c>
      <c r="C152" s="25">
        <f>Inputs!C154</f>
        <v>5</v>
      </c>
      <c r="D152" s="2"/>
      <c r="E152" s="2"/>
      <c r="F152" s="2"/>
    </row>
    <row r="153">
      <c r="A153" s="2"/>
      <c r="B153" s="276" t="s">
        <v>263</v>
      </c>
      <c r="C153" s="25">
        <f>Inputs!C155</f>
        <v>90</v>
      </c>
      <c r="D153" s="2"/>
      <c r="E153" s="2"/>
      <c r="F153" s="2"/>
    </row>
    <row r="154">
      <c r="A154" s="2"/>
      <c r="B154" s="281" t="s">
        <v>265</v>
      </c>
      <c r="C154" s="174">
        <f>Inputs!C156</f>
        <v>3966.55</v>
      </c>
      <c r="D154" s="2"/>
      <c r="E154" s="2"/>
      <c r="F154" s="2"/>
    </row>
    <row r="155">
      <c r="A155" s="2"/>
      <c r="D155" s="2"/>
      <c r="E155" s="2"/>
      <c r="F155" s="2"/>
    </row>
    <row r="156">
      <c r="B156" s="344" t="s">
        <v>267</v>
      </c>
      <c r="C156" s="345" t="s">
        <v>268</v>
      </c>
      <c r="D156" s="2"/>
      <c r="E156" s="2"/>
      <c r="F156" s="2"/>
    </row>
    <row r="157">
      <c r="B157" s="346" t="s">
        <v>269</v>
      </c>
      <c r="C157" s="25">
        <f>Inputs!C159</f>
        <v>1</v>
      </c>
      <c r="D157" s="309">
        <f>C157*(0.025+0.1*T42)</f>
        <v>0.06513494365</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0.006610037601</v>
      </c>
      <c r="F157" s="2"/>
    </row>
    <row r="158">
      <c r="B158" s="346" t="s">
        <v>271</v>
      </c>
      <c r="C158" s="25">
        <f>Inputs!C160</f>
        <v>1</v>
      </c>
      <c r="D158" s="2"/>
      <c r="E158" s="2"/>
      <c r="F158" s="2"/>
      <c r="G158" s="2"/>
      <c r="H158" s="2"/>
    </row>
    <row r="159">
      <c r="D159" s="2"/>
      <c r="E159" s="2"/>
      <c r="F159" s="2"/>
      <c r="G159" s="2"/>
      <c r="H159" s="2"/>
    </row>
    <row r="160">
      <c r="B160" s="296" t="s">
        <v>274</v>
      </c>
      <c r="C160" s="2"/>
      <c r="D160" s="2"/>
      <c r="E160" s="2"/>
      <c r="F160" s="2"/>
      <c r="G160" s="2"/>
      <c r="H160" s="2"/>
    </row>
    <row r="161">
      <c r="B161" s="281" t="s">
        <v>275</v>
      </c>
      <c r="C161" s="347"/>
      <c r="D161" s="1"/>
      <c r="E161" s="1"/>
      <c r="F161" s="2"/>
      <c r="G161" s="2"/>
      <c r="H161" s="2"/>
    </row>
    <row r="162">
      <c r="B162" s="281" t="s">
        <v>276</v>
      </c>
      <c r="C162" s="173"/>
      <c r="D162" s="2"/>
      <c r="E162" s="1"/>
      <c r="F162" s="2"/>
      <c r="G162" s="2"/>
      <c r="H162" s="2"/>
    </row>
    <row r="163">
      <c r="B163" s="281" t="s">
        <v>361</v>
      </c>
      <c r="C163" s="315"/>
      <c r="D163" s="2"/>
      <c r="E163" s="2"/>
      <c r="F163" s="2"/>
      <c r="G163" s="2"/>
      <c r="H163" s="2"/>
    </row>
    <row r="164">
      <c r="B164" s="281" t="s">
        <v>362</v>
      </c>
      <c r="C164" s="235"/>
      <c r="D164" s="2"/>
      <c r="E164" s="2"/>
      <c r="G164" s="2"/>
      <c r="H164" s="2"/>
    </row>
    <row r="165">
      <c r="B165" s="281" t="s">
        <v>278</v>
      </c>
      <c r="C165" s="316"/>
      <c r="G165" s="2"/>
      <c r="H165" s="2"/>
    </row>
    <row r="166">
      <c r="B166" s="281" t="s">
        <v>280</v>
      </c>
      <c r="C166" s="27"/>
      <c r="G166" s="2"/>
      <c r="H166" s="2"/>
    </row>
    <row r="167">
      <c r="B167" s="281" t="s">
        <v>363</v>
      </c>
      <c r="C167" s="317"/>
      <c r="G167" s="2"/>
      <c r="H167" s="2"/>
    </row>
    <row r="168">
      <c r="B168" s="281" t="s">
        <v>364</v>
      </c>
      <c r="C168" s="236"/>
      <c r="D168" s="202"/>
      <c r="G168" s="2"/>
      <c r="H168" s="2"/>
    </row>
    <row r="169">
      <c r="B169" s="318"/>
      <c r="C169" s="202"/>
      <c r="D169" s="202"/>
      <c r="G169" s="2"/>
      <c r="H169" s="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row r="196">
      <c r="N196" s="4" t="s">
        <v>366</v>
      </c>
      <c r="O196" s="4">
        <v>3.0</v>
      </c>
      <c r="P196" s="326">
        <f>SUM(P167:Q167)</f>
        <v>0</v>
      </c>
    </row>
    <row r="197">
      <c r="O197" s="4">
        <v>4.0</v>
      </c>
      <c r="P197" s="326">
        <f>SUM(P167:Q167)</f>
        <v>0</v>
      </c>
    </row>
    <row r="198">
      <c r="O198" s="4">
        <v>5.0</v>
      </c>
      <c r="P198" s="326">
        <f>SUM(P167:Q167)</f>
        <v>0</v>
      </c>
    </row>
    <row r="199">
      <c r="O199" s="4">
        <v>6.0</v>
      </c>
      <c r="P199" s="326">
        <f>SUM(P167:X167)</f>
        <v>0</v>
      </c>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17.75"/>
    <col customWidth="1" min="9" max="9" width="23.25"/>
    <col customWidth="1" min="10" max="10" width="17.88"/>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2.5"/>
    <col customWidth="1" min="19" max="19" width="15.25"/>
    <col customWidth="1" min="20" max="20" width="15.88"/>
    <col customWidth="1" min="21" max="21" width="12.38"/>
    <col customWidth="1" min="22" max="22" width="11.75"/>
    <col customWidth="1" min="23" max="23" width="19.25"/>
    <col customWidth="1" min="24" max="24" width="19.13"/>
    <col customWidth="1" min="25" max="25" width="11.25"/>
    <col customWidth="1" min="26" max="26" width="15.0"/>
    <col customWidth="1" min="27" max="27" width="19.63"/>
    <col customWidth="1" min="28" max="28" width="19.13"/>
  </cols>
  <sheetData>
    <row r="2">
      <c r="B2" s="266" t="s">
        <v>360</v>
      </c>
    </row>
    <row r="4">
      <c r="B4" s="267" t="s">
        <v>1</v>
      </c>
      <c r="C4" s="268" t="s">
        <v>3</v>
      </c>
      <c r="D4" s="269" t="s">
        <v>5</v>
      </c>
      <c r="E4" s="269" t="s">
        <v>7</v>
      </c>
      <c r="G4" s="267" t="s">
        <v>9</v>
      </c>
      <c r="J4" s="229"/>
      <c r="N4" s="270" t="s">
        <v>10</v>
      </c>
    </row>
    <row r="5">
      <c r="B5" s="271" t="s">
        <v>12</v>
      </c>
      <c r="C5" s="231">
        <f>H5*(1+C21*0.05*(1+0.2*C63))</f>
        <v>3852</v>
      </c>
      <c r="D5" s="27"/>
      <c r="E5" s="27"/>
      <c r="G5" s="271" t="s">
        <v>21</v>
      </c>
      <c r="H5" s="277">
        <f>Baseline!H5</f>
        <v>3852</v>
      </c>
      <c r="I5" s="272" t="s">
        <v>31</v>
      </c>
      <c r="J5" s="49">
        <f>(C5*1.45+((J6*(1+E116)*(1+D157)*1.8)+IF(E28=3,1,0)*1.13*(1-exp(-1*$J$9*12/60))*($J$6*(1+E116)*(1+D157)*0.02*$J$10)))*(1+0.06*C75)</f>
        <v>12101.04748</v>
      </c>
      <c r="K5" s="272" t="s">
        <v>41</v>
      </c>
      <c r="L5" s="52">
        <f>(J5 / (J5 + C154))</f>
        <v>0.7531335966</v>
      </c>
      <c r="N5" s="273" t="s">
        <v>46</v>
      </c>
      <c r="O5" s="274" t="s">
        <v>47</v>
      </c>
      <c r="P5" s="274" t="s">
        <v>49</v>
      </c>
      <c r="Q5" s="275" t="s">
        <v>325</v>
      </c>
      <c r="R5" s="275" t="s">
        <v>53</v>
      </c>
      <c r="S5" s="275" t="s">
        <v>326</v>
      </c>
      <c r="T5" s="274" t="s">
        <v>56</v>
      </c>
      <c r="U5" s="275" t="s">
        <v>57</v>
      </c>
      <c r="V5" s="276" t="s">
        <v>59</v>
      </c>
      <c r="W5" s="269" t="s">
        <v>60</v>
      </c>
      <c r="X5" s="268" t="s">
        <v>63</v>
      </c>
    </row>
    <row r="6">
      <c r="B6" s="271" t="s">
        <v>36</v>
      </c>
      <c r="C6" s="231">
        <f>(H6+C34*33)*(1+C21*0.05*(1+0.2*C63))</f>
        <v>2682</v>
      </c>
      <c r="D6" s="27"/>
      <c r="E6" s="27"/>
      <c r="G6" s="271" t="s">
        <v>65</v>
      </c>
      <c r="H6" s="36">
        <f>Baseline!H6+10</f>
        <v>2682</v>
      </c>
      <c r="I6" s="271" t="s">
        <v>67</v>
      </c>
      <c r="J6" s="52">
        <f>(C6+E32*252*8/120+E34*50)*(1+B21*1.13*(1-exp(-3*J9*15/60))*0.15*(1+0.2*C63))*(1+0.03*C77*(1-(0.85)^(8*L9)))*(1+0.1*12*(1/S40)*C131*(1-IF(OR(D100=1,AND(C152&lt;4,C131=1)),0,1)*IF(D100=2,1-(1-(0.75)^((5+(H15/2))/H15))/(1+3*(1-(0.75)^((5+(H15/2))/H15))*C82),1)*IF(NOT(OR(OR(D100=1,AND(C152&lt;4,C131=1)),D100=2)),1-(1-(0.75)^((4+(H15/2))/H15)),1)))*(1+0.1*T69*8*IF(C152=1,1,0))</f>
        <v>2901.472504</v>
      </c>
      <c r="K6" s="271" t="s">
        <v>82</v>
      </c>
      <c r="L6" s="84">
        <f>(J6-622)/19130</f>
        <v>0.1191569527</v>
      </c>
      <c r="N6" s="276" t="s">
        <v>87</v>
      </c>
      <c r="O6" s="250">
        <f>Baseline!O6</f>
        <v>3608042.253</v>
      </c>
      <c r="P6" s="94">
        <f>(O6-E26*C152/2*C7*0.0003*30)*(1-$L$14)*(1-$L$5)*$L$10*(1-0.01*E32)*(1-0.2/C152*C74)*(1-C51*0.12/C152*1.13*(1-exp(-3*6/60*55/120)))*(1-$C$135*$C$130*$D$130*0.075)*(1-$C$131*E136*10/S40*0.08)*(1-F116)*(1-E157)*(1-IF(C127&gt;1,1)*0.06*E127)*(1-(0.04*10*(1/S40)*C100*(1-IF(OR(D100=1,AND(C152&lt;4,C131=1)),0,1)*IF(D100=2,1-(1-(0.75)^((5+(H15/2))/H15))/(1+3*(1-(0.75)^((5+(H15/2))/H15))*C82),1)*IF(NOT(OR(OR(D100=1,AND(C152&lt;4,C131=1)),D100=2)),1-(1-(0.75)^((4+(H15/2))/H15)),1))))*(1-C120*0.025)</f>
        <v>427541.1586</v>
      </c>
      <c r="Q6" s="99">
        <f>P6*(1-((1-(1-(T38*(8+C110*4)))*(1-IF(C127&gt;3,1,0)*(1-0.875^(8*(T40+T43+T51+T57+T63)))))*MIN(0.3/(1-$L$14),1)))</f>
        <v>328067.4597</v>
      </c>
      <c r="R6" s="94">
        <f>Q6*(1-($T$52*8)*(0.3+0.1*$E$139))</f>
        <v>319318.9941</v>
      </c>
      <c r="S6" s="102">
        <f t="shared" ref="S6:S7" si="1">R6*(1-($T$70*8)*0.1)*(1-($T$26*8)*0.1)</f>
        <v>319318.9941</v>
      </c>
      <c r="T6" s="94">
        <f t="shared" ref="T6:T9" si="2">S6</f>
        <v>319318.9941</v>
      </c>
      <c r="U6" s="107"/>
      <c r="V6" s="27"/>
      <c r="W6" s="27"/>
      <c r="X6" s="27"/>
    </row>
    <row r="7">
      <c r="B7" s="271" t="s">
        <v>40</v>
      </c>
      <c r="C7" s="231">
        <f>(H7+C26*99)*(1+C21*0.05*(1+0.2*C63))*1.05*(1+0.2*C55)*(1.4)</f>
        <v>77197</v>
      </c>
      <c r="D7" s="27"/>
      <c r="E7" s="27"/>
      <c r="G7" s="271" t="s">
        <v>121</v>
      </c>
      <c r="H7" s="277">
        <f>Baseline!H7</f>
        <v>43762.47166</v>
      </c>
      <c r="I7" s="280" t="s">
        <v>124</v>
      </c>
      <c r="J7" s="109">
        <f>C7*20</f>
        <v>1543940</v>
      </c>
      <c r="K7" s="280" t="s">
        <v>127</v>
      </c>
      <c r="L7" s="111">
        <f>(J7+IF(E28=3,1,0)*1.13*(1-exp(-1*$J$9*12/60))*($J$6*1.3*$J$10))*(1+0.01*C97*(D97+2*C104))</f>
        <v>1682894.6</v>
      </c>
      <c r="N7" s="281" t="s">
        <v>131</v>
      </c>
      <c r="O7" s="250">
        <f>Baseline!O7</f>
        <v>0</v>
      </c>
      <c r="P7" s="94">
        <f>O7*$J$13*(1-$L$5)*$L$10*(1-0.01*E32)*(1-C51*0.12/C152*1.13*(1-exp(-3*6/60*55/120)))*(1-$C$135*$C$130*$D$130*0.075)*(1-$C$131*E136*10/S40*0.08)*(1-IF(C127&gt;1,1)*0.06*E127)*(1-(0.04*10*(1/S40)*C100*(1-IF(OR(D100=1,AND(C152&lt;4,C131=1)),0,1)*IF(D100=2,1-(1-(0.75)^((5+(H15/2))/H15))/(1+3*(1-(0.75)^((5+(H15/2))/H15))*C82),1)*IF(NOT(OR(OR(D100=1,AND(C152&lt;4,C131=1)),D100=2)),1-(1-(0.75)^((4+(H15/2))/H15)),1))))*(1-C120*0.025)</f>
        <v>0</v>
      </c>
      <c r="Q7" s="27"/>
      <c r="R7" s="94">
        <f t="shared" ref="R7:R9" si="3">P7*(1-($T$52*8)*(0.3+0.1*$E$139))</f>
        <v>0</v>
      </c>
      <c r="S7" s="102">
        <f t="shared" si="1"/>
        <v>0</v>
      </c>
      <c r="T7" s="94">
        <f t="shared" si="2"/>
        <v>0</v>
      </c>
      <c r="U7" s="107"/>
      <c r="V7" s="27"/>
      <c r="W7" s="27"/>
      <c r="X7" s="27"/>
    </row>
    <row r="8">
      <c r="B8" s="271" t="s">
        <v>44</v>
      </c>
      <c r="C8" s="25">
        <f>Inputs!C10</f>
        <v>778.5</v>
      </c>
      <c r="D8" s="282">
        <f>(C8+225*15/2/120*IF(1&lt;(IF(C8&gt;C9,1,0)+IF(C8&gt;C10,1,0)+IF(C8&gt;C11,1,0)),E27,0))*(1+0.02*C30)/(1+0.02*Baseline!C30)</f>
        <v>778.5</v>
      </c>
      <c r="E8" s="282">
        <f>IF(D8&lt;=1380,D8,IF(D8&lt;=1840,1380+0.9*(D8-1380),IF(D8&lt;=2300,1794+0.8*(D8-1840),IF(D8&lt;=2760,2162+0.7*(D8-2300),IF(D8&lt;=3680,2484+0.6*(D8-2760),IF(D8&lt;=9200,3036+0.5*(D8-3680),5796))))))</f>
        <v>778.5</v>
      </c>
      <c r="F8" s="4"/>
      <c r="G8" s="271" t="s">
        <v>159</v>
      </c>
      <c r="H8" s="118">
        <f>E8/4600+0.05+(C28+C32+C35)*0.01+IF(E28=4,1,0)*1.13*(1-exp(-1*$J$9*12/60))*0.04</f>
        <v>0.2192391304</v>
      </c>
      <c r="I8" s="271" t="s">
        <v>164</v>
      </c>
      <c r="J8" s="119">
        <f>1+H8*(1+2*0.02*(C26+C31))</f>
        <v>1.21923913</v>
      </c>
      <c r="K8" s="271" t="s">
        <v>167</v>
      </c>
      <c r="L8" s="84">
        <f>E8/5200/(1+0.02*C30)</f>
        <v>0.1497115385</v>
      </c>
      <c r="N8" s="276" t="s">
        <v>170</v>
      </c>
      <c r="O8" s="250">
        <f>Baseline!O8</f>
        <v>112528.835</v>
      </c>
      <c r="P8" s="94">
        <f>O8*$L$10*(1-C51*0.12/C152*1.13*(1-exp(-3*6/60*55/120)))*(1-$C$135*$C$130*$D$130*0.075)*(1-0.08*$C$80)*(1-IF(C127&gt;1,1)*0.06*E127)*(1-(0.04*10*(1/S40)*C100*(1-IF(OR(D100=1,AND(C152&lt;4,C131=1)),0,1)*IF(D100=2,1-(1-(0.75)^((5+(H15/2))/H15))/(1+3*(1-(0.75)^((5+(H15/2))/H15))*C82),1)*IF(NOT(OR(OR(D100=1,AND(C152&lt;4,C131=1)),D100=2)),1-(1-(0.75)^((4+(H15/2))/H15)),1))))*(1-C120*0.025)</f>
        <v>82191.78834</v>
      </c>
      <c r="Q8" s="27"/>
      <c r="R8" s="94">
        <f t="shared" si="3"/>
        <v>80000.00732</v>
      </c>
      <c r="S8" s="102">
        <f t="shared" ref="S8:S9" si="4">R8*(1-($T$26*8)*0.1)</f>
        <v>80000.00732</v>
      </c>
      <c r="T8" s="94">
        <f t="shared" si="2"/>
        <v>80000.00732</v>
      </c>
      <c r="U8" s="94">
        <f>T8*(T20*(6+2*C67))*0.15</f>
        <v>0</v>
      </c>
      <c r="V8" s="99">
        <f>IF(T8-U8-$T$19*(($L$7*0.3*$J$10*(1+0.4*$C$68)*(1+0.15*$C$46)))&gt;0,$T$19*($L$7*0.3*$J$10*(1+0.4*$C$68)*(1+0.15*$C$46)),T8-U8)</f>
        <v>11765.66776</v>
      </c>
      <c r="W8" s="27"/>
      <c r="X8" s="27"/>
    </row>
    <row r="9">
      <c r="B9" s="271" t="s">
        <v>50</v>
      </c>
      <c r="C9" s="25">
        <f>Inputs!C11</f>
        <v>1053.5</v>
      </c>
      <c r="D9" s="282">
        <f>(C9+225*15/2/120*IF(1&lt;(IF(C9&gt;C8,1,0)+IF(C9&gt;C10,1,0)+IF(C9&gt;C11,1,0)),E27,0))*(1+0.02*C30)/(1+0.02*Baseline!C30)</f>
        <v>1053.5</v>
      </c>
      <c r="E9" s="282">
        <f>IF(D9&lt;=1320,D9,IF(D9&lt;=1760,1320+0.9*(D9-1320),IF(D9&lt;=2200,1716+0.8*(D9-1760),IF(D9&lt;=2640,2068+0.7*(D9-2200),IF(D9&lt;=3520,2376+0.6*(D9-2640),IF(D9&lt;=8800,2904+0.5*(D9-3520),5544))))))</f>
        <v>1053.5</v>
      </c>
      <c r="F9" s="4"/>
      <c r="G9" s="271" t="s">
        <v>192</v>
      </c>
      <c r="H9" s="118">
        <f>(1+(C29+C33)*0.01)*E9/4400+(C29+C33)*0.01</f>
        <v>0.2394318182</v>
      </c>
      <c r="I9" s="271" t="s">
        <v>194</v>
      </c>
      <c r="J9" s="132">
        <f>(1+H9)*(1+C27*0.15/18)*(1+0.1*C104)*(1+0.02*C49)*(1+0.01*K134)</f>
        <v>1.524574934</v>
      </c>
      <c r="K9" s="283" t="s">
        <v>198</v>
      </c>
      <c r="L9" s="133">
        <f>3/10*J9</f>
        <v>0.4573724803</v>
      </c>
      <c r="N9" s="284" t="s">
        <v>200</v>
      </c>
      <c r="O9" s="250">
        <f>Baseline!O9</f>
        <v>0</v>
      </c>
      <c r="P9" s="135">
        <f>O9*$J$13*$L$10*(1-C51*0.12/C152*1.13*(1-exp(-3*6/60*55/120)))*(1-$C$135*$C$130*$D$130*0.075)*(1-0.08*$C$80)*(1-IF(C127&gt;1,1)*0.06*E127)*(1-(0.04*10*(1/S40)*C100*(1-IF(OR(D100=1,AND(C152&lt;4,C131=1)),0,1)*IF(D100=2,1-(1-(0.75)^((5+(H15/2))/H15))/(1+3*(1-(0.75)^((5+(H15/2))/H15))*C82),1)*IF(NOT(OR(OR(D100=1,AND(C152&lt;4,C131=1)),D100=2)),1-(1-(0.75)^((4+(H15/2))/H15)),1))))*(1-C120*0.025)</f>
        <v>0</v>
      </c>
      <c r="Q9" s="136"/>
      <c r="R9" s="135">
        <f t="shared" si="3"/>
        <v>0</v>
      </c>
      <c r="S9" s="102">
        <f t="shared" si="4"/>
        <v>0</v>
      </c>
      <c r="T9" s="94">
        <f t="shared" si="2"/>
        <v>0</v>
      </c>
      <c r="U9" s="135">
        <f>T8*(T20*(6+2*C67))*0.15</f>
        <v>0</v>
      </c>
      <c r="V9" s="135">
        <f>IF(T8+T9-U8-U9-V8&gt;0,MIN($T$19*($L$7*0.3*$J$10*(1+0.4*$C$68)*(1+0.15*$C$46))-V8,T8+T9-U8-U9-V8),0)
</f>
        <v>0</v>
      </c>
      <c r="W9" s="136"/>
      <c r="X9" s="136"/>
    </row>
    <row r="10">
      <c r="B10" s="271" t="s">
        <v>55</v>
      </c>
      <c r="C10" s="25">
        <f>Inputs!C12</f>
        <v>1514.5</v>
      </c>
      <c r="D10" s="282">
        <f>(C10+65*E24+225*15/2/120*IF(1&lt;(IF(C10&gt;C8,1,0)+IF(C10&gt;C9,0)+IF(C10&gt;C11,1,0)),E27,0))*(1+0.02*C30)/(1+0.02*Baseline!C30)</f>
        <v>1514.5</v>
      </c>
      <c r="E10" s="282">
        <f>IF(D10&lt;=1620,D10,IF(D10&lt;=2160,1622+0.9*(D10-1620),IF(D10&lt;=2700,2106+0.8*(D10-2160),IF(D10&lt;=3240,2538+0.7*(D10-2700),IF(D10&lt;=4320,2916+0.6*(D10-3240),IF(D10&lt;=10800,3564+0.5*(D10-4320),6804))))))</f>
        <v>1514.5</v>
      </c>
      <c r="F10" s="4"/>
      <c r="G10" s="271" t="s">
        <v>210</v>
      </c>
      <c r="H10" s="118">
        <f>E10/5400+(E26+E33)*0.01</f>
        <v>0.280462963</v>
      </c>
      <c r="I10" s="281" t="s">
        <v>226</v>
      </c>
      <c r="J10" s="119">
        <f>1+H10</f>
        <v>1.280462963</v>
      </c>
      <c r="K10" s="281" t="s">
        <v>228</v>
      </c>
      <c r="L10" s="119">
        <f>1-H10/2</f>
        <v>0.8597685185</v>
      </c>
      <c r="N10" s="286" t="s">
        <v>230</v>
      </c>
      <c r="O10" s="140">
        <f t="shared" ref="O10:U10" si="5">SUM(O6:O9)</f>
        <v>3720571.088</v>
      </c>
      <c r="P10" s="140">
        <f t="shared" si="5"/>
        <v>509732.9469</v>
      </c>
      <c r="Q10" s="140">
        <f t="shared" si="5"/>
        <v>328067.4597</v>
      </c>
      <c r="R10" s="140">
        <f t="shared" si="5"/>
        <v>399319.0014</v>
      </c>
      <c r="S10" s="140">
        <f t="shared" si="5"/>
        <v>399319.0014</v>
      </c>
      <c r="T10" s="140">
        <f t="shared" si="5"/>
        <v>399319.0014</v>
      </c>
      <c r="U10" s="140">
        <f t="shared" si="5"/>
        <v>0</v>
      </c>
      <c r="V10" s="140">
        <f>sum(V6:V9)</f>
        <v>11765.66776</v>
      </c>
      <c r="W10" s="140">
        <f>(Y77+C27*0.0011*L7*(1-C144))</f>
        <v>384389.413</v>
      </c>
      <c r="X10" s="152">
        <f>(MAX((T10-U10-V10-W10),0)*(1-$T$76*(10+2*C92))+MAX((T10-U10-V10-W10*(1.3+0.05*C92)),0)*($T$76*(10+2*C92))/(1.3+0.05*C92))/IF(D100=2,(1+0.06*(1-T40*(1-(0.75)^((5+(H15/2))/H15))/(1+3*(1-(0.75)^((5+(H15/2))/H15))*C82)/(1-(0.75)^((5+(H15/2))/H15)))),(1+0.02*C49))</f>
        <v>1049.525913</v>
      </c>
    </row>
    <row r="11">
      <c r="B11" s="271" t="s">
        <v>62</v>
      </c>
      <c r="C11" s="25">
        <f>Inputs!C13</f>
        <v>479.5</v>
      </c>
      <c r="D11" s="282">
        <f>(C11+225*15/2/120*IF(1&lt;(IF(C11&gt;C8,1,0)+IF(C11&gt;C10,1,0)+IF(C11&gt;C9,1,0)),E27,0))*(1+0.02*C30)/(1+0.02*Baseline!C30)</f>
        <v>479.5</v>
      </c>
      <c r="E11" s="282">
        <f>IF(D11&lt;=1380,D11,IF(D11&lt;=1840,1380+0.9*(D11-1380),IF(D11&lt;=2300,1794+0.8*(D11-1840),IF(D11&lt;=2760,2162+0.7*(D11-2300),IF(D11&lt;=3680,2484+0.6*(D11-2760),IF(D11&lt;=9200,3036+0.5*(D11-3680),5796))))))</f>
        <v>479.5</v>
      </c>
      <c r="F11" s="4"/>
      <c r="G11" s="271" t="s">
        <v>232</v>
      </c>
      <c r="H11" s="118">
        <f>0.16+E11/2300+0.002*(C131*K134)</f>
        <v>0.3835236353</v>
      </c>
      <c r="I11" s="283" t="s">
        <v>253</v>
      </c>
      <c r="J11" s="119">
        <f t="shared" ref="J11:J12" si="6">H11</f>
        <v>0.3835236353</v>
      </c>
      <c r="K11" s="271" t="s">
        <v>255</v>
      </c>
      <c r="L11" s="52">
        <f>1+H11/2</f>
        <v>1.191761818</v>
      </c>
    </row>
    <row r="12">
      <c r="B12" s="281" t="s">
        <v>64</v>
      </c>
      <c r="C12" s="25">
        <f>Inputs!C14</f>
        <v>0</v>
      </c>
      <c r="D12" s="115">
        <f t="shared" ref="D12:D13" si="7">C12</f>
        <v>0</v>
      </c>
      <c r="E12" s="115">
        <f>IF(D12&lt;=690,D12,IF(D12&lt;=1035,690+0.8*(D12-690),IF(D12&lt;=1380,966+0.6*(D12-1035),1173+0.4*(D12-1380))))</f>
        <v>0</v>
      </c>
      <c r="F12" s="4"/>
      <c r="G12" s="271" t="s">
        <v>256</v>
      </c>
      <c r="H12" s="159">
        <f>E12/6900+C71*0.03+C131*E138*0.02</f>
        <v>0.03</v>
      </c>
      <c r="I12" s="271" t="s">
        <v>264</v>
      </c>
      <c r="J12" s="119">
        <f t="shared" si="6"/>
        <v>0.03</v>
      </c>
      <c r="K12" s="271" t="s">
        <v>266</v>
      </c>
      <c r="L12" s="119">
        <f>J12+C111*0.15*MIN(8*T42,1)+0.06*(10+2*$C$72)*T54*(1+C131*E138)</f>
        <v>0.185</v>
      </c>
    </row>
    <row r="13">
      <c r="B13" s="281" t="s">
        <v>66</v>
      </c>
      <c r="C13" s="25">
        <f>Inputs!C15</f>
        <v>0</v>
      </c>
      <c r="D13" s="115">
        <f t="shared" si="7"/>
        <v>0</v>
      </c>
      <c r="E13" s="115">
        <f>IF(D13&lt;=368,D13,IF(D13&lt;=552,368+0.8*(D13-368),IF(D13&lt;=736,515.2+0.6*(D13-552),625.6+0.4*(D13-736))))</f>
        <v>0</v>
      </c>
      <c r="F13" s="4"/>
      <c r="G13" s="271" t="s">
        <v>270</v>
      </c>
      <c r="H13" s="159">
        <f>E13/3680+C70*0.03</f>
        <v>0</v>
      </c>
      <c r="I13" s="271" t="s">
        <v>272</v>
      </c>
      <c r="J13" s="119">
        <f>1-H13</f>
        <v>1</v>
      </c>
      <c r="K13" s="271" t="s">
        <v>273</v>
      </c>
      <c r="L13" s="84">
        <f>622/19130+0.03+(L6+L8)/((L6+L8)*1+1/0.94)+0.05*8*T28</f>
        <v>0.2642618342</v>
      </c>
      <c r="N13" s="290" t="s">
        <v>24</v>
      </c>
      <c r="V13" s="171"/>
    </row>
    <row r="14">
      <c r="B14" s="271" t="s">
        <v>68</v>
      </c>
      <c r="C14" s="174">
        <f>Inputs!C16</f>
        <v>151.4</v>
      </c>
      <c r="D14" s="27"/>
      <c r="E14" s="27"/>
      <c r="F14" s="4"/>
      <c r="G14" s="271" t="s">
        <v>277</v>
      </c>
      <c r="H14" s="159">
        <f>0.03+0.02*C32</f>
        <v>0.03</v>
      </c>
      <c r="I14" s="283" t="s">
        <v>279</v>
      </c>
      <c r="J14" s="133">
        <f>(1+E30*0.05*(1.13*(1-exp(-1*J9*15/60))))*(1+C57*0.06*(1-0.85^(5/(3/((1/(1-0.15*C107))*(1+C130))))))*(1+C117*0.05)*IF(D100=2,(1+0.06*C119*(1-T40*(1-(0.75)^((5+(H15/2))/H15))/(1+3*(1-(0.75)^((5+(H15/2))/H15))*C82)/(1-(0.75)^((5+(H15/2))/H15)))),(1+0.06*(14-5*C131*E137)*C119*(1/S40)))*(1+IF(C127&gt;2,2,IF(C127=2,1,0))*0.03*E127)</f>
        <v>1.187331831</v>
      </c>
      <c r="K14" s="283" t="s">
        <v>281</v>
      </c>
      <c r="L14" s="84">
        <f>MAX(L13-0.015*(C153-90),0)+MAX(H14-0.015*(C153-90),0)+MAX(0.03-0.015*(C153-90),0)</f>
        <v>0.3242618342</v>
      </c>
      <c r="N14" s="291" t="s">
        <v>71</v>
      </c>
      <c r="O14" s="291" t="s">
        <v>115</v>
      </c>
      <c r="P14" s="291" t="s">
        <v>150</v>
      </c>
      <c r="Q14" s="291" t="s">
        <v>282</v>
      </c>
      <c r="R14" s="291" t="s">
        <v>283</v>
      </c>
      <c r="S14" s="291" t="s">
        <v>284</v>
      </c>
    </row>
    <row r="15">
      <c r="B15" s="281" t="s">
        <v>69</v>
      </c>
      <c r="C15" s="174">
        <f>Inputs!C17</f>
        <v>3.6</v>
      </c>
      <c r="D15" s="27"/>
      <c r="E15" s="27"/>
      <c r="F15" s="4"/>
      <c r="G15" s="271" t="s">
        <v>285</v>
      </c>
      <c r="H15" s="178">
        <f>C15/(J9*(1+0.06*(3+1.5*C130*C136)*C59*D59))/((195.5+21.9*C152-0.673*C152^2)/195.5)</f>
        <v>1.378599312</v>
      </c>
      <c r="I15" s="291" t="s">
        <v>286</v>
      </c>
      <c r="J15" s="133">
        <f>(1+E30*0.05*(1.13*(1-exp(-1*J9*15/60))))*IF(D100=2,(1+0.06*C119*(1-T40*(1-(0.75)^((5+(H15/2))/H15))/(1+3*(1-(0.75)^((5+(H15/2))/H15))*C82)/(1-(0.75)^((5+(H15/2))/H15)))),(1+0.02*C49))*(1+C73*0.15*(5+2*C68)*(1/S19*C149*(1-C150)))*(1+0.01*E31)</f>
        <v>1.04</v>
      </c>
      <c r="K15" s="291" t="s">
        <v>288</v>
      </c>
      <c r="L15" s="133">
        <f>IF(C127=4,1/(2.5+(2/(1-(L14+0.3*(0.151+0.367*(J8)-0.0791*(J8)^2+0.0086*(J8)^3)))-1+IF(C152=1,0.5,0))/C152),1/(2.5+(2/(1-(L14+0.3*T38*(8+C110*4)))-1+IF(C152=1,0.5,0))/C152))</f>
        <v>0.3268719292</v>
      </c>
      <c r="N15" s="181">
        <f>IF(X10=0,"Self-Sufficient (+"&amp;Round(-((T10-U10-V10-W10)*(1-$T$76*(10+2*C92))+(T10-U10-V10-W10*(1.3+0.05*C92))*($T$76*(10+2*C92)))/O10%,2)&amp;"%)",($O$10-$X$10)/$O$10)</f>
        <v>0.9997179127</v>
      </c>
      <c r="O15" s="182">
        <f t="shared" ref="O15:P15" si="8">V77</f>
        <v>325393.0508</v>
      </c>
      <c r="P15" s="182">
        <f t="shared" si="8"/>
        <v>112398.2291</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9381302.289</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11532296.73</v>
      </c>
      <c r="S15" s="182">
        <f>$L$7*O10/T10*(0.7+0.3/(1-0.15*C79-0.05*IF(C79&gt;0,1,0)))*(1+($T$76*(10+2*C92))*0.3)</f>
        <v>21791865.88</v>
      </c>
    </row>
    <row r="17">
      <c r="A17" s="2"/>
      <c r="B17" s="294" t="s">
        <v>70</v>
      </c>
      <c r="C17" s="2"/>
      <c r="D17" s="2"/>
      <c r="E17" s="2"/>
      <c r="G17" s="296" t="s">
        <v>292</v>
      </c>
      <c r="H17" s="269" t="s">
        <v>255</v>
      </c>
      <c r="I17" s="268" t="s">
        <v>293</v>
      </c>
      <c r="J17" s="268" t="s">
        <v>294</v>
      </c>
      <c r="K17" s="269" t="s">
        <v>295</v>
      </c>
      <c r="L17" s="269" t="s">
        <v>296</v>
      </c>
      <c r="M17" s="268" t="s">
        <v>297</v>
      </c>
      <c r="N17" s="268" t="s">
        <v>298</v>
      </c>
      <c r="O17" s="268" t="s">
        <v>299</v>
      </c>
      <c r="P17" s="269" t="s">
        <v>300</v>
      </c>
      <c r="Q17" s="268" t="s">
        <v>301</v>
      </c>
      <c r="R17" s="268" t="s">
        <v>302</v>
      </c>
      <c r="S17" s="268" t="s">
        <v>303</v>
      </c>
      <c r="T17" s="268" t="s">
        <v>304</v>
      </c>
      <c r="U17" s="268" t="s">
        <v>305</v>
      </c>
      <c r="V17" s="269" t="s">
        <v>115</v>
      </c>
      <c r="W17" s="269" t="s">
        <v>150</v>
      </c>
      <c r="X17" s="268" t="s">
        <v>306</v>
      </c>
      <c r="Y17" s="269" t="s">
        <v>307</v>
      </c>
      <c r="Z17" s="268" t="s">
        <v>308</v>
      </c>
      <c r="AA17" s="268" t="s">
        <v>309</v>
      </c>
      <c r="AB17" s="269" t="s">
        <v>310</v>
      </c>
    </row>
    <row r="18">
      <c r="A18" s="2"/>
      <c r="B18" s="276" t="s">
        <v>72</v>
      </c>
      <c r="C18" s="276" t="s">
        <v>73</v>
      </c>
      <c r="D18" s="276" t="s">
        <v>74</v>
      </c>
      <c r="E18" s="276" t="s">
        <v>75</v>
      </c>
      <c r="G18" s="297" t="s">
        <v>195</v>
      </c>
      <c r="H18" s="194"/>
      <c r="I18" s="194"/>
      <c r="J18" s="194"/>
      <c r="K18" s="194"/>
      <c r="L18" s="194"/>
      <c r="M18" s="194"/>
      <c r="N18" s="194"/>
      <c r="O18" s="195"/>
      <c r="P18" s="194"/>
      <c r="Q18" s="196">
        <f>1.5/$J$9</f>
        <v>0.983880796</v>
      </c>
      <c r="R18" s="197">
        <v>120.0</v>
      </c>
      <c r="S18" s="198">
        <f>R18+$C$151</f>
        <v>120.8</v>
      </c>
      <c r="T18" s="196">
        <f>1/S18*C102*D102</f>
        <v>0</v>
      </c>
      <c r="U18" s="199">
        <f>T18*Q18</f>
        <v>0</v>
      </c>
      <c r="V18" s="194"/>
      <c r="W18" s="194"/>
      <c r="X18" s="194"/>
      <c r="Y18" s="194"/>
      <c r="Z18" s="194"/>
      <c r="AA18" s="195"/>
      <c r="AB18" s="194"/>
    </row>
    <row r="19">
      <c r="A19" s="2"/>
      <c r="B19" s="174" t="str">
        <f>Inputs!B21</f>
        <v/>
      </c>
      <c r="C19" s="174">
        <f>Inputs!C21</f>
        <v>1</v>
      </c>
      <c r="D19" s="79"/>
      <c r="E19" s="79"/>
      <c r="G19" s="281" t="s">
        <v>311</v>
      </c>
      <c r="H19" s="201"/>
      <c r="I19" s="194"/>
      <c r="J19" s="203"/>
      <c r="K19" s="195"/>
      <c r="L19" s="195"/>
      <c r="M19" s="195"/>
      <c r="N19" s="194"/>
      <c r="O19" s="196">
        <f>AA19/T19</f>
        <v>58.26106481</v>
      </c>
      <c r="P19" s="194"/>
      <c r="Q19" s="194"/>
      <c r="R19" s="197">
        <v>60.0</v>
      </c>
      <c r="S19" s="196">
        <f>(R19-20*C68+20*C81)</f>
        <v>40</v>
      </c>
      <c r="T19" s="196">
        <f>1/S19*C149*C150</f>
        <v>0.01</v>
      </c>
      <c r="U19" s="195"/>
      <c r="V19" s="195"/>
      <c r="W19" s="195"/>
      <c r="X19" s="195"/>
      <c r="Y19" s="194"/>
      <c r="Z19" s="194"/>
      <c r="AA19" s="196">
        <f>T19*$J$10*(1+0.4*$C$68)*(1+0.15*$C$46)*25</f>
        <v>0.5826106481</v>
      </c>
      <c r="AB19" s="194"/>
    </row>
    <row r="20">
      <c r="A20" s="2"/>
      <c r="B20" s="276" t="s">
        <v>76</v>
      </c>
      <c r="C20" s="276" t="s">
        <v>77</v>
      </c>
      <c r="D20" s="276" t="s">
        <v>78</v>
      </c>
      <c r="G20" s="276" t="s">
        <v>141</v>
      </c>
      <c r="H20" s="27"/>
      <c r="I20" s="194"/>
      <c r="J20" s="194"/>
      <c r="K20" s="194"/>
      <c r="L20" s="194"/>
      <c r="M20" s="194"/>
      <c r="N20" s="194"/>
      <c r="O20" s="194"/>
      <c r="P20" s="194"/>
      <c r="Q20" s="196">
        <f t="shared" ref="Q20:Q22" si="9">1.5/$J$9</f>
        <v>0.983880796</v>
      </c>
      <c r="R20" s="204">
        <v>240.0</v>
      </c>
      <c r="S20" s="205">
        <f>240-60*C67</f>
        <v>180</v>
      </c>
      <c r="T20" s="196">
        <f>1/S20*C61*D61</f>
        <v>0</v>
      </c>
      <c r="U20" s="199">
        <f t="shared" ref="U20:U22" si="10">T20*Q20</f>
        <v>0</v>
      </c>
      <c r="V20" s="194"/>
      <c r="W20" s="195"/>
      <c r="X20" s="195"/>
      <c r="Y20" s="194"/>
      <c r="Z20" s="194"/>
      <c r="AA20" s="194"/>
      <c r="AB20" s="194"/>
    </row>
    <row r="21">
      <c r="A21" s="2"/>
      <c r="B21" s="25" t="str">
        <f>Inputs!B23</f>
        <v/>
      </c>
      <c r="C21" s="25" t="str">
        <f>Inputs!C23</f>
        <v/>
      </c>
      <c r="D21" s="78"/>
      <c r="G21" s="276" t="s">
        <v>313</v>
      </c>
      <c r="H21" s="206">
        <v>1.5</v>
      </c>
      <c r="I21" s="194"/>
      <c r="J21" s="207">
        <f>($J$6*(1+$E$116)*(1+$D$157)+$C$14*6)*H21*$J$10*$L$11*(1+0.01*E25)</f>
        <v>9494.054944</v>
      </c>
      <c r="K21" s="196">
        <f>J21*$J$8*$C$152*$J$14*(1+0.08*C120*D120)
</f>
        <v>70918.97431</v>
      </c>
      <c r="L21" s="209">
        <f>K21/$C$152</f>
        <v>14183.79486</v>
      </c>
      <c r="M21" s="209">
        <f>K21*$L$12</f>
        <v>13120.01025</v>
      </c>
      <c r="N21" s="194"/>
      <c r="O21" s="194"/>
      <c r="P21" s="194"/>
      <c r="Q21" s="196">
        <f t="shared" si="9"/>
        <v>0.983880796</v>
      </c>
      <c r="R21" s="197">
        <v>180.0</v>
      </c>
      <c r="S21" s="198">
        <f t="shared" ref="S21:S22" si="11">R21+$C$151</f>
        <v>180.8</v>
      </c>
      <c r="T21" s="196">
        <f>1/S21*E25</f>
        <v>0</v>
      </c>
      <c r="U21" s="199">
        <f t="shared" si="10"/>
        <v>0</v>
      </c>
      <c r="V21" s="196">
        <f>T21*K21</f>
        <v>0</v>
      </c>
      <c r="W21" s="196">
        <f>T21*L21</f>
        <v>0</v>
      </c>
      <c r="X21" s="196">
        <f>T21*M21</f>
        <v>0</v>
      </c>
      <c r="Y21" s="196">
        <f>X21*(1-$C$144)</f>
        <v>0</v>
      </c>
      <c r="Z21" s="194"/>
      <c r="AA21" s="194"/>
      <c r="AB21" s="194"/>
    </row>
    <row r="22">
      <c r="A22" s="2"/>
      <c r="B22" s="2"/>
      <c r="E22" s="2"/>
      <c r="G22" s="281" t="s">
        <v>314</v>
      </c>
      <c r="H22" s="201"/>
      <c r="I22" s="194"/>
      <c r="J22" s="203"/>
      <c r="K22" s="195"/>
      <c r="L22" s="195"/>
      <c r="M22" s="195"/>
      <c r="N22" s="194"/>
      <c r="O22" s="211">
        <f>20</f>
        <v>20</v>
      </c>
      <c r="P22" s="194"/>
      <c r="Q22" s="196">
        <f t="shared" si="9"/>
        <v>0.983880796</v>
      </c>
      <c r="R22" s="197">
        <v>120.0</v>
      </c>
      <c r="S22" s="198">
        <f t="shared" si="11"/>
        <v>120.8</v>
      </c>
      <c r="T22" s="196">
        <f>1/S22*C28</f>
        <v>0</v>
      </c>
      <c r="U22" s="199">
        <f t="shared" si="10"/>
        <v>0</v>
      </c>
      <c r="V22" s="195"/>
      <c r="W22" s="195"/>
      <c r="X22" s="195"/>
      <c r="Y22" s="194"/>
      <c r="Z22" s="194"/>
      <c r="AA22" s="196">
        <f>T22*O22</f>
        <v>0</v>
      </c>
      <c r="AB22" s="194"/>
    </row>
    <row r="23">
      <c r="A23" s="2"/>
      <c r="B23" s="294" t="s">
        <v>79</v>
      </c>
      <c r="C23" s="2"/>
      <c r="D23" s="2"/>
      <c r="E23" s="2"/>
      <c r="G23" s="281" t="s">
        <v>315</v>
      </c>
      <c r="H23" s="212">
        <f>5*C15/12*1.25*1.2</f>
        <v>2.25</v>
      </c>
      <c r="I23" s="194"/>
      <c r="J23" s="207">
        <f>($J$6*(1+$E$116)*(1+$D$157)+169*15/120*$C$24+$C$14*6)*H23*$J$10*$L$11</f>
        <v>14241.08242</v>
      </c>
      <c r="K23" s="196">
        <f>J23*$J$8*0.7*$J$14*(1+0.08*C120*D120)
</f>
        <v>14892.9846</v>
      </c>
      <c r="L23" s="209">
        <f>K23</f>
        <v>14892.9846</v>
      </c>
      <c r="M23" s="209">
        <f>K23*$L$12</f>
        <v>2755.202152</v>
      </c>
      <c r="N23" s="215"/>
      <c r="O23" s="194"/>
      <c r="P23" s="194"/>
      <c r="Q23" s="195"/>
      <c r="R23" s="216">
        <f>C15</f>
        <v>3.6</v>
      </c>
      <c r="S23" s="209">
        <f>H15</f>
        <v>1.378599312</v>
      </c>
      <c r="T23" s="209">
        <f>1/S23</f>
        <v>0.7253739295</v>
      </c>
      <c r="U23" s="217"/>
      <c r="V23" s="196">
        <f t="shared" ref="V23:V24" si="12">T23*K23</f>
        <v>10802.98276</v>
      </c>
      <c r="W23" s="196">
        <f t="shared" ref="W23:W24" si="13">T23*L23</f>
        <v>10802.98276</v>
      </c>
      <c r="X23" s="196">
        <f t="shared" ref="X23:X24" si="14">T23*M23</f>
        <v>1998.551811</v>
      </c>
      <c r="Y23" s="196">
        <f t="shared" ref="Y23:Y29" si="15">X23*(1-$C$144)</f>
        <v>1598.841449</v>
      </c>
      <c r="Z23" s="194"/>
      <c r="AA23" s="194"/>
      <c r="AB23" s="194"/>
    </row>
    <row r="24">
      <c r="A24" s="2"/>
      <c r="B24" s="281" t="s">
        <v>80</v>
      </c>
      <c r="C24" s="25">
        <f>Inputs!C26</f>
        <v>0</v>
      </c>
      <c r="D24" s="308" t="s">
        <v>81</v>
      </c>
      <c r="E24" s="25">
        <f>Inputs!E26</f>
        <v>0</v>
      </c>
      <c r="G24" s="276" t="s">
        <v>316</v>
      </c>
      <c r="H24" s="218">
        <f>0.1115*1.4/6*1.36*1.075*15</f>
        <v>0.5705455</v>
      </c>
      <c r="I24" s="204">
        <v>1.15</v>
      </c>
      <c r="J24" s="219">
        <f>($J$6*(1+$E$116)*(1+$D$157)+169*15/120*$C$24+$C$14*6)*H24*$J$10*$L$11*I24*(1+0.01*C24)</f>
        <v>4152.872582</v>
      </c>
      <c r="K24" s="196">
        <f>(J24*$J$8*INT($J$9*10/1+1)*0.7*$J$14+J24*7.875*1.25*$J$8*$C$152/SQRT(MAX(1,$C$152/8))*$J$14)*(1+0.15*$C$152/SQRT(MAX(1,$C$152/8))*(1+$C$131*0.05*MIN(1,5/$C$152))*J10)</f>
        <v>729497.6546</v>
      </c>
      <c r="L24" s="196">
        <f>(J24*$J$8*INT($J$9*10/1+1)*0.7*$J$14+J24*7.875*1.25*$J$8/SQRT(MAX(1,$C$152/8))*$J$14)+(K24/(1+0.15*$C$152/SQRT(MAX(1,$C$152/8))*(1+$C$131*0.05*MIN(1,5/$C$152))*J10))*(0.15*1/SQRT(MAX(1,$C$152/8))*(1+$C$131*0.05)*J10)</f>
        <v>199765.8897</v>
      </c>
      <c r="M24" s="196">
        <f>K24/((1+$C$131*0.05*MIN(1,5/$C$152)))/$C$152</f>
        <v>138951.9342</v>
      </c>
      <c r="N24" s="194"/>
      <c r="O24" s="194"/>
      <c r="P24" s="194"/>
      <c r="Q24" s="195"/>
      <c r="R24" s="195"/>
      <c r="S24" s="196">
        <f>S38</f>
        <v>90.8</v>
      </c>
      <c r="T24" s="196">
        <f>1/S24*C131</f>
        <v>0.01101321586</v>
      </c>
      <c r="U24" s="222"/>
      <c r="V24" s="196">
        <f t="shared" si="12"/>
        <v>8034.115139</v>
      </c>
      <c r="W24" s="196">
        <f t="shared" si="13"/>
        <v>2200.064865</v>
      </c>
      <c r="X24" s="196">
        <f t="shared" si="14"/>
        <v>1530.307646</v>
      </c>
      <c r="Y24" s="196">
        <f t="shared" si="15"/>
        <v>1224.246116</v>
      </c>
      <c r="Z24" s="194"/>
      <c r="AA24" s="194"/>
      <c r="AB24" s="194"/>
    </row>
    <row r="25">
      <c r="A25" s="2"/>
      <c r="B25" s="281" t="s">
        <v>83</v>
      </c>
      <c r="C25" s="25">
        <f>Inputs!C27</f>
        <v>0</v>
      </c>
      <c r="D25" s="308" t="s">
        <v>84</v>
      </c>
      <c r="E25" s="25">
        <f>Inputs!E27</f>
        <v>0</v>
      </c>
      <c r="G25" s="281" t="s">
        <v>177</v>
      </c>
      <c r="H25" s="206">
        <f>1.4256*1.15</f>
        <v>1.63944</v>
      </c>
      <c r="I25" s="204">
        <v>1.15</v>
      </c>
      <c r="J25" s="207">
        <f>($J$6*(1+$E$116)*(1+$D$157)+169*15/120*$C$24+$C$14*6)*H25*$J$10*$L$11*I25*(1+0.01*$E$25)*(1+0.3*C130)</f>
        <v>11933.11564</v>
      </c>
      <c r="K25" s="196">
        <f>J25*$J$8*$C$152*$J$14*(1+C130*0.15*$B$19*(1+0.2*$C$63))*(1+$C$131*0.05*MIN(1,5/$C$152))*$H$135*(1+0.08*C120*D120)
</f>
        <v>93595.2596</v>
      </c>
      <c r="L25" s="209">
        <f t="shared" ref="L25:L26" si="16">K25/$C$152</f>
        <v>18719.05192</v>
      </c>
      <c r="M25" s="209">
        <f>K25*$L$12</f>
        <v>17315.12303</v>
      </c>
      <c r="N25" s="194"/>
      <c r="O25" s="194"/>
      <c r="P25" s="195"/>
      <c r="Q25" s="196">
        <f>1.5/$J$9</f>
        <v>0.983880796</v>
      </c>
      <c r="R25" s="197">
        <v>7.5</v>
      </c>
      <c r="S25" s="196">
        <f>1/((1/(R25/J9))+(C113/((R25/J9)/((1/(1-0.15*C107))/3*(1+C130)*(1-(1-H8)^C152)*0.25))))</f>
        <v>4.91940398</v>
      </c>
      <c r="T25" s="196">
        <f>MIN(1/S25,MAX((1-SUM(U19:U23,U29:U41,U43:U50,U52:U76)-($L$9+SUM(Z19:Z50,Z52:Z76))*Q51/(-N51)+(SUM(AA19:AA24,AA26:AA41,AA43:AA50,AA52:AA76)+(($L$9+SUM(Z19:Z50)+SUM(Z52:Z76))*O51/(-N51)))/O42*Q42)/Q25*(-O42/(O25-O42)),(1+C130)/24-T47*C130*0.5))</f>
        <v>0.04166666667</v>
      </c>
      <c r="U25" s="199">
        <f>T25*Q25</f>
        <v>0.04099503317</v>
      </c>
      <c r="V25" s="196">
        <f>(T25+C108*T51*(1-(1-0.15)*(1-0.15*MAX(4,C152-1)))*1.5)*K25</f>
        <v>40993.3616</v>
      </c>
      <c r="W25" s="196">
        <f>(T25+C108*T51*(1-(1-0.15)*(1-0.15*MAX(4,C152-1)))*1.5)*L25</f>
        <v>8198.672321</v>
      </c>
      <c r="X25" s="196">
        <f>(T25+C108*T51*0.15*1.5)*M25</f>
        <v>2281.079013</v>
      </c>
      <c r="Y25" s="196">
        <f t="shared" si="15"/>
        <v>1824.863211</v>
      </c>
      <c r="Z25" s="194"/>
      <c r="AA25" s="195"/>
      <c r="AB25" s="195"/>
    </row>
    <row r="26">
      <c r="A26" s="2"/>
      <c r="B26" s="281" t="s">
        <v>85</v>
      </c>
      <c r="C26" s="25">
        <f>Inputs!C28</f>
        <v>0</v>
      </c>
      <c r="D26" s="308" t="s">
        <v>86</v>
      </c>
      <c r="E26" s="25">
        <f>Inputs!E28</f>
        <v>0</v>
      </c>
      <c r="G26" s="276" t="s">
        <v>161</v>
      </c>
      <c r="H26" s="218">
        <v>1.2</v>
      </c>
      <c r="I26" s="204">
        <v>1.15</v>
      </c>
      <c r="J26" s="207">
        <f>($J$6*(1+$E$116)*(1+$D$157)+169*15/120*$C$24+$C$14*6)*H26*$J$10*$L$11*I26*(1+0.01*$E$25)</f>
        <v>8734.530548</v>
      </c>
      <c r="K26" s="196">
        <f>J26*$J$8*$C$152*$J$14*(1+$C$131*0.05*MIN(1,5/$C$152))*(1+0.08*C120*D120)
</f>
        <v>68507.72918</v>
      </c>
      <c r="L26" s="196">
        <f t="shared" si="16"/>
        <v>13701.54584</v>
      </c>
      <c r="M26" s="196">
        <f>K26*(1+$L$12)*1.25</f>
        <v>101477.0738</v>
      </c>
      <c r="N26" s="194"/>
      <c r="O26" s="194"/>
      <c r="P26" s="194"/>
      <c r="Q26" s="195"/>
      <c r="R26" s="204">
        <v>120.0</v>
      </c>
      <c r="S26" s="204">
        <v>120.0</v>
      </c>
      <c r="T26" s="196">
        <f>1/S26*C76</f>
        <v>0</v>
      </c>
      <c r="U26" s="222"/>
      <c r="V26" s="196">
        <f>T26*K26</f>
        <v>0</v>
      </c>
      <c r="W26" s="196">
        <f>T26*L26</f>
        <v>0</v>
      </c>
      <c r="X26" s="196">
        <f t="shared" ref="X26:X28" si="17">T26*M26</f>
        <v>0</v>
      </c>
      <c r="Y26" s="196">
        <f t="shared" si="15"/>
        <v>0</v>
      </c>
      <c r="Z26" s="195"/>
      <c r="AA26" s="195"/>
      <c r="AB26" s="194"/>
    </row>
    <row r="27">
      <c r="A27" s="2"/>
      <c r="B27" s="281" t="s">
        <v>88</v>
      </c>
      <c r="C27" s="25">
        <f>Inputs!C29</f>
        <v>0</v>
      </c>
      <c r="D27" s="308" t="s">
        <v>89</v>
      </c>
      <c r="E27" s="25">
        <f>Inputs!E29</f>
        <v>0</v>
      </c>
      <c r="G27" s="276" t="s">
        <v>208</v>
      </c>
      <c r="H27" s="224"/>
      <c r="I27" s="194"/>
      <c r="J27" s="194"/>
      <c r="K27" s="194"/>
      <c r="L27" s="194"/>
      <c r="M27" s="196">
        <f>V10/T19</f>
        <v>1176566.776</v>
      </c>
      <c r="N27" s="194"/>
      <c r="O27" s="194"/>
      <c r="P27" s="194"/>
      <c r="Q27" s="195"/>
      <c r="R27" s="194"/>
      <c r="S27" s="194"/>
      <c r="T27" s="196">
        <f>T19*C112</f>
        <v>0</v>
      </c>
      <c r="U27" s="222"/>
      <c r="V27" s="222"/>
      <c r="W27" s="222"/>
      <c r="X27" s="196">
        <f t="shared" si="17"/>
        <v>0</v>
      </c>
      <c r="Y27" s="196">
        <f t="shared" si="15"/>
        <v>0</v>
      </c>
      <c r="Z27" s="195"/>
      <c r="AA27" s="194"/>
      <c r="AB27" s="194"/>
    </row>
    <row r="28">
      <c r="A28" s="2"/>
      <c r="B28" s="281" t="s">
        <v>90</v>
      </c>
      <c r="C28" s="25">
        <f>Inputs!C30</f>
        <v>0</v>
      </c>
      <c r="D28" s="308" t="s">
        <v>91</v>
      </c>
      <c r="E28" s="25">
        <f>Inputs!E30</f>
        <v>0</v>
      </c>
      <c r="G28" s="276" t="s">
        <v>215</v>
      </c>
      <c r="H28" s="206">
        <v>0.64</v>
      </c>
      <c r="I28" s="204">
        <v>1.15</v>
      </c>
      <c r="J28" s="207">
        <f>($J$6*(1+$E$116)*(1+$D$157)+169*15/120*$C$24+$C$14*6)*H28*$J$10*$L$11*I28*(1+0.01*E25)</f>
        <v>4658.416292</v>
      </c>
      <c r="K28" s="196">
        <f>J28*$J$8*$C$152/SQRT(MAX(1,$C$152/8))*$J$14*9*(1+0.08*C120*D120)*(1+$C$131*0.05*MIN(1,5/$C$152))</f>
        <v>328837.1001</v>
      </c>
      <c r="L28" s="196">
        <f t="shared" ref="L28:L29" si="18">K28/$C$152</f>
        <v>65767.42001</v>
      </c>
      <c r="M28" s="209">
        <f>K28*$L$12</f>
        <v>60834.86351</v>
      </c>
      <c r="N28" s="194"/>
      <c r="O28" s="219">
        <f>MIN(C152,5)*2*9</f>
        <v>90</v>
      </c>
      <c r="P28" s="194"/>
      <c r="Q28" s="195"/>
      <c r="R28" s="194"/>
      <c r="S28" s="194"/>
      <c r="T28" s="196">
        <f>T38*C118</f>
        <v>0</v>
      </c>
      <c r="U28" s="222"/>
      <c r="V28" s="196">
        <f>T28*K28</f>
        <v>0</v>
      </c>
      <c r="W28" s="196">
        <f>T28*L28</f>
        <v>0</v>
      </c>
      <c r="X28" s="196">
        <f t="shared" si="17"/>
        <v>0</v>
      </c>
      <c r="Y28" s="196">
        <f t="shared" si="15"/>
        <v>0</v>
      </c>
      <c r="Z28" s="195"/>
      <c r="AA28" s="196">
        <f>T28*O28</f>
        <v>0</v>
      </c>
      <c r="AB28" s="194"/>
    </row>
    <row r="29">
      <c r="A29" s="2"/>
      <c r="B29" s="281" t="s">
        <v>92</v>
      </c>
      <c r="C29" s="25">
        <f>Inputs!C31</f>
        <v>0</v>
      </c>
      <c r="D29" s="308" t="s">
        <v>93</v>
      </c>
      <c r="E29" s="25">
        <f>Inputs!E31</f>
        <v>0</v>
      </c>
      <c r="G29" s="281" t="s">
        <v>321</v>
      </c>
      <c r="H29" s="237">
        <f>0.3348*24/3*(1/(1-0.15*C107))</f>
        <v>3.151058824</v>
      </c>
      <c r="I29" s="204">
        <v>1.15</v>
      </c>
      <c r="J29" s="207">
        <f>($J$6*(1+$E$116)*(1+$D$157)+169*15/120*$C$24+$C$14*6)*H29*$J$10*$L$11*I29*(1+0.01*E25)</f>
        <v>22935.84963</v>
      </c>
      <c r="K29" s="196">
        <f>J29*$J$8*$C$152*$J$14*(1+0.4*C117*D117)*(1+$C$131*0.05*MIN(1,5/$C$152))*(1+0.08*C120*D120)*(1+0.15*C131)/(1+0.05*C117)
</f>
        <v>260074.2228</v>
      </c>
      <c r="L29" s="196">
        <f t="shared" si="18"/>
        <v>52014.84455</v>
      </c>
      <c r="M29" s="196">
        <f>K29*(1+0.85*$C$107+$L$12)*1.25</f>
        <v>661563.8042</v>
      </c>
      <c r="N29" s="194"/>
      <c r="O29" s="194"/>
      <c r="P29" s="194"/>
      <c r="Q29" s="195"/>
      <c r="R29" s="194"/>
      <c r="S29" s="194"/>
      <c r="T29" s="195"/>
      <c r="U29" s="222"/>
      <c r="V29" s="196">
        <f>K29/24*(1+C130)</f>
        <v>10836.42595</v>
      </c>
      <c r="W29" s="196">
        <f>L29/24*(1+C130)</f>
        <v>2167.28519</v>
      </c>
      <c r="X29" s="196">
        <f>M29/24*(1+C130)</f>
        <v>27565.15851</v>
      </c>
      <c r="Y29" s="196">
        <f t="shared" si="15"/>
        <v>22052.12681</v>
      </c>
      <c r="Z29" s="195"/>
      <c r="AA29" s="195"/>
      <c r="AB29" s="194"/>
    </row>
    <row r="30">
      <c r="A30" s="2"/>
      <c r="B30" s="276" t="s">
        <v>94</v>
      </c>
      <c r="C30" s="25">
        <f>Inputs!C32</f>
        <v>0</v>
      </c>
      <c r="D30" s="276" t="s">
        <v>95</v>
      </c>
      <c r="E30" s="25">
        <f>Inputs!E32</f>
        <v>0</v>
      </c>
      <c r="G30" s="276" t="s">
        <v>327</v>
      </c>
      <c r="H30" s="224"/>
      <c r="I30" s="194"/>
      <c r="J30" s="194"/>
      <c r="K30" s="194"/>
      <c r="L30" s="194"/>
      <c r="M30" s="209">
        <f>MIN(J11*(MAX(5*0.2*T10*(1+0.05*C111),7/100*L7)*(1+0.15*C42))*$J$10*(1+0.15*C46)*(1+0.2*C115),(0.5+0.15*C114)*L7*MAX(1,T42/0.2)/(1+($T$76*(10+2*C92))*(0.3+0.05*C92)))</f>
        <v>369394.8774</v>
      </c>
      <c r="N30" s="194"/>
      <c r="O30" s="194"/>
      <c r="P30" s="194"/>
      <c r="Q30" s="194"/>
      <c r="R30" s="194"/>
      <c r="S30" s="194"/>
      <c r="T30" s="196">
        <f>T42</f>
        <v>0.4013508855</v>
      </c>
      <c r="U30" s="222"/>
      <c r="V30" s="222"/>
      <c r="W30" s="222"/>
      <c r="X30" s="196">
        <f>MIN(T30,0.2)*M30</f>
        <v>73878.97548</v>
      </c>
      <c r="Y30" s="196">
        <f t="shared" ref="Y30:Y33" si="19">X30</f>
        <v>73878.97548</v>
      </c>
      <c r="Z30" s="195"/>
      <c r="AA30" s="195"/>
      <c r="AB30" s="194"/>
    </row>
    <row r="31">
      <c r="A31" s="2"/>
      <c r="B31" s="276" t="s">
        <v>96</v>
      </c>
      <c r="C31" s="25">
        <f>Inputs!C33</f>
        <v>0</v>
      </c>
      <c r="D31" s="276" t="s">
        <v>97</v>
      </c>
      <c r="E31" s="25">
        <f>Inputs!E33</f>
        <v>0</v>
      </c>
      <c r="G31" s="276" t="s">
        <v>328</v>
      </c>
      <c r="H31" s="218">
        <v>9.0</v>
      </c>
      <c r="I31" s="194"/>
      <c r="J31" s="219">
        <f>($J$6*(1+$E$116)*(1+$D$157)+169*15/120*$C$24+$C$14*6)*H31*$J$10*$L$11*(1+0.01*E25)</f>
        <v>56964.32966</v>
      </c>
      <c r="K31" s="196">
        <f>J31*$J$8*(2*$C$152/3+1/3)*(1+$C$131*0.05*MIN(1,5.5/($C$152+0.5)))*$H$135
</f>
        <v>267394.5881</v>
      </c>
      <c r="L31" s="196">
        <f>K31/(2*$C$152/3+1/3)</f>
        <v>72925.79675</v>
      </c>
      <c r="M31" s="209">
        <f>K31*$L$12</f>
        <v>49467.9988</v>
      </c>
      <c r="N31" s="194"/>
      <c r="O31" s="194"/>
      <c r="P31" s="194"/>
      <c r="Q31" s="195"/>
      <c r="R31" s="195"/>
      <c r="S31" s="195"/>
      <c r="T31" s="196">
        <f>T42/10*C158</f>
        <v>0.04013508855</v>
      </c>
      <c r="U31" s="222"/>
      <c r="V31" s="196">
        <f t="shared" ref="V31:V33" si="20">T31*K31</f>
        <v>10731.90547</v>
      </c>
      <c r="W31" s="196">
        <f t="shared" ref="W31:W33" si="21">T31*L31</f>
        <v>2926.88331</v>
      </c>
      <c r="X31" s="196">
        <f t="shared" ref="X31:X33" si="22">T31*M31</f>
        <v>1985.402512</v>
      </c>
      <c r="Y31" s="196">
        <f t="shared" si="19"/>
        <v>1985.402512</v>
      </c>
      <c r="Z31" s="194"/>
      <c r="AA31" s="194"/>
      <c r="AB31" s="194"/>
    </row>
    <row r="32">
      <c r="A32" s="2"/>
      <c r="B32" s="276" t="s">
        <v>98</v>
      </c>
      <c r="C32" s="25">
        <f>Inputs!C34</f>
        <v>0</v>
      </c>
      <c r="D32" s="276" t="s">
        <v>99</v>
      </c>
      <c r="E32" s="25">
        <f>Inputs!E34</f>
        <v>0</v>
      </c>
      <c r="G32" s="281" t="s">
        <v>193</v>
      </c>
      <c r="H32" s="206">
        <f>0.235*1.4/6*1.075</f>
        <v>0.05894583333</v>
      </c>
      <c r="I32" s="204">
        <v>1.0</v>
      </c>
      <c r="J32" s="219">
        <f>($J$6*(1+$E$116)*(1+$D$157)+169*15/120*$C$24+$C$14*6)*H32*$J$10*$L$11*I32*(1+0.01*C24)</f>
        <v>373.0899869</v>
      </c>
      <c r="K32" s="196">
        <f>J32*$J$8*INT($J$9*D101/1.4+1)*0.7*$J$14</f>
        <v>4158.774019</v>
      </c>
      <c r="L32" s="196">
        <f>K32</f>
        <v>4158.774019</v>
      </c>
      <c r="M32" s="196">
        <f>L7*0.5*0.15</f>
        <v>126217.095</v>
      </c>
      <c r="N32" s="194"/>
      <c r="O32" s="194"/>
      <c r="P32" s="194"/>
      <c r="Q32" s="195"/>
      <c r="R32" s="197">
        <f>60/5</f>
        <v>12</v>
      </c>
      <c r="S32" s="196">
        <f>R32/1.13</f>
        <v>10.61946903</v>
      </c>
      <c r="T32" s="196">
        <f>1/S32*C101</f>
        <v>0</v>
      </c>
      <c r="U32" s="222"/>
      <c r="V32" s="196">
        <f t="shared" si="20"/>
        <v>0</v>
      </c>
      <c r="W32" s="196">
        <f t="shared" si="21"/>
        <v>0</v>
      </c>
      <c r="X32" s="196">
        <f t="shared" si="22"/>
        <v>0</v>
      </c>
      <c r="Y32" s="196">
        <f t="shared" si="19"/>
        <v>0</v>
      </c>
      <c r="Z32" s="194"/>
      <c r="AA32" s="194"/>
      <c r="AB32" s="194"/>
    </row>
    <row r="33">
      <c r="A33" s="2"/>
      <c r="B33" s="276" t="s">
        <v>100</v>
      </c>
      <c r="C33" s="25">
        <f>Inputs!C35</f>
        <v>0</v>
      </c>
      <c r="D33" s="276" t="s">
        <v>101</v>
      </c>
      <c r="E33" s="25">
        <f>Inputs!E35</f>
        <v>0</v>
      </c>
      <c r="G33" s="276" t="s">
        <v>211</v>
      </c>
      <c r="H33" s="218">
        <v>1.1</v>
      </c>
      <c r="I33" s="204">
        <v>1.15</v>
      </c>
      <c r="J33" s="207">
        <f>($J$6*(1+$E$116)*(1+$D$157)+169*15/120*$C$24+$C$14*6)*H33*$J$10*$L$11*I33*(1+0.01*$E$25)</f>
        <v>8006.653003</v>
      </c>
      <c r="K33" s="196">
        <f>J33*$J$8*$J$14*(1+$C$131*0.05*MIN(1,5/$C$152))*$H$135*(1+0.08*C127)
</f>
        <v>16064.79696</v>
      </c>
      <c r="L33" s="196">
        <f>K33/C$152</f>
        <v>3212.959392</v>
      </c>
      <c r="M33" s="209">
        <f>K33*$L$12</f>
        <v>2971.987437</v>
      </c>
      <c r="N33" s="194"/>
      <c r="O33" s="194"/>
      <c r="P33" s="194"/>
      <c r="Q33" s="203"/>
      <c r="R33" s="204">
        <v>0.5</v>
      </c>
      <c r="S33" s="196">
        <f>1/T42</f>
        <v>2.491585384</v>
      </c>
      <c r="T33" s="196">
        <f>1/S33*C114</f>
        <v>0</v>
      </c>
      <c r="U33" s="203"/>
      <c r="V33" s="196">
        <f t="shared" si="20"/>
        <v>0</v>
      </c>
      <c r="W33" s="196">
        <f t="shared" si="21"/>
        <v>0</v>
      </c>
      <c r="X33" s="196">
        <f t="shared" si="22"/>
        <v>0</v>
      </c>
      <c r="Y33" s="196">
        <f t="shared" si="19"/>
        <v>0</v>
      </c>
      <c r="Z33" s="194"/>
      <c r="AA33" s="194"/>
      <c r="AB33" s="194"/>
    </row>
    <row r="34">
      <c r="A34" s="2"/>
      <c r="B34" s="276" t="s">
        <v>102</v>
      </c>
      <c r="C34" s="25">
        <f>Inputs!C36</f>
        <v>0</v>
      </c>
      <c r="D34" s="276" t="s">
        <v>103</v>
      </c>
      <c r="E34" s="25">
        <f>Inputs!E36</f>
        <v>0</v>
      </c>
      <c r="G34" s="276" t="s">
        <v>329</v>
      </c>
      <c r="H34" s="252"/>
      <c r="I34" s="203"/>
      <c r="J34" s="203"/>
      <c r="K34" s="203"/>
      <c r="L34" s="203"/>
      <c r="M34" s="203"/>
      <c r="N34" s="194"/>
      <c r="O34" s="194"/>
      <c r="P34" s="194"/>
      <c r="Q34" s="203"/>
      <c r="R34" s="203"/>
      <c r="S34" s="203"/>
      <c r="T34" s="203"/>
      <c r="U34" s="203"/>
      <c r="V34" s="203"/>
      <c r="W34" s="203"/>
      <c r="X34" s="196">
        <f>T10*0.02*E33</f>
        <v>0</v>
      </c>
      <c r="Y34" s="196">
        <f t="shared" ref="Y34:Y36" si="23">X34*(1-$C$144)</f>
        <v>0</v>
      </c>
      <c r="Z34" s="194"/>
      <c r="AA34" s="194"/>
      <c r="AB34" s="194"/>
    </row>
    <row r="35">
      <c r="A35" s="2"/>
      <c r="B35" s="276" t="s">
        <v>104</v>
      </c>
      <c r="C35" s="25">
        <f>Inputs!C37</f>
        <v>0</v>
      </c>
      <c r="D35" s="276"/>
      <c r="E35" s="25" t="str">
        <f>Inputs!E37</f>
        <v/>
      </c>
      <c r="G35" s="281" t="s">
        <v>218</v>
      </c>
      <c r="H35" s="218">
        <f>4.8084*1.3</f>
        <v>6.25092</v>
      </c>
      <c r="I35" s="204">
        <v>1.15</v>
      </c>
      <c r="J35" s="207">
        <f>($J$6*(1+$E$116)*(1+$D$157)+169*15/120*$C$24+$C$14*6)*H35*$J$10*$L$11*I35*(1+0.01*$E$25)</f>
        <v>45499.04308</v>
      </c>
      <c r="K35" s="196">
        <f>J35*$J$8*$C$152/SQRT(MAX(1,$C$152/8))*$J$14*(1+$C$131*0.05*MIN(1,5/$C$152))*(1+0.08*C120*D120)+24/(1+C130)*V29*D121*0.25*(1+0.08*C120*D120)</f>
        <v>423962.7615</v>
      </c>
      <c r="L35" s="196">
        <f>K35/$C$152</f>
        <v>84792.55231</v>
      </c>
      <c r="M35" s="196">
        <f>K35*$L$12+24/(1+C130)*V29*D121*0.25*(1+0.08*C120*D120)*(1+0.5*$C$107+$L$12)*1.25+K35*C125*1.5*J11*J10*(1+0.15*C46)*(1+0.2*C115)/(1-$C$144)</f>
        <v>219760.6945</v>
      </c>
      <c r="N35" s="194"/>
      <c r="O35" s="194"/>
      <c r="P35" s="194"/>
      <c r="Q35" s="196">
        <f>(1+0.5*D121)/$J$9</f>
        <v>0.983880796</v>
      </c>
      <c r="R35" s="204">
        <v>45.0</v>
      </c>
      <c r="S35" s="198">
        <f>(R35/(1+$C$125*22.5*1.1/60*1.13*$J$9))+$C$151</f>
        <v>45.8</v>
      </c>
      <c r="T35" s="196">
        <f>1/S35*C121</f>
        <v>0</v>
      </c>
      <c r="U35" s="199">
        <f t="shared" ref="U35:U36" si="24">T35*Q35</f>
        <v>0</v>
      </c>
      <c r="V35" s="196">
        <f t="shared" ref="V35:V36" si="25">T35*K35</f>
        <v>0</v>
      </c>
      <c r="W35" s="196">
        <f t="shared" ref="W35:W36" si="26">T35*L35</f>
        <v>0</v>
      </c>
      <c r="X35" s="196">
        <f t="shared" ref="X35:X36" si="27">T35*M35</f>
        <v>0</v>
      </c>
      <c r="Y35" s="196">
        <f t="shared" si="23"/>
        <v>0</v>
      </c>
      <c r="Z35" s="194"/>
      <c r="AA35" s="194"/>
      <c r="AB35" s="194"/>
    </row>
    <row r="36">
      <c r="A36" s="2"/>
      <c r="B36" s="2"/>
      <c r="C36" s="2"/>
      <c r="D36" s="2"/>
      <c r="E36" s="2"/>
      <c r="G36" s="276" t="s">
        <v>330</v>
      </c>
      <c r="H36" s="253">
        <v>2.52</v>
      </c>
      <c r="I36" s="203"/>
      <c r="J36" s="207">
        <f>($J$6*(1+$E$116)*(1+$D$157)+$C$14*6)*H36*$J$10*$L$11</f>
        <v>15950.01231</v>
      </c>
      <c r="K36" s="196">
        <f>J36*$J$8*$J$14*(1+0.08*C120*D120)</f>
        <v>23828.77537</v>
      </c>
      <c r="L36" s="196">
        <f>K36</f>
        <v>23828.77537</v>
      </c>
      <c r="M36" s="194"/>
      <c r="N36" s="194"/>
      <c r="O36" s="194"/>
      <c r="P36" s="194"/>
      <c r="Q36" s="196">
        <f>1.5/$J$9</f>
        <v>0.983880796</v>
      </c>
      <c r="R36" s="197">
        <v>90.0</v>
      </c>
      <c r="S36" s="198">
        <f>R36+$C$151</f>
        <v>90.8</v>
      </c>
      <c r="T36" s="196">
        <f>1/S36*IF($E$29=1,1,0)</f>
        <v>0</v>
      </c>
      <c r="U36" s="199">
        <f t="shared" si="24"/>
        <v>0</v>
      </c>
      <c r="V36" s="196">
        <f t="shared" si="25"/>
        <v>0</v>
      </c>
      <c r="W36" s="196">
        <f t="shared" si="26"/>
        <v>0</v>
      </c>
      <c r="X36" s="196">
        <f t="shared" si="27"/>
        <v>0</v>
      </c>
      <c r="Y36" s="196">
        <f t="shared" si="23"/>
        <v>0</v>
      </c>
      <c r="Z36" s="194"/>
      <c r="AA36" s="194"/>
      <c r="AB36" s="194"/>
    </row>
    <row r="37">
      <c r="A37" s="2"/>
      <c r="B37" s="321" t="s">
        <v>105</v>
      </c>
      <c r="C37" s="283" t="s">
        <v>106</v>
      </c>
      <c r="D37" s="283" t="s">
        <v>107</v>
      </c>
      <c r="E37" s="2"/>
      <c r="G37" s="276" t="s">
        <v>331</v>
      </c>
      <c r="H37" s="254"/>
      <c r="I37" s="255"/>
      <c r="J37" s="255"/>
      <c r="K37" s="255"/>
      <c r="L37" s="255"/>
      <c r="M37" s="194"/>
      <c r="N37" s="204">
        <v>1.0</v>
      </c>
      <c r="O37" s="194"/>
      <c r="P37" s="255"/>
      <c r="Q37" s="255"/>
      <c r="R37" s="255"/>
      <c r="S37" s="255"/>
      <c r="T37" s="196">
        <f>F127</f>
        <v>0.1403144756</v>
      </c>
      <c r="U37" s="195"/>
      <c r="V37" s="195"/>
      <c r="W37" s="195"/>
      <c r="X37" s="195"/>
      <c r="Y37" s="194"/>
      <c r="Z37" s="196">
        <f>T37*N37</f>
        <v>0.1403144756</v>
      </c>
      <c r="AA37" s="194"/>
      <c r="AB37" s="194"/>
    </row>
    <row r="38">
      <c r="A38" s="322" t="s">
        <v>108</v>
      </c>
      <c r="B38" s="276" t="s">
        <v>109</v>
      </c>
      <c r="C38" s="25">
        <f>Inputs!C40</f>
        <v>1</v>
      </c>
      <c r="D38" s="78"/>
      <c r="E38" s="2"/>
      <c r="G38" s="281"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2072140.716</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643609.8143</v>
      </c>
      <c r="M38" s="194"/>
      <c r="N38" s="194"/>
      <c r="O38" s="194"/>
      <c r="P38" s="256">
        <f>D105*C105</f>
        <v>5</v>
      </c>
      <c r="Q38" s="196">
        <f>1.5/$J$9</f>
        <v>0.983880796</v>
      </c>
      <c r="R38" s="197">
        <v>120.0</v>
      </c>
      <c r="S38" s="196">
        <f>120-30*C105+$C$151</f>
        <v>90.8</v>
      </c>
      <c r="T38" s="196">
        <f>1/S38*C98*C149</f>
        <v>0.01101321586</v>
      </c>
      <c r="U38" s="199">
        <f>T38*Q38</f>
        <v>0.01083569159</v>
      </c>
      <c r="V38" s="196">
        <f t="shared" ref="V38:V40" si="28">T38*K38</f>
        <v>22820.933</v>
      </c>
      <c r="W38" s="196">
        <f t="shared" ref="W38:W40" si="29">T38*L38</f>
        <v>7088.213814</v>
      </c>
      <c r="X38" s="195"/>
      <c r="Y38" s="194"/>
      <c r="Z38" s="194"/>
      <c r="AA38" s="194"/>
      <c r="AB38" s="196">
        <f>P38*T38</f>
        <v>0.0550660793</v>
      </c>
    </row>
    <row r="39">
      <c r="A39" s="97"/>
      <c r="B39" s="276" t="s">
        <v>110</v>
      </c>
      <c r="C39" s="25">
        <f>Inputs!C41</f>
        <v>1</v>
      </c>
      <c r="D39" s="78"/>
      <c r="E39" s="2"/>
      <c r="G39" s="276"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454139.8102</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180036.4159</v>
      </c>
      <c r="M39" s="194"/>
      <c r="N39" s="255"/>
      <c r="O39" s="255"/>
      <c r="P39" s="194"/>
      <c r="Q39" s="255"/>
      <c r="R39" s="255"/>
      <c r="S39" s="255">
        <f>IF(OR(D100=1,AND(C152&lt;4,C131=1)),MAX((10-5*C131*E137+H15*3.5+C151),12),0)+IF(NOT(OR(D100=1,AND(C152&lt;4,C131=1))),15-5*C131*E137-C82,0)</f>
        <v>14</v>
      </c>
      <c r="T39" s="196">
        <f>IF(C127&gt;3,1,0)*0.1*(T40+T43+T51+T57+T63)</f>
        <v>0.05623525216</v>
      </c>
      <c r="U39" s="195"/>
      <c r="V39" s="196">
        <f t="shared" si="28"/>
        <v>25538.66674</v>
      </c>
      <c r="W39" s="196">
        <f t="shared" si="29"/>
        <v>10124.39325</v>
      </c>
      <c r="X39" s="195"/>
      <c r="Y39" s="194"/>
      <c r="Z39" s="194"/>
      <c r="AA39" s="194"/>
      <c r="AB39" s="195"/>
    </row>
    <row r="40">
      <c r="A40" s="98"/>
      <c r="B40" s="276" t="s">
        <v>111</v>
      </c>
      <c r="C40" s="25">
        <f>Inputs!C42</f>
        <v>1</v>
      </c>
      <c r="D40" s="78"/>
      <c r="E40" s="2"/>
      <c r="G40" s="281" t="s">
        <v>333</v>
      </c>
      <c r="H40" s="237">
        <f>0.083*(11+2*C107)*1.3*1.25</f>
        <v>1.753375</v>
      </c>
      <c r="I40" s="204">
        <f>1.48*1.15</f>
        <v>1.702</v>
      </c>
      <c r="J40" s="207">
        <f>($J$6*(1+$E$116)*(1+$D$157)+169*15/120*$C$24+$C$14*6)*H40*$J$10*$L$11*I40*(1+0.01*E25)</f>
        <v>18888.38592</v>
      </c>
      <c r="K40" s="196">
        <f>J40*$J$8*$C$152*$J$14*(1+$C$131*0.05*MIN(1,5/$C$152))*(1+0.08*C120*D120)
</f>
        <v>148147.6789</v>
      </c>
      <c r="L40" s="196">
        <f>K40/$C$152</f>
        <v>29629.53578</v>
      </c>
      <c r="M40" s="196">
        <f>K40*$L$12+($J$6*(1+$E$116)*(1+$D$157)+4925*15/120*C24+$C$14*6)*0.375*(D97+2*C104)*$J$10*$J$8*$L$11*C94*(1-IF(OR(D100=1,AND(C152&lt;4,C131=1)),0,1)*IF(D100=2,1-(1-(0.75)^((5+(H15/2))/H15))/(1+3*(1-(0.75)^((5+(H15/2))/H15))*C82),1)*IF(NOT(OR(OR(D100=1,AND(C152&lt;4,C131=1)),D100=2)),1-(1-(0.75)^((4+(H15/2))/H15)),1))</f>
        <v>43663.10724</v>
      </c>
      <c r="N40" s="196">
        <f>-1*IF(OR(D100=1,AND(C152&lt;4,C131=1)),0,1)*IF(D100=2,1-(1-(0.75)^((5+(H15/2))/H15))/(1+3*(1-(0.75)^((5+(H15/2))/H15))*C82),1)*IF(NOT(OR(OR(D100=1,AND(C152&lt;4,C131=1)),D100=2)),1-(1-(0.75)^((4+(H15/2))/H15)),1)</f>
        <v>-0.3758559437</v>
      </c>
      <c r="O40" s="196">
        <f>10*IF(OR(D100=1,AND(C152&lt;4,C131=1)),C94,1)*IF(D100=2,IF(C94&gt;0,1,1-(1-(0.75)^((5+(H15/2))/H15))/(1+3*(1-(0.75)^((5+(H15/2))/H15))*C82)),1)*IF(NOT(OR(OR(D100=1,AND(C152&lt;4,C131=1)),D100=2)),IF(C94&gt;0,1,1-(1-(0.75)^((4+(H15/2))/H15))),1)</f>
        <v>10</v>
      </c>
      <c r="P40" s="194"/>
      <c r="Q40" s="196">
        <f>1.5/$J$9</f>
        <v>0.983880796</v>
      </c>
      <c r="R40" s="197">
        <v>15.0</v>
      </c>
      <c r="S40" s="196">
        <f>IF(OR(D100=1,AND(C152&lt;4,C131=1)),MAX((10-5*C131*E137+H15*3.5+C151),12),0)+IF(NOT(OR(D100=1,AND(C152&lt;4,C131=1))),15-5*C131*E137-C82,0)</f>
        <v>14</v>
      </c>
      <c r="T40" s="196">
        <f>1/S40</f>
        <v>0.07142857143</v>
      </c>
      <c r="U40" s="199">
        <f>T40*Q40</f>
        <v>0.07027719971</v>
      </c>
      <c r="V40" s="196">
        <f t="shared" si="28"/>
        <v>10581.97706</v>
      </c>
      <c r="W40" s="196">
        <f t="shared" si="29"/>
        <v>2116.395413</v>
      </c>
      <c r="X40" s="196">
        <f t="shared" ref="X40:X41" si="30">T40*M40</f>
        <v>3118.793374</v>
      </c>
      <c r="Y40" s="196">
        <f>X40*(1-$C$144)</f>
        <v>2495.034699</v>
      </c>
      <c r="Z40" s="196">
        <f>T40*N40</f>
        <v>-0.02684685312</v>
      </c>
      <c r="AA40" s="196">
        <f>T40*O40</f>
        <v>0.7142857143</v>
      </c>
      <c r="AB40" s="194"/>
    </row>
    <row r="41">
      <c r="A41" s="322" t="s">
        <v>112</v>
      </c>
      <c r="B41" s="276" t="s">
        <v>113</v>
      </c>
      <c r="C41" s="25">
        <f>Inputs!C43</f>
        <v>1</v>
      </c>
      <c r="D41" s="78"/>
      <c r="E41" s="2"/>
      <c r="G41" s="276" t="s">
        <v>135</v>
      </c>
      <c r="H41" s="254"/>
      <c r="I41" s="194"/>
      <c r="J41" s="194"/>
      <c r="K41" s="255"/>
      <c r="L41" s="255"/>
      <c r="M41" s="196">
        <f>$L$7*(0.2+0.1*C62)*$J$10</f>
        <v>430976.8412</v>
      </c>
      <c r="N41" s="194"/>
      <c r="O41" s="194"/>
      <c r="P41" s="194"/>
      <c r="Q41" s="194"/>
      <c r="R41" s="197">
        <v>120.0</v>
      </c>
      <c r="S41" s="198">
        <f>R41-30*C62+$C$151</f>
        <v>120.8</v>
      </c>
      <c r="T41" s="196">
        <f>1/S41*C56</f>
        <v>0</v>
      </c>
      <c r="U41" s="222"/>
      <c r="V41" s="222"/>
      <c r="W41" s="222"/>
      <c r="X41" s="196">
        <f t="shared" si="30"/>
        <v>0</v>
      </c>
      <c r="Y41" s="196">
        <f>X41</f>
        <v>0</v>
      </c>
      <c r="Z41" s="194"/>
      <c r="AA41" s="194"/>
      <c r="AB41" s="194"/>
    </row>
    <row r="42">
      <c r="A42" s="97"/>
      <c r="B42" s="276" t="s">
        <v>114</v>
      </c>
      <c r="C42" s="25">
        <f>Inputs!C44</f>
        <v>1</v>
      </c>
      <c r="D42" s="78"/>
      <c r="G42" s="323" t="s">
        <v>110</v>
      </c>
      <c r="H42" s="260">
        <f>1.5312*1.2*1.12</f>
        <v>2.0579328</v>
      </c>
      <c r="I42" s="204">
        <f>2.3</f>
        <v>2.3</v>
      </c>
      <c r="J42" s="207">
        <f>($J$6*(1+$E$116)*(1+$D$157)+169*15/120*$C$24+$C$14*6)*H42*$J$10*$L$11*I42*(1+0.12*C130)</f>
        <v>29958.46151</v>
      </c>
      <c r="K42" s="196">
        <f>J42*$J$8*0.7*(1+C99*0.08*MIN((T25+C108*T51*(1-(1-0.15)*(1-0.15*MAX(4,C152-1))))/T42*C152,5))*(1+0.6*C19*(1+0.2*C63))*$J$14*(1+0.08*C120)*(1+0.05*K134)*MAX((1+0.2*C63*C19),MIN((1+0.2*C63*C19)+C106*0.75*(C152-1),(1+0.2*C63*C19)+C106*1.5))</f>
        <v>273410.9019</v>
      </c>
      <c r="L42" s="196">
        <f>K42*(1+0.2*C63*C19)/MAX((1+0.2*C63*C19),MIN((1+0.2*C63*C19)+C106*0.75*(C152-1),(1+0.2*C63*C19)+C106*1.5))</f>
        <v>121515.9564</v>
      </c>
      <c r="M42" s="196">
        <f>K42*$L$12+MAX(5*0.2*T10*(1+0.05*C111),7/100*L7)*(1+C99*0.08*MIN((T25+C108*T51*(1-(1-0.15)*(1-0.15*MAX(4,C152-1))))/T42*C152,5))*$J$10*$J$15*(1+0.15*C42)</f>
        <v>888434.246</v>
      </c>
      <c r="N42" s="194"/>
      <c r="O42" s="196">
        <f>(-45)+5*C91+IF(C42&gt;0,5,0)+10*8*T26</f>
        <v>-35</v>
      </c>
      <c r="P42" s="194"/>
      <c r="Q42" s="196">
        <f t="shared" ref="Q42:Q43" si="31">1.5/$J$9</f>
        <v>0.983880796</v>
      </c>
      <c r="R42" s="194"/>
      <c r="S42" s="194"/>
      <c r="T42" s="196">
        <f>-(SUM(AA19:AA41,AA43:AA76))/O42</f>
        <v>0.4013508855</v>
      </c>
      <c r="U42" s="199">
        <f t="shared" ref="U42:U43" si="32">T42*Q42</f>
        <v>0.3948814287</v>
      </c>
      <c r="V42" s="196">
        <f t="shared" ref="V42:V44" si="33">T42*K42</f>
        <v>109733.7076</v>
      </c>
      <c r="W42" s="196">
        <f t="shared" ref="W42:W44" si="34">T42*L42</f>
        <v>48770.5367</v>
      </c>
      <c r="X42" s="196">
        <f>MIN(T42,0.2)*M42</f>
        <v>177686.8492</v>
      </c>
      <c r="Y42" s="196">
        <f t="shared" ref="Y42:Y48" si="35">X42*(1-$C$144)</f>
        <v>142149.4794</v>
      </c>
      <c r="Z42" s="194"/>
      <c r="AA42" s="196">
        <f t="shared" ref="AA42:AA43" si="36">T42*O42</f>
        <v>-14.04728099</v>
      </c>
      <c r="AB42" s="194"/>
    </row>
    <row r="43">
      <c r="A43" s="98"/>
      <c r="B43" s="276" t="s">
        <v>116</v>
      </c>
      <c r="C43" s="25">
        <f>Inputs!C45</f>
        <v>1</v>
      </c>
      <c r="D43" s="78"/>
      <c r="E43" s="2"/>
      <c r="G43" s="281" t="s">
        <v>334</v>
      </c>
      <c r="H43" s="263">
        <f>0.4374</f>
        <v>0.4374</v>
      </c>
      <c r="I43" s="204">
        <v>1.15</v>
      </c>
      <c r="J43" s="207">
        <f>($J$6*(1+$E$116)*(1+$D$157)+169*15/120*$C$24+$C$14*6)*H43*$J$10*$L$11*I43*(1+0.01*E25)</f>
        <v>3183.736385</v>
      </c>
      <c r="K43" s="196">
        <f>J43*$J$8*$J$14*(1+$C$131*0.05)*(1+0.08*C120*D120)</f>
        <v>4994.213457</v>
      </c>
      <c r="L43" s="209">
        <f t="shared" ref="L43:L46" si="37">K43</f>
        <v>4994.213457</v>
      </c>
      <c r="M43" s="209">
        <f>K43*$L$12</f>
        <v>923.9294896</v>
      </c>
      <c r="N43" s="197">
        <v>-1.0</v>
      </c>
      <c r="O43" s="211">
        <v>10.0</v>
      </c>
      <c r="P43" s="204">
        <v>2.0</v>
      </c>
      <c r="Q43" s="196">
        <f t="shared" si="31"/>
        <v>0.983880796</v>
      </c>
      <c r="R43" s="204">
        <v>6.0</v>
      </c>
      <c r="S43" s="198">
        <f>IF(4*Q43&gt;=R43,4*Q43,(IF(5*Q43&gt;=R43,5*Q43,(IF(6*Q43&gt;=R43,6*Q43,(IF(7*Q43&gt;=R43,7*Q43,(8*Q43))))))))</f>
        <v>6.887165572</v>
      </c>
      <c r="T43" s="196">
        <f>MIN(1/S43,(L15-SUM(AB19:AB42)-SUM(AB44:AB56)-SUM(AB61:AB76))/2)*D87</f>
        <v>0</v>
      </c>
      <c r="U43" s="199">
        <f t="shared" si="32"/>
        <v>0</v>
      </c>
      <c r="V43" s="196">
        <f t="shared" si="33"/>
        <v>0</v>
      </c>
      <c r="W43" s="196">
        <f t="shared" si="34"/>
        <v>0</v>
      </c>
      <c r="X43" s="196">
        <f t="shared" ref="X43:X44" si="38">T43*M43</f>
        <v>0</v>
      </c>
      <c r="Y43" s="196">
        <f t="shared" si="35"/>
        <v>0</v>
      </c>
      <c r="Z43" s="196">
        <f>T43*N43</f>
        <v>0</v>
      </c>
      <c r="AA43" s="196">
        <f t="shared" si="36"/>
        <v>0</v>
      </c>
      <c r="AB43" s="196">
        <f>P43*T43</f>
        <v>0</v>
      </c>
    </row>
    <row r="44">
      <c r="A44" s="322" t="s">
        <v>117</v>
      </c>
      <c r="B44" s="276" t="s">
        <v>118</v>
      </c>
      <c r="C44" s="25">
        <f>Inputs!C46</f>
        <v>1</v>
      </c>
      <c r="D44" s="264">
        <f>Inputs!D46</f>
        <v>0</v>
      </c>
      <c r="G44" s="276" t="s">
        <v>335</v>
      </c>
      <c r="H44" s="263">
        <f>0.22</f>
        <v>0.22</v>
      </c>
      <c r="I44" s="255"/>
      <c r="J44" s="207">
        <f t="shared" ref="J44:J45" si="39">($J$6*(1+$E$116)*(1+$D$157)+$C$14*6)*H44*$J$10*$L$11</f>
        <v>1392.461392</v>
      </c>
      <c r="K44" s="196">
        <f>J44*$J$8*$J$14*(1+0.08*C120*D120)</f>
        <v>2080.289913</v>
      </c>
      <c r="L44" s="196">
        <f t="shared" si="37"/>
        <v>2080.289913</v>
      </c>
      <c r="M44" s="196">
        <f>K44*(1+$L$12)</f>
        <v>2465.143547</v>
      </c>
      <c r="N44" s="255"/>
      <c r="O44" s="255"/>
      <c r="P44" s="194"/>
      <c r="Q44" s="255"/>
      <c r="R44" s="197">
        <f>60/3</f>
        <v>20</v>
      </c>
      <c r="S44" s="196">
        <f>R44/1.13/$J$9</f>
        <v>11.60921293</v>
      </c>
      <c r="T44" s="196">
        <f>1/S44*IF($E$28=1,1,0)</f>
        <v>0</v>
      </c>
      <c r="U44" s="194"/>
      <c r="V44" s="196">
        <f t="shared" si="33"/>
        <v>0</v>
      </c>
      <c r="W44" s="196">
        <f t="shared" si="34"/>
        <v>0</v>
      </c>
      <c r="X44" s="196">
        <f t="shared" si="38"/>
        <v>0</v>
      </c>
      <c r="Y44" s="196">
        <f t="shared" si="35"/>
        <v>0</v>
      </c>
      <c r="Z44" s="194"/>
      <c r="AA44" s="194"/>
      <c r="AB44" s="194"/>
    </row>
    <row r="45">
      <c r="A45" s="97"/>
      <c r="B45" s="276" t="s">
        <v>119</v>
      </c>
      <c r="C45" s="25">
        <f>Inputs!C47</f>
        <v>1</v>
      </c>
      <c r="D45" s="78"/>
      <c r="G45" s="276" t="s">
        <v>336</v>
      </c>
      <c r="H45" s="253">
        <v>0.075</v>
      </c>
      <c r="I45" s="255"/>
      <c r="J45" s="207">
        <f t="shared" si="39"/>
        <v>474.7027472</v>
      </c>
      <c r="K45" s="209">
        <f>J45*$J$8*$J$14*(1+0.08*C120*D120)</f>
        <v>709.1897431</v>
      </c>
      <c r="L45" s="196">
        <f t="shared" si="37"/>
        <v>709.1897431</v>
      </c>
      <c r="M45" s="196">
        <f t="shared" ref="M45:M47" si="40">K45*$L$12</f>
        <v>131.2001025</v>
      </c>
      <c r="N45" s="255"/>
      <c r="O45" s="255"/>
      <c r="P45" s="194"/>
      <c r="Q45" s="255"/>
      <c r="R45" s="194"/>
      <c r="S45" s="194"/>
      <c r="T45" s="194"/>
      <c r="U45" s="194"/>
      <c r="V45" s="209">
        <f>IF(IF($E$28=2,1,0),1.13*(exp(6*12*J9/60)-1)*(1-(1-exp(-6*12*J9/60))^3)*K45/6,0)</f>
        <v>0</v>
      </c>
      <c r="W45" s="196">
        <f>V45</f>
        <v>0</v>
      </c>
      <c r="X45" s="196">
        <f>V45*$L$12</f>
        <v>0</v>
      </c>
      <c r="Y45" s="196">
        <f t="shared" si="35"/>
        <v>0</v>
      </c>
      <c r="Z45" s="194"/>
      <c r="AA45" s="194"/>
      <c r="AB45" s="194"/>
    </row>
    <row r="46">
      <c r="A46" s="97"/>
      <c r="B46" s="276" t="s">
        <v>120</v>
      </c>
      <c r="C46" s="25">
        <f>Inputs!C48</f>
        <v>2</v>
      </c>
      <c r="D46" s="78"/>
      <c r="G46" s="276" t="s">
        <v>337</v>
      </c>
      <c r="H46" s="253">
        <f>7.1545*1.2*1.2</f>
        <v>10.30248</v>
      </c>
      <c r="I46" s="204">
        <v>1.15</v>
      </c>
      <c r="J46" s="207">
        <f t="shared" ref="J46:J47" si="41">($J$6*(1+$E$116)*(1+$D$157)+169*15/120*$C$24+$C$14*6)*H46*$J$10*$L$11*I46*(1+0.01*$E$25)</f>
        <v>74989.43857</v>
      </c>
      <c r="K46" s="196">
        <f>J46*$J$8*$J$14*(1+C130*0.15*$B$19*(1+0.2*$C$63))*$H$135*(1+0.08*C120*D120)
</f>
        <v>112031.6682</v>
      </c>
      <c r="L46" s="196">
        <f t="shared" si="37"/>
        <v>112031.6682</v>
      </c>
      <c r="M46" s="196">
        <f t="shared" si="40"/>
        <v>20725.85862</v>
      </c>
      <c r="N46" s="194"/>
      <c r="O46" s="194"/>
      <c r="P46" s="194"/>
      <c r="Q46" s="194"/>
      <c r="R46" s="194"/>
      <c r="S46" s="194"/>
      <c r="T46" s="196">
        <f>T64*(3-C137)+T38</f>
        <v>0.01101321586</v>
      </c>
      <c r="U46" s="194"/>
      <c r="V46" s="196">
        <f t="shared" ref="V46:V47" si="42">T46*K46</f>
        <v>1233.828945</v>
      </c>
      <c r="W46" s="196">
        <f t="shared" ref="W46:W47" si="43">T46*L46</f>
        <v>1233.828945</v>
      </c>
      <c r="X46" s="196">
        <f t="shared" ref="X46:X48" si="44">T46*M46</f>
        <v>228.2583548</v>
      </c>
      <c r="Y46" s="196">
        <f t="shared" si="35"/>
        <v>182.6066839</v>
      </c>
      <c r="Z46" s="194"/>
      <c r="AA46" s="194"/>
      <c r="AB46" s="194"/>
    </row>
    <row r="47">
      <c r="A47" s="97"/>
      <c r="B47" s="276" t="s">
        <v>122</v>
      </c>
      <c r="C47" s="25">
        <f>Inputs!C49</f>
        <v>0</v>
      </c>
      <c r="D47" s="78"/>
      <c r="G47" s="276" t="s">
        <v>338</v>
      </c>
      <c r="H47" s="253">
        <f>3.91*1.2</f>
        <v>4.692</v>
      </c>
      <c r="I47" s="204">
        <v>1.15</v>
      </c>
      <c r="J47" s="207">
        <f t="shared" si="41"/>
        <v>34152.01444</v>
      </c>
      <c r="K47" s="196">
        <f>J47*$J$8*$C$152/SQRT(MAX(1,$C$152/8))*$J$14*(1+C130*0.15*$B$19*(1+0.2*$C$63))*$H$135*(1+0.08*C120*D120)
</f>
        <v>255109.7344</v>
      </c>
      <c r="L47" s="209">
        <f>K47/$C$152</f>
        <v>51021.94687</v>
      </c>
      <c r="M47" s="209">
        <f t="shared" si="40"/>
        <v>47195.30086</v>
      </c>
      <c r="N47" s="194"/>
      <c r="O47" s="194"/>
      <c r="P47" s="194"/>
      <c r="Q47" s="194"/>
      <c r="R47" s="194"/>
      <c r="S47" s="194"/>
      <c r="T47" s="196">
        <f>T64*(3-C137)+T38</f>
        <v>0.01101321586</v>
      </c>
      <c r="U47" s="194"/>
      <c r="V47" s="196">
        <f t="shared" si="42"/>
        <v>2809.578572</v>
      </c>
      <c r="W47" s="196">
        <f t="shared" si="43"/>
        <v>561.9157145</v>
      </c>
      <c r="X47" s="196">
        <f t="shared" si="44"/>
        <v>519.7720359</v>
      </c>
      <c r="Y47" s="196">
        <f t="shared" si="35"/>
        <v>415.8176287</v>
      </c>
      <c r="Z47" s="194"/>
      <c r="AA47" s="194"/>
      <c r="AB47" s="194"/>
    </row>
    <row r="48">
      <c r="A48" s="97"/>
      <c r="B48" s="276" t="s">
        <v>123</v>
      </c>
      <c r="C48" s="25">
        <f>Inputs!C50</f>
        <v>0</v>
      </c>
      <c r="D48" s="78"/>
      <c r="G48" s="276" t="s">
        <v>339</v>
      </c>
      <c r="H48" s="252"/>
      <c r="I48" s="203"/>
      <c r="J48" s="203"/>
      <c r="K48" s="255"/>
      <c r="L48" s="203"/>
      <c r="M48" s="196">
        <f>L7*0.2</f>
        <v>336578.92</v>
      </c>
      <c r="N48" s="194"/>
      <c r="O48" s="194"/>
      <c r="P48" s="194"/>
      <c r="Q48" s="194"/>
      <c r="R48" s="204">
        <v>120.0</v>
      </c>
      <c r="S48" s="198">
        <f t="shared" ref="S48:S50" si="45">R48+$C$151</f>
        <v>120.8</v>
      </c>
      <c r="T48" s="196">
        <f>1/S48*C34</f>
        <v>0</v>
      </c>
      <c r="U48" s="194"/>
      <c r="V48" s="194"/>
      <c r="W48" s="194"/>
      <c r="X48" s="196">
        <f t="shared" si="44"/>
        <v>0</v>
      </c>
      <c r="Y48" s="196">
        <f t="shared" si="35"/>
        <v>0</v>
      </c>
      <c r="Z48" s="194"/>
      <c r="AA48" s="194"/>
      <c r="AB48" s="194"/>
    </row>
    <row r="49">
      <c r="A49" s="97"/>
      <c r="B49" s="276" t="s">
        <v>125</v>
      </c>
      <c r="C49" s="25">
        <f>Inputs!C51</f>
        <v>2</v>
      </c>
      <c r="D49" s="78"/>
      <c r="G49" s="276" t="s">
        <v>196</v>
      </c>
      <c r="H49" s="252"/>
      <c r="I49" s="203"/>
      <c r="J49" s="203"/>
      <c r="K49" s="255"/>
      <c r="L49" s="203"/>
      <c r="M49" s="203"/>
      <c r="N49" s="194"/>
      <c r="O49" s="194"/>
      <c r="P49" s="256">
        <f>MIN(C90*C152,6)</f>
        <v>5</v>
      </c>
      <c r="Q49" s="196">
        <f t="shared" ref="Q49:Q51" si="46">1.5/$J$9</f>
        <v>0.983880796</v>
      </c>
      <c r="R49" s="204">
        <v>90.0</v>
      </c>
      <c r="S49" s="198">
        <f t="shared" si="45"/>
        <v>90.8</v>
      </c>
      <c r="T49" s="196">
        <f>1/S49*C103*D103</f>
        <v>0</v>
      </c>
      <c r="U49" s="199">
        <f t="shared" ref="U49:U51" si="47">T49*Q49</f>
        <v>0</v>
      </c>
      <c r="V49" s="194"/>
      <c r="W49" s="194"/>
      <c r="X49" s="194"/>
      <c r="Y49" s="194"/>
      <c r="Z49" s="194"/>
      <c r="AA49" s="194"/>
      <c r="AB49" s="196">
        <f>P49*T49</f>
        <v>0</v>
      </c>
    </row>
    <row r="50">
      <c r="A50" s="97"/>
      <c r="B50" s="276" t="s">
        <v>126</v>
      </c>
      <c r="C50" s="25">
        <f>Inputs!C52</f>
        <v>0</v>
      </c>
      <c r="D50" s="78"/>
      <c r="G50" s="276" t="s">
        <v>340</v>
      </c>
      <c r="H50" s="253">
        <v>3.78</v>
      </c>
      <c r="I50" s="203"/>
      <c r="J50" s="207">
        <f>($J$6*(1+$E$116)*(1+$D$157)+$C$14*6)*H50*$J$10*$L$11</f>
        <v>23925.01846</v>
      </c>
      <c r="K50" s="255"/>
      <c r="L50" s="203"/>
      <c r="M50" s="196">
        <f>J50*$J$8*$J$15</f>
        <v>30337.13145</v>
      </c>
      <c r="N50" s="194"/>
      <c r="O50" s="194"/>
      <c r="P50" s="194"/>
      <c r="Q50" s="196">
        <f t="shared" si="46"/>
        <v>0.983880796</v>
      </c>
      <c r="R50" s="197">
        <v>90.0</v>
      </c>
      <c r="S50" s="198">
        <f t="shared" si="45"/>
        <v>90.8</v>
      </c>
      <c r="T50" s="196">
        <f>1/S50*IF($E$29=2,1,0)</f>
        <v>0</v>
      </c>
      <c r="U50" s="199">
        <f t="shared" si="47"/>
        <v>0</v>
      </c>
      <c r="V50" s="194"/>
      <c r="W50" s="194"/>
      <c r="X50" s="196">
        <f>T50*M50</f>
        <v>0</v>
      </c>
      <c r="Y50" s="196">
        <f t="shared" ref="Y50:Y51" si="48">X50*(1-$C$144)</f>
        <v>0</v>
      </c>
      <c r="Z50" s="194"/>
      <c r="AA50" s="194"/>
      <c r="AB50" s="194"/>
    </row>
    <row r="51">
      <c r="A51" s="98"/>
      <c r="B51" s="276" t="s">
        <v>128</v>
      </c>
      <c r="C51" s="25">
        <f>Inputs!C53</f>
        <v>1</v>
      </c>
      <c r="D51" s="78"/>
      <c r="E51" s="2"/>
      <c r="G51" s="281" t="s">
        <v>175</v>
      </c>
      <c r="H51" s="253">
        <f>1.31112*1.2*1.25</f>
        <v>1.96668</v>
      </c>
      <c r="I51" s="204">
        <v>1.15</v>
      </c>
      <c r="J51" s="207">
        <f>($J$6*(1+$E$116)*(1+$D$157)+169*15/120*$C$24+$C$14*6)*H51*$J$10*$L$11*I51*(1+0.15*C93)</f>
        <v>14315.02212</v>
      </c>
      <c r="K51" s="196">
        <f>J51*$J$8*0.7*IF($C$152&lt;=5,IF($C$152&lt;3,$C$152,2+IF($C$43&gt;0,$C$152-2,0)*((14-5*C131*E137)/S40)),2+IF($C$43&gt;0,3,0)*((14-5*C131*E137)/S40))*$J$14*(1+0.08*C120*D120)</f>
        <v>74851.5449</v>
      </c>
      <c r="L51" s="196">
        <f>K51/IF($C$152&lt;=5,IF($C$152&lt;3,$C$152,2+IF($C$43&gt;0,$C$152-2,0)*((14-5*C131*E137)/S40)),2+IF($C$43&gt;0,3,0)*((14-5*C131*E137)/S40))</f>
        <v>14970.30898</v>
      </c>
      <c r="M51" s="196">
        <f>K51*$L$12+IF($C$152&lt;=5,IF($C$152&lt;3,$C$152,2+IF($C$43&gt;0,$C$152-2,0)*((14-5*C131*E137)/S40)),2+IF($C$43&gt;0,3,0)*((14-5*C131*E137)/S40))*$L$7*0.0025*$C$95</f>
        <v>13847.53581</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6"/>
        <v>0.983880796</v>
      </c>
      <c r="R51" s="194"/>
      <c r="S51" s="194"/>
      <c r="T51" s="196">
        <f>MIN(($L$9+SUM(Z19:Z50)+SUM(Z52:Z76))/(-N51),MAX((1-SUM(U18:U41,U43:U50,U52:U76)+SUM(AA19:AA41,AA43:AA50,AA52:AA76)/O42*Q42)/Q51*(-O42/(O51-O42)),0))</f>
        <v>0.4003220002</v>
      </c>
      <c r="U51" s="199">
        <f t="shared" si="47"/>
        <v>0.3938691282</v>
      </c>
      <c r="V51" s="196">
        <f>(T51-T74+3*(1-C131*T38*(8+C110*4))*C116/(9/(1/(0.5+(2/((L14+0.3*(1-(1-(T38*(8+C110*4)))*(1-IF(C127&gt;3,1,0)*(1-0.875^(8*(T40+T43+T51+T57+T63)))))))-1+IF(C152=1,0.5,0))/C152))+9/(1/(0.5+(2/((L14+0.3*(1-(1-(T38*(8+C110*4)))*(1-IF(C127&gt;3,1,0)*(1-0.875^(8*(T40+T43+T51+T57+T63)))))))-1+IF(C152=1,0.5,0))/C152))/2*((0.8/3^(C152-1))/(1-(0.8/3^(C152-1))))+6)+1.5*(1-C131*(T38*(8+C110*4))/(1-(1-(T38*(8+C110*4)))*(1-IF(C127&gt;3,1,0)*(1-0.875^(8*(T40+T43+T51+T57+T63))))))*F127)*K51</f>
        <v>39366.30488</v>
      </c>
      <c r="W51" s="196">
        <f>(T51-T74+3*(1-C131*T38*(8+C110*4))*C116/(9/(1/(0.5+(2/((L14+0.3*(1-(1-(T38*(8+C110*4)))*(1-IF(C127&gt;3,1,0)*(1-0.875^(8*(T40+T43+T51+T57+T63)))))))-1+IF(C152=1,0.5,0))/C152))+9/(1/(0.5+(2/((L14+0.3*(1-(1-(T38*(8+C110*4)))*(1-IF(C127&gt;3,1,0)*(1-0.875^(8*(T40+T43+T51+T57+T63)))))))-1+IF(C152=1,0.5,0))/C152))/2*((0.8/3^(C152-1))/(1-(0.8/3^(C152-1))))+6)+1.5*(1-C131*(T38*(8+C110*4))/(1-(1-(T38*(8+C110*4)))*(1-IF(C127&gt;3,1,0)*(1-0.875^(8*(T40+T43+T51+T57+T63))))))*F127)*L51</f>
        <v>7873.260977</v>
      </c>
      <c r="X51" s="196">
        <f>(T51-T74)*M51</f>
        <v>2881.567538</v>
      </c>
      <c r="Y51" s="196">
        <f t="shared" si="48"/>
        <v>2305.25403</v>
      </c>
      <c r="Z51" s="196">
        <f>T51*N51</f>
        <v>-0.4003220002</v>
      </c>
      <c r="AA51" s="196">
        <f>T51*O51</f>
        <v>10.00805001</v>
      </c>
      <c r="AB51" s="194"/>
    </row>
    <row r="52">
      <c r="A52" s="329" t="s">
        <v>129</v>
      </c>
      <c r="B52" s="276" t="s">
        <v>130</v>
      </c>
      <c r="C52" s="25">
        <f>Inputs!C54</f>
        <v>1</v>
      </c>
      <c r="D52" s="78"/>
      <c r="G52" s="281"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276" t="s">
        <v>132</v>
      </c>
      <c r="C53" s="25">
        <f>Inputs!C55</f>
        <v>0</v>
      </c>
      <c r="D53" s="78"/>
      <c r="G53" s="276" t="s">
        <v>342</v>
      </c>
      <c r="H53" s="27"/>
      <c r="I53" s="194"/>
      <c r="J53" s="207">
        <f>J29*0.2</f>
        <v>4587.169926</v>
      </c>
      <c r="K53" s="196">
        <f>J53*$J$8*IF($C$152&lt;=5,IF($C$152&lt;3,$C$152,IF($C$43&gt;0,$C$152,2)*(14-5*C131*E137)/$S$40+2*($S$40-(14-5*C131*E137))/$S$40),IF($C$43&gt;0,5,2)*(14-5*C131*E137)/$S$40+2*($S$40-(14-5*C131*E137))/$S$40)*$J$14*(1+$C$131*0.05)*(1+0.08*C120*D120)</f>
        <v>35978.64742</v>
      </c>
      <c r="L53" s="196">
        <f>K53/IF($C$152&lt;=5,IF($C$152&lt;3,$C$152,IF($C$43&gt;0,$C$152,2)*(14-5*C131*E137)/$S$40+2*($S$40-(14-5*C131*E137))/$S$40),IF($C$43&gt;0,5,2)*(14-5*C131*E137)/$S$40+2*($S$40-(14-5*C131*E137))/$S$40)</f>
        <v>7195.729484</v>
      </c>
      <c r="M53" s="209">
        <f>K53*$L$12</f>
        <v>6656.049772</v>
      </c>
      <c r="N53" s="194"/>
      <c r="O53" s="194"/>
      <c r="P53" s="194"/>
      <c r="Q53" s="194"/>
      <c r="R53" s="194"/>
      <c r="S53" s="194"/>
      <c r="T53" s="196">
        <f>C131*T74</f>
        <v>0.1922295585</v>
      </c>
      <c r="U53" s="194"/>
      <c r="V53" s="196">
        <f>T53*K53*C131</f>
        <v>6916.159509</v>
      </c>
      <c r="W53" s="196">
        <f>T53*L53*C131</f>
        <v>1383.231902</v>
      </c>
      <c r="X53" s="196">
        <f>T53*M53*C131</f>
        <v>1279.489509</v>
      </c>
      <c r="Y53" s="196">
        <f>X53*(1-$C$144)</f>
        <v>1023.591607</v>
      </c>
      <c r="Z53" s="195"/>
      <c r="AA53" s="195"/>
      <c r="AB53" s="194"/>
    </row>
    <row r="54">
      <c r="A54" s="97"/>
      <c r="B54" s="276" t="s">
        <v>133</v>
      </c>
      <c r="C54" s="25">
        <f>Inputs!C56</f>
        <v>1</v>
      </c>
      <c r="D54" s="78"/>
      <c r="G54" s="276"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276" t="s">
        <v>134</v>
      </c>
      <c r="C55" s="25">
        <f>Inputs!C57</f>
        <v>1</v>
      </c>
      <c r="D55" s="78"/>
      <c r="G55" s="276" t="s">
        <v>204</v>
      </c>
      <c r="H55" s="27"/>
      <c r="I55" s="194"/>
      <c r="J55" s="194"/>
      <c r="K55" s="194"/>
      <c r="L55" s="255"/>
      <c r="M55" s="196">
        <f>M42*0.2/(1+C99*0.08*MIN((T25+C108*T51*(1-(1-0.15)*(1-0.15*MAX(4,C152-1))))/T42*C152,5))</f>
        <v>136174.1944</v>
      </c>
      <c r="N55" s="194"/>
      <c r="O55" s="194"/>
      <c r="P55" s="194"/>
      <c r="Q55" s="194"/>
      <c r="R55" s="194"/>
      <c r="S55" s="194"/>
      <c r="T55" s="196">
        <f>T42*C109</f>
        <v>0.4013508855</v>
      </c>
      <c r="U55" s="194"/>
      <c r="V55" s="255"/>
      <c r="W55" s="255"/>
      <c r="X55" s="196">
        <f t="shared" ref="X55:X57" si="49">T55*M55</f>
        <v>54653.63352</v>
      </c>
      <c r="Y55" s="196">
        <f t="shared" ref="Y55:Y57" si="50">X55*(1-$C$144)</f>
        <v>43722.90682</v>
      </c>
      <c r="Z55" s="195"/>
      <c r="AA55" s="195"/>
      <c r="AB55" s="194"/>
    </row>
    <row r="56">
      <c r="A56" s="97"/>
      <c r="B56" s="276" t="s">
        <v>135</v>
      </c>
      <c r="C56" s="25">
        <f>Inputs!C58</f>
        <v>0</v>
      </c>
      <c r="D56" s="78"/>
      <c r="G56" s="276" t="s">
        <v>344</v>
      </c>
      <c r="H56" s="253">
        <v>4.2</v>
      </c>
      <c r="I56" s="194"/>
      <c r="J56" s="207">
        <f>($J$6*(1+$E$116)*(1+$D$157)+$C$14*6)*H56*$J$10*$L$11</f>
        <v>26583.35384</v>
      </c>
      <c r="K56" s="196">
        <f>J56*$J$8*$C$152/SQRT(MAX(1,$C$152/8))*$J$14*(1+0.08*C120*D120)
</f>
        <v>198573.1281</v>
      </c>
      <c r="L56" s="196">
        <f>K56/$C$152</f>
        <v>39714.62561</v>
      </c>
      <c r="M56" s="196">
        <f t="shared" ref="M56:M57" si="51">K56*$L$12</f>
        <v>36736.02869</v>
      </c>
      <c r="N56" s="194"/>
      <c r="O56" s="194"/>
      <c r="P56" s="194"/>
      <c r="Q56" s="196">
        <f t="shared" ref="Q56:Q57" si="52">1.5/$J$9</f>
        <v>0.983880796</v>
      </c>
      <c r="R56" s="204">
        <v>150.0</v>
      </c>
      <c r="S56" s="198">
        <f>R56+$C$151</f>
        <v>150.8</v>
      </c>
      <c r="T56" s="196">
        <f>1/S56*E31</f>
        <v>0</v>
      </c>
      <c r="U56" s="199">
        <f t="shared" ref="U56:U57" si="53">T56*Q56</f>
        <v>0</v>
      </c>
      <c r="V56" s="196">
        <f t="shared" ref="V56:V57" si="54">T56*K56</f>
        <v>0</v>
      </c>
      <c r="W56" s="196">
        <f t="shared" ref="W56:W57" si="55">T56*L56</f>
        <v>0</v>
      </c>
      <c r="X56" s="196">
        <f t="shared" si="49"/>
        <v>0</v>
      </c>
      <c r="Y56" s="196">
        <f t="shared" si="50"/>
        <v>0</v>
      </c>
      <c r="Z56" s="195"/>
      <c r="AA56" s="195"/>
      <c r="AB56" s="194"/>
    </row>
    <row r="57">
      <c r="A57" s="97"/>
      <c r="B57" s="276" t="s">
        <v>136</v>
      </c>
      <c r="C57" s="25">
        <f>Inputs!C59</f>
        <v>1</v>
      </c>
      <c r="D57" s="78"/>
      <c r="G57" s="281" t="s">
        <v>176</v>
      </c>
      <c r="H57" s="253">
        <f>1.471*1.5</f>
        <v>2.2065</v>
      </c>
      <c r="I57" s="204">
        <v>1.15</v>
      </c>
      <c r="J57" s="207">
        <f>($J$6*(1+$E$116)*(1+$D$157)+169*15/120*$C$24+$C$14*6)*H57*$J$10*$L$11*I57</f>
        <v>16060.61805</v>
      </c>
      <c r="K57" s="196">
        <f>J57*$J$8*0.7*$J$14*(1+0.08*C120*D120)
</f>
        <v>16795.8116</v>
      </c>
      <c r="L57" s="196">
        <f>K57</f>
        <v>16795.8116</v>
      </c>
      <c r="M57" s="196">
        <f t="shared" si="51"/>
        <v>3107.225147</v>
      </c>
      <c r="N57" s="197">
        <v>-2.0</v>
      </c>
      <c r="O57" s="211">
        <f>20</f>
        <v>20</v>
      </c>
      <c r="P57" s="204">
        <v>3.0</v>
      </c>
      <c r="Q57" s="196">
        <f t="shared" si="52"/>
        <v>0.983880796</v>
      </c>
      <c r="R57" s="194"/>
      <c r="S57" s="194"/>
      <c r="T57" s="196">
        <f>MAX((L15-SUM(AB19:AB56)-SUM(AB58:AB76))/3,T47)</f>
        <v>0.09060194996</v>
      </c>
      <c r="U57" s="199">
        <f t="shared" si="53"/>
        <v>0.08914151864</v>
      </c>
      <c r="V57" s="196">
        <f t="shared" si="54"/>
        <v>1521.733282</v>
      </c>
      <c r="W57" s="196">
        <f t="shared" si="55"/>
        <v>1521.733282</v>
      </c>
      <c r="X57" s="196">
        <f t="shared" si="49"/>
        <v>281.5206572</v>
      </c>
      <c r="Y57" s="196">
        <f t="shared" si="50"/>
        <v>225.2165258</v>
      </c>
      <c r="Z57" s="196">
        <f>(T57-T47/(2))*N57</f>
        <v>-0.1701906841</v>
      </c>
      <c r="AA57" s="196">
        <f t="shared" ref="AA57:AA58" si="56">T57*O57</f>
        <v>1.812038999</v>
      </c>
      <c r="AB57" s="196">
        <f>P57*T57</f>
        <v>0.2718058499</v>
      </c>
    </row>
    <row r="58">
      <c r="A58" s="97"/>
      <c r="B58" s="276" t="s">
        <v>137</v>
      </c>
      <c r="C58" s="25">
        <f>Inputs!C60</f>
        <v>0</v>
      </c>
      <c r="D58" s="78"/>
      <c r="G58" s="276"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6"/>
        <v>0</v>
      </c>
      <c r="AB58" s="194"/>
    </row>
    <row r="59">
      <c r="A59" s="329" t="s">
        <v>138</v>
      </c>
      <c r="B59" s="276" t="s">
        <v>139</v>
      </c>
      <c r="C59" s="25">
        <f>Inputs!C61</f>
        <v>1</v>
      </c>
      <c r="D59" s="264">
        <f>Inputs!D61</f>
        <v>0.9</v>
      </c>
      <c r="E59" s="2"/>
      <c r="G59" s="276" t="s">
        <v>249</v>
      </c>
      <c r="H59" s="27"/>
      <c r="I59" s="278"/>
      <c r="J59" s="194"/>
      <c r="K59" s="256">
        <f>SUM(V25,V26,K28/10*C118,V29,V35,V40,V43,V53,K68/10*C123,IF(C131=1,V74*T51/T74,0))*10*0.15*0.15*$C$152/SQRT(MAX(1,$C$152/8))*(1+$C$131*0.05*MIN(1,5/$C$152))*J10*(1+0.08*C120*D120)</f>
        <v>175256.7524</v>
      </c>
      <c r="L59" s="209">
        <f>K59/$C$152</f>
        <v>35051.35047</v>
      </c>
      <c r="M59" s="196">
        <f>K59/((1+$C$131*0.05*MIN(1,5/$C$152)))/$C$152</f>
        <v>33382.23854</v>
      </c>
      <c r="N59" s="195"/>
      <c r="O59" s="195"/>
      <c r="P59" s="194"/>
      <c r="Q59" s="194"/>
      <c r="R59" s="194"/>
      <c r="S59" s="194"/>
      <c r="T59" s="196">
        <f>T24*C131*E141</f>
        <v>0.01101321586</v>
      </c>
      <c r="U59" s="278"/>
      <c r="V59" s="196">
        <f>T59*K59</f>
        <v>1930.140444</v>
      </c>
      <c r="W59" s="196">
        <f>T59*L59</f>
        <v>386.0280889</v>
      </c>
      <c r="X59" s="196">
        <f>T59*M59</f>
        <v>367.6457989</v>
      </c>
      <c r="Y59" s="196">
        <f>X59*(1-$C$144)</f>
        <v>294.1166392</v>
      </c>
      <c r="Z59" s="194"/>
      <c r="AA59" s="194"/>
      <c r="AB59" s="194"/>
    </row>
    <row r="60">
      <c r="A60" s="97"/>
      <c r="B60" s="276" t="s">
        <v>140</v>
      </c>
      <c r="C60" s="25">
        <f>Inputs!C62</f>
        <v>1</v>
      </c>
      <c r="D60" s="78"/>
      <c r="G60" s="276" t="s">
        <v>133</v>
      </c>
      <c r="H60" s="27"/>
      <c r="I60" s="278"/>
      <c r="J60" s="194"/>
      <c r="K60" s="194"/>
      <c r="L60" s="195"/>
      <c r="M60" s="196">
        <f>K23*0.5*(1+0.15*C46)*(1+C130)</f>
        <v>9680.439993</v>
      </c>
      <c r="N60" s="195"/>
      <c r="O60" s="195"/>
      <c r="P60" s="194"/>
      <c r="Q60" s="194"/>
      <c r="R60" s="194"/>
      <c r="S60" s="194"/>
      <c r="T60" s="196">
        <f>T23*C54</f>
        <v>0.7253739295</v>
      </c>
      <c r="U60" s="278"/>
      <c r="V60" s="194"/>
      <c r="W60" s="194"/>
      <c r="X60" s="196">
        <f>T60*M60+C130*T47*(K46+K47)*0.1*(1+0.15*C46)*C54</f>
        <v>7021.938797</v>
      </c>
      <c r="Y60" s="196">
        <f>X60</f>
        <v>7021.938797</v>
      </c>
      <c r="Z60" s="194"/>
      <c r="AA60" s="194"/>
      <c r="AB60" s="194"/>
    </row>
    <row r="61">
      <c r="A61" s="97"/>
      <c r="B61" s="276" t="s">
        <v>141</v>
      </c>
      <c r="C61" s="25">
        <f>Inputs!C63</f>
        <v>1</v>
      </c>
      <c r="D61" s="264">
        <f>Inputs!D63</f>
        <v>0</v>
      </c>
      <c r="G61" s="276" t="s">
        <v>111</v>
      </c>
      <c r="H61" s="218">
        <f>0.5875*2/6*1.075</f>
        <v>0.2105208333</v>
      </c>
      <c r="I61" s="204">
        <v>1.0</v>
      </c>
      <c r="J61" s="219">
        <f>($J$6*(1+$E$116)*(1+$D$157)+169*15/120*$C$24+$C$14*6)*H61*$J$10*$L$11*I61*(1+0.01*C24)</f>
        <v>1332.464239</v>
      </c>
      <c r="K61" s="196">
        <f>J61*$J$8*0.7*(INT($J$9*60/2+1)+(60*$J$9*10+25)/40*1.35)*$J$14*(1+$C$131*0.05)</f>
        <v>110183.4933</v>
      </c>
      <c r="L61" s="196">
        <f t="shared" ref="L61:L65" si="57">K61</f>
        <v>110183.4933</v>
      </c>
      <c r="M61" s="195"/>
      <c r="N61" s="195"/>
      <c r="O61" s="195"/>
      <c r="P61" s="194"/>
      <c r="Q61" s="194"/>
      <c r="R61" s="197">
        <v>120.0</v>
      </c>
      <c r="S61" s="256">
        <f>120-30*C130*C138</f>
        <v>120</v>
      </c>
      <c r="T61" s="196">
        <f>1/S61*C40</f>
        <v>0.008333333333</v>
      </c>
      <c r="U61" s="194"/>
      <c r="V61" s="196">
        <f t="shared" ref="V61:V65" si="58">T61*K61</f>
        <v>918.1957774</v>
      </c>
      <c r="W61" s="196">
        <f t="shared" ref="W61:W65" si="59">T61*L61</f>
        <v>918.1957774</v>
      </c>
      <c r="X61" s="194"/>
      <c r="Y61" s="194"/>
      <c r="Z61" s="194"/>
      <c r="AA61" s="194"/>
      <c r="AB61" s="194"/>
    </row>
    <row r="62">
      <c r="A62" s="97"/>
      <c r="B62" s="276" t="s">
        <v>142</v>
      </c>
      <c r="C62" s="25">
        <f>Inputs!C64</f>
        <v>0</v>
      </c>
      <c r="D62" s="78"/>
      <c r="G62" s="276" t="s">
        <v>72</v>
      </c>
      <c r="H62" s="253">
        <v>0.01127</v>
      </c>
      <c r="I62" s="204">
        <v>1.15</v>
      </c>
      <c r="J62" s="207">
        <f>($J$6*(1+$E$116)*(1+$D$157)+169*15/120*$C$24+$C$14*6)*H62*$J$10*$L$11*I62*(1+0.01*E25)</f>
        <v>82.0317994</v>
      </c>
      <c r="K62" s="209">
        <f>J62*$J$8*$J$14*(1+0.2*C63)*(1+0.08*C120*D120)*(1+0.15*$B$19*(1+0.2*$C$63))</f>
        <v>147.0632586</v>
      </c>
      <c r="L62" s="196">
        <f t="shared" si="57"/>
        <v>147.0632586</v>
      </c>
      <c r="M62" s="196">
        <f t="shared" ref="M62:M65" si="60">K62*$L$12</f>
        <v>27.20670285</v>
      </c>
      <c r="N62" s="194"/>
      <c r="O62" s="194"/>
      <c r="P62" s="194"/>
      <c r="Q62" s="194"/>
      <c r="R62" s="194"/>
      <c r="S62" s="194"/>
      <c r="T62" s="196">
        <f>$B$19*(T23+T35*$C$152+T42*MIN((C152-1)*C106+1,2*C106+1)+T51*IF($C$152&lt;=5,IF($C$152&lt;3,$C$152,2+IF(C43&gt;0,$C$152-2,0)*10/S40+2*(S40-10)/S40),2+IF(C43&gt;0,3,0)*10/S40+2*(S40-10)/S40)+T57)</f>
        <v>0</v>
      </c>
      <c r="U62" s="194"/>
      <c r="V62" s="196">
        <f t="shared" si="58"/>
        <v>0</v>
      </c>
      <c r="W62" s="196">
        <f t="shared" si="59"/>
        <v>0</v>
      </c>
      <c r="X62" s="196">
        <f t="shared" ref="X62:X66" si="61">T62*M62</f>
        <v>0</v>
      </c>
      <c r="Y62" s="196">
        <f t="shared" ref="Y62:Y66" si="62">X62*(1-$C$144)</f>
        <v>0</v>
      </c>
      <c r="Z62" s="194"/>
      <c r="AA62" s="194"/>
      <c r="AB62" s="194"/>
    </row>
    <row r="63">
      <c r="A63" s="97"/>
      <c r="B63" s="276" t="s">
        <v>143</v>
      </c>
      <c r="C63" s="25">
        <f>Inputs!C65</f>
        <v>1</v>
      </c>
      <c r="D63" s="78"/>
      <c r="G63" s="276" t="s">
        <v>345</v>
      </c>
      <c r="H63" s="253">
        <f>3.07125*1.2*1.2</f>
        <v>4.4226</v>
      </c>
      <c r="I63" s="204">
        <v>1.15</v>
      </c>
      <c r="J63" s="207">
        <f>($J$6*(1+$E$116)*(1+$D$157)+169*15/120*$C$24+$C$14*6)*H63*$J$10*$L$11*I63*(1+0.01*E25)*1.05</f>
        <v>33800.66795</v>
      </c>
      <c r="K63" s="196">
        <f>J63*$J$8*$J$14*(1+0.15*$B$19*(1+0.2*$C$63))*(1+0.08*C120*D120)</f>
        <v>50497.04718</v>
      </c>
      <c r="L63" s="196">
        <f t="shared" si="57"/>
        <v>50497.04718</v>
      </c>
      <c r="M63" s="196">
        <f t="shared" si="60"/>
        <v>9341.953728</v>
      </c>
      <c r="N63" s="197">
        <v>-2.0</v>
      </c>
      <c r="O63" s="211">
        <f>20</f>
        <v>20</v>
      </c>
      <c r="P63" s="204">
        <f>3</f>
        <v>3</v>
      </c>
      <c r="Q63" s="196">
        <f>1.5/$J$9</f>
        <v>0.983880796</v>
      </c>
      <c r="R63" s="204">
        <v>45.0</v>
      </c>
      <c r="S63" s="198">
        <f>2*R63/(2+C137)+$C$151</f>
        <v>45.8</v>
      </c>
      <c r="T63" s="196">
        <f>1/S63*C130</f>
        <v>0</v>
      </c>
      <c r="U63" s="199">
        <f>T63*Q63</f>
        <v>0</v>
      </c>
      <c r="V63" s="196">
        <f t="shared" si="58"/>
        <v>0</v>
      </c>
      <c r="W63" s="196">
        <f t="shared" si="59"/>
        <v>0</v>
      </c>
      <c r="X63" s="196">
        <f t="shared" si="61"/>
        <v>0</v>
      </c>
      <c r="Y63" s="196">
        <f t="shared" si="62"/>
        <v>0</v>
      </c>
      <c r="Z63" s="196">
        <f>T63*N63</f>
        <v>0</v>
      </c>
      <c r="AA63" s="196">
        <f>T63*O63</f>
        <v>0</v>
      </c>
      <c r="AB63" s="196">
        <f>P63*T63</f>
        <v>0</v>
      </c>
    </row>
    <row r="64">
      <c r="A64" s="329" t="s">
        <v>144</v>
      </c>
      <c r="B64" s="276" t="s">
        <v>145</v>
      </c>
      <c r="C64" s="25">
        <f>Inputs!C66</f>
        <v>0</v>
      </c>
      <c r="D64" s="78"/>
      <c r="G64" s="276" t="s">
        <v>346</v>
      </c>
      <c r="H64" s="253">
        <f>0.3779*1.2</f>
        <v>0.45348</v>
      </c>
      <c r="I64" s="204">
        <v>1.15</v>
      </c>
      <c r="J64" s="207">
        <f>($J$6*(1+$E$116)*(1+$D$157)+169*15/120*$C$24+$C$14*6)*H64*$J$10*$L$11*I64*(1+0.01*E25)*1.05</f>
        <v>3465.818049</v>
      </c>
      <c r="K64" s="196">
        <f>J64*$J$8*$J$14*(1+0.15*$B$19*(1+0.2*$C$63))*$H$134*(1+0.15)*(1+0.05*(1+H8))*(1+0.08*C120*D120)</f>
        <v>252699.3373</v>
      </c>
      <c r="L64" s="196">
        <f t="shared" si="57"/>
        <v>252699.3373</v>
      </c>
      <c r="M64" s="196">
        <f t="shared" si="60"/>
        <v>46749.3774</v>
      </c>
      <c r="N64" s="194"/>
      <c r="O64" s="194"/>
      <c r="P64" s="194"/>
      <c r="Q64" s="194"/>
      <c r="R64" s="194"/>
      <c r="S64" s="194"/>
      <c r="T64" s="196">
        <f>T63</f>
        <v>0</v>
      </c>
      <c r="U64" s="194"/>
      <c r="V64" s="196">
        <f t="shared" si="58"/>
        <v>0</v>
      </c>
      <c r="W64" s="196">
        <f t="shared" si="59"/>
        <v>0</v>
      </c>
      <c r="X64" s="196">
        <f t="shared" si="61"/>
        <v>0</v>
      </c>
      <c r="Y64" s="196">
        <f t="shared" si="62"/>
        <v>0</v>
      </c>
      <c r="Z64" s="194"/>
      <c r="AA64" s="194"/>
      <c r="AB64" s="194"/>
    </row>
    <row r="65">
      <c r="A65" s="97"/>
      <c r="B65" s="276" t="s">
        <v>146</v>
      </c>
      <c r="C65" s="25">
        <f>Inputs!C67</f>
        <v>0</v>
      </c>
      <c r="D65" s="78"/>
      <c r="G65" s="281" t="s">
        <v>347</v>
      </c>
      <c r="H65" s="263">
        <v>0.5</v>
      </c>
      <c r="I65" s="194"/>
      <c r="J65" s="219">
        <f>(360+343*0.429/0.5*(1+0.05*C21)+$J$6*(1+$E$116)*(1+$D$157)+$C$14*6)*H65*$J$10*$L$11</f>
        <v>3663.91355</v>
      </c>
      <c r="K65" s="209">
        <f>J65*$J$8*$J$14*(1+0.08*C120*D120)</f>
        <v>5473.762106</v>
      </c>
      <c r="L65" s="196">
        <f t="shared" si="57"/>
        <v>5473.762106</v>
      </c>
      <c r="M65" s="196">
        <f t="shared" si="60"/>
        <v>1012.64599</v>
      </c>
      <c r="N65" s="194"/>
      <c r="O65" s="194"/>
      <c r="P65" s="194"/>
      <c r="Q65" s="196">
        <f>1.5/$J$9</f>
        <v>0.983880796</v>
      </c>
      <c r="R65" s="197">
        <v>90.0</v>
      </c>
      <c r="S65" s="198">
        <f>R65+$C$151</f>
        <v>90.8</v>
      </c>
      <c r="T65" s="196">
        <f>1/S65*C29</f>
        <v>0</v>
      </c>
      <c r="U65" s="199">
        <f>T65*Q65</f>
        <v>0</v>
      </c>
      <c r="V65" s="196">
        <f t="shared" si="58"/>
        <v>0</v>
      </c>
      <c r="W65" s="196">
        <f t="shared" si="59"/>
        <v>0</v>
      </c>
      <c r="X65" s="196">
        <f t="shared" si="61"/>
        <v>0</v>
      </c>
      <c r="Y65" s="196">
        <f t="shared" si="62"/>
        <v>0</v>
      </c>
      <c r="Z65" s="194"/>
      <c r="AA65" s="194"/>
      <c r="AB65" s="194"/>
    </row>
    <row r="66">
      <c r="A66" s="97"/>
      <c r="B66" s="276" t="s">
        <v>147</v>
      </c>
      <c r="C66" s="25">
        <f>Inputs!C68</f>
        <v>1</v>
      </c>
      <c r="D66" s="78"/>
      <c r="E66" s="2"/>
      <c r="G66" s="276" t="s">
        <v>348</v>
      </c>
      <c r="H66" s="27"/>
      <c r="I66" s="194"/>
      <c r="J66" s="194"/>
      <c r="K66" s="194"/>
      <c r="L66" s="194"/>
      <c r="M66" s="196">
        <f>$L$7*0.48*(1+0.2*C63)</f>
        <v>969347.2896</v>
      </c>
      <c r="N66" s="194"/>
      <c r="O66" s="194"/>
      <c r="P66" s="194"/>
      <c r="Q66" s="194"/>
      <c r="R66" s="204">
        <v>360.0</v>
      </c>
      <c r="S66" s="204">
        <v>360.0</v>
      </c>
      <c r="T66" s="196">
        <f>1/S66*C19</f>
        <v>0.002777777778</v>
      </c>
      <c r="U66" s="194"/>
      <c r="V66" s="194"/>
      <c r="W66" s="194"/>
      <c r="X66" s="196">
        <f t="shared" si="61"/>
        <v>2692.63136</v>
      </c>
      <c r="Y66" s="196">
        <f t="shared" si="62"/>
        <v>2154.105088</v>
      </c>
      <c r="Z66" s="194"/>
      <c r="AA66" s="194"/>
      <c r="AB66" s="194"/>
    </row>
    <row r="67">
      <c r="A67" s="97"/>
      <c r="B67" s="276" t="s">
        <v>148</v>
      </c>
      <c r="C67" s="25">
        <f>Inputs!C69</f>
        <v>1</v>
      </c>
      <c r="D67" s="78"/>
      <c r="E67" s="2"/>
      <c r="G67" s="276" t="s">
        <v>113</v>
      </c>
      <c r="H67" s="27"/>
      <c r="I67" s="194"/>
      <c r="J67" s="194"/>
      <c r="K67" s="194"/>
      <c r="L67" s="194"/>
      <c r="M67" s="194"/>
      <c r="N67" s="194"/>
      <c r="O67" s="211">
        <v>3.0</v>
      </c>
      <c r="P67" s="194"/>
      <c r="Q67" s="194"/>
      <c r="R67" s="285">
        <f>60/10.8</f>
        <v>5.555555556</v>
      </c>
      <c r="S67" s="198">
        <f>1/(10.8*J9*1.13/60)</f>
        <v>3.22478137</v>
      </c>
      <c r="T67" s="196">
        <f>1/S67*C41</f>
        <v>0.3100985417</v>
      </c>
      <c r="U67" s="194"/>
      <c r="V67" s="194"/>
      <c r="W67" s="194"/>
      <c r="X67" s="194"/>
      <c r="Y67" s="194"/>
      <c r="Z67" s="194"/>
      <c r="AA67" s="196">
        <f>T67*O67</f>
        <v>0.930295625</v>
      </c>
      <c r="AB67" s="194"/>
    </row>
    <row r="68">
      <c r="A68" s="97"/>
      <c r="B68" s="276" t="s">
        <v>149</v>
      </c>
      <c r="C68" s="25">
        <f>Inputs!C70</f>
        <v>1</v>
      </c>
      <c r="D68" s="78"/>
      <c r="G68" s="276" t="s">
        <v>220</v>
      </c>
      <c r="H68" s="253">
        <v>2.76</v>
      </c>
      <c r="I68" s="194"/>
      <c r="J68" s="207">
        <f>($J$6*(1+$E$116)*(1+$D$157)+169*15/120*$C$24+$C$14*6)*H68*$J$10*$L$11*(1+0.01*$E$25)</f>
        <v>17469.0611</v>
      </c>
      <c r="K68" s="196">
        <f>J68*$J$8*$J$14*(1+$C$131*0.05*MIN(1,5/$C$152))*$C$152/SQRT(MAX(1,$C$152/8))*(1+0.02*-AA42*8*((O42-5*IF(C42&gt;0,1,0))/O42))*(1+0.08*C120*D120)</f>
        <v>488959.6218</v>
      </c>
      <c r="L68" s="209">
        <f t="shared" ref="L68:L69" si="63">K68/$C$152</f>
        <v>97791.92436</v>
      </c>
      <c r="M68" s="196">
        <f>K68*(0.18+$L$12)</f>
        <v>178470.262</v>
      </c>
      <c r="N68" s="194"/>
      <c r="O68" s="194"/>
      <c r="P68" s="194"/>
      <c r="Q68" s="194"/>
      <c r="R68" s="194"/>
      <c r="S68" s="194"/>
      <c r="T68" s="196">
        <f>T28*C123</f>
        <v>0</v>
      </c>
      <c r="U68" s="194"/>
      <c r="V68" s="196">
        <f t="shared" ref="V68:V69" si="64">T68*K68</f>
        <v>0</v>
      </c>
      <c r="W68" s="196">
        <f t="shared" ref="W68:W69" si="65">T68*L68</f>
        <v>0</v>
      </c>
      <c r="X68" s="196">
        <f t="shared" ref="X68:X69" si="66">T68*M68</f>
        <v>0</v>
      </c>
      <c r="Y68" s="196">
        <f t="shared" ref="Y68:Y69" si="67">X68*(1-$C$144)</f>
        <v>0</v>
      </c>
      <c r="Z68" s="194"/>
      <c r="AA68" s="194"/>
      <c r="AB68" s="194"/>
    </row>
    <row r="69">
      <c r="A69" s="97"/>
      <c r="B69" s="276" t="s">
        <v>151</v>
      </c>
      <c r="C69" s="25">
        <f>Inputs!C71</f>
        <v>1</v>
      </c>
      <c r="D69" s="78"/>
      <c r="G69" s="276" t="s">
        <v>349</v>
      </c>
      <c r="H69" s="27"/>
      <c r="I69" s="204">
        <v>1.15</v>
      </c>
      <c r="J69" s="194"/>
      <c r="K69" s="196">
        <f>K64*1/10*($C$152-1)*$I$69*1.05*IF(D100=2,(1+0.06*C119*(1-T40*(1-(0.75)^((5+(H15/2))/H15))/(1+3*(1-(0.75)^((5+(H15/2))/H15))*C82)/(1-(0.75)^((5+(H15/2))/H15)))),(1+0.06*(14-5*C131*E137)*C119*(1/S40)))</f>
        <v>129377.0067</v>
      </c>
      <c r="L69" s="196">
        <f t="shared" si="63"/>
        <v>25875.40134</v>
      </c>
      <c r="M69" s="196">
        <f>K69*$L$12</f>
        <v>23934.74624</v>
      </c>
      <c r="N69" s="194"/>
      <c r="O69" s="194"/>
      <c r="P69" s="194"/>
      <c r="Q69" s="194"/>
      <c r="R69" s="194"/>
      <c r="S69" s="194"/>
      <c r="T69" s="196">
        <f>T64</f>
        <v>0</v>
      </c>
      <c r="U69" s="194"/>
      <c r="V69" s="196">
        <f t="shared" si="64"/>
        <v>0</v>
      </c>
      <c r="W69" s="196">
        <f t="shared" si="65"/>
        <v>0</v>
      </c>
      <c r="X69" s="196">
        <f t="shared" si="66"/>
        <v>0</v>
      </c>
      <c r="Y69" s="196">
        <f t="shared" si="67"/>
        <v>0</v>
      </c>
      <c r="Z69" s="194"/>
      <c r="AA69" s="194"/>
      <c r="AB69" s="194"/>
    </row>
    <row r="70">
      <c r="A70" s="329" t="s">
        <v>152</v>
      </c>
      <c r="B70" s="276" t="s">
        <v>153</v>
      </c>
      <c r="C70" s="25">
        <f>Inputs!C72</f>
        <v>0</v>
      </c>
      <c r="D70" s="78"/>
      <c r="E70" s="2"/>
      <c r="G70" s="276"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276" t="s">
        <v>154</v>
      </c>
      <c r="C71" s="25">
        <f>Inputs!C73</f>
        <v>1</v>
      </c>
      <c r="D71" s="78"/>
      <c r="G71" s="281" t="s">
        <v>351</v>
      </c>
      <c r="H71" s="263">
        <f>1.25*0.25</f>
        <v>0.3125</v>
      </c>
      <c r="I71" s="194"/>
      <c r="J71" s="207">
        <f>($J$6*(1+$E$116)*(1+$D$157)+$C$14*6)*H71*$J$10*$L$11</f>
        <v>1977.928113</v>
      </c>
      <c r="K71" s="196">
        <f>J71*$J$8*$J$14*(1+0.08*C120*D120)*(1+$C$131*0.05*MIN(1,5/$C$152))</f>
        <v>3102.705126</v>
      </c>
      <c r="L71" s="196">
        <f>K71</f>
        <v>3102.705126</v>
      </c>
      <c r="M71" s="196">
        <f>K71*(1+$L$12)</f>
        <v>3676.705574</v>
      </c>
      <c r="N71" s="194"/>
      <c r="O71" s="194"/>
      <c r="P71" s="194"/>
      <c r="Q71" s="195"/>
      <c r="R71" s="197">
        <v>15.0</v>
      </c>
      <c r="S71" s="288">
        <f>15</f>
        <v>15</v>
      </c>
      <c r="T71" s="196">
        <f>1/S71*C25</f>
        <v>0</v>
      </c>
      <c r="U71" s="222"/>
      <c r="V71" s="196">
        <f>T71*K71</f>
        <v>0</v>
      </c>
      <c r="W71" s="196">
        <f>T71*L71</f>
        <v>0</v>
      </c>
      <c r="X71" s="196">
        <f t="shared" ref="X71:X75" si="68">T71*M71</f>
        <v>0</v>
      </c>
      <c r="Y71" s="196">
        <f>X71*(1-$C$144)</f>
        <v>0</v>
      </c>
      <c r="Z71" s="194"/>
      <c r="AA71" s="194"/>
      <c r="AB71" s="194"/>
    </row>
    <row r="72">
      <c r="A72" s="98"/>
      <c r="B72" s="276" t="s">
        <v>155</v>
      </c>
      <c r="C72" s="25">
        <f>Inputs!C74</f>
        <v>0</v>
      </c>
      <c r="D72" s="78"/>
      <c r="E72" s="2"/>
      <c r="G72" s="276" t="s">
        <v>223</v>
      </c>
      <c r="H72" s="27"/>
      <c r="I72" s="194"/>
      <c r="J72" s="194"/>
      <c r="K72" s="194"/>
      <c r="L72" s="194"/>
      <c r="M72" s="196">
        <f>MIN(L7,V29*(10+2*C92)*6)*J10*(1+0.15*C46)</f>
        <v>1515220.115</v>
      </c>
      <c r="N72" s="194"/>
      <c r="O72" s="194"/>
      <c r="P72" s="194"/>
      <c r="Q72" s="194"/>
      <c r="R72" s="194"/>
      <c r="S72" s="194"/>
      <c r="T72" s="196">
        <f>T76*C126</f>
        <v>0.04678674538</v>
      </c>
      <c r="U72" s="194"/>
      <c r="V72" s="194"/>
      <c r="W72" s="194"/>
      <c r="X72" s="196">
        <f t="shared" si="68"/>
        <v>70892.21771</v>
      </c>
      <c r="Y72" s="196">
        <f>X72</f>
        <v>70892.21771</v>
      </c>
      <c r="Z72" s="194"/>
      <c r="AA72" s="194"/>
      <c r="AB72" s="194"/>
    </row>
    <row r="73">
      <c r="A73" s="329" t="s">
        <v>156</v>
      </c>
      <c r="B73" s="276" t="s">
        <v>157</v>
      </c>
      <c r="C73" s="25">
        <f>Inputs!C75</f>
        <v>0</v>
      </c>
      <c r="D73" s="78"/>
      <c r="G73" s="281" t="s">
        <v>352</v>
      </c>
      <c r="H73" s="27"/>
      <c r="I73" s="194"/>
      <c r="J73" s="194"/>
      <c r="K73" s="194"/>
      <c r="L73" s="194"/>
      <c r="M73" s="196">
        <f>$L$7*0.04*(1+0.2*C63)</f>
        <v>80778.9408</v>
      </c>
      <c r="N73" s="194"/>
      <c r="O73" s="194"/>
      <c r="P73" s="194"/>
      <c r="Q73" s="194"/>
      <c r="R73" s="197">
        <f>60/3</f>
        <v>20</v>
      </c>
      <c r="S73" s="196">
        <f>R73/1.13/$J$9</f>
        <v>11.60921293</v>
      </c>
      <c r="T73" s="196">
        <f>1/S73*B21</f>
        <v>0</v>
      </c>
      <c r="U73" s="194"/>
      <c r="V73" s="194"/>
      <c r="W73" s="194"/>
      <c r="X73" s="196">
        <f t="shared" si="68"/>
        <v>0</v>
      </c>
      <c r="Y73" s="196">
        <f t="shared" ref="Y73:Y75" si="69">X73*(1-$C$144)</f>
        <v>0</v>
      </c>
      <c r="Z73" s="194"/>
      <c r="AA73" s="194"/>
      <c r="AB73" s="194"/>
    </row>
    <row r="74">
      <c r="A74" s="97"/>
      <c r="B74" s="276" t="s">
        <v>158</v>
      </c>
      <c r="C74" s="25">
        <f>Inputs!C76</f>
        <v>1</v>
      </c>
      <c r="D74" s="78"/>
      <c r="G74" s="276" t="s">
        <v>353</v>
      </c>
      <c r="H74" s="289">
        <f>0.907*1.25</f>
        <v>1.13375</v>
      </c>
      <c r="I74" s="204">
        <v>1.15</v>
      </c>
      <c r="J74" s="207">
        <f>($J$6*(1+$E$116)*(1+$D$157)+169*15/120*$C$24+$C$14*6)*H74*$J$10*$L$11*I74*(1+0.15*C93)*(1+0.01*$E$25)*(1+0.1*C43)</f>
        <v>9077.542842</v>
      </c>
      <c r="K74" s="196">
        <f>J74*$J$8*IF($C$152&lt;=5,IF($C$152&lt;3,$C$152,IF($C$43&gt;0,$C$152,2)*(14-5*C131*E137)/$S$40+2*($S$40-(14-5*C131*E137))/$S$40),IF($C$43&gt;0,5,2)*(14-5*C131*E137)/$S$40+2*($S$40-(14-5*C131*E137))/$S$40)*$J$14*(1+$C$131*0.2)*(1+0.08*C120*D120)</f>
        <v>81369.23976</v>
      </c>
      <c r="L74" s="196">
        <f>K74/IF($C$152&lt;=5,IF($C$152&lt;3,$C$152,IF($C$43&gt;0,$C$152,2)*(14-5*C131*E137)/$S$40+2*($S$40-(14-5*C131*E137))/$S$40),IF($C$43&gt;0,5,2)*(14-5*C131*E137)/$S$40+2*($S$40-(14-5*C131*E137))/$S$40)</f>
        <v>16273.84795</v>
      </c>
      <c r="M74" s="196">
        <f>K74*$L$12+IF($C$152&lt;=5,IF($C$152&lt;3,$C$152,IF($C$43&gt;0,$C$152,2)*(14-5*C131*E137)/$S$40+2*($S$40-(14-5*C131*E137))/$S$40),IF($C$43&gt;0,5,2)*(14-5*C131*E137)/$S$40+2*($S$40-(14-5*C131*E137))/$S$40)*$L$7*0.0025*$C$95+$L$7*0.02*$J$10</f>
        <v>58150.99347</v>
      </c>
      <c r="N74" s="194"/>
      <c r="O74" s="194"/>
      <c r="P74" s="194"/>
      <c r="Q74" s="194"/>
      <c r="R74" s="194"/>
      <c r="S74" s="194"/>
      <c r="T74" s="196">
        <f>C131*((T38*(8+C110*4))*T51+(1-T38*(8+C110*4))*((0.35+0.05*14/S40*E136)*T42+(E140*0.35*0.15)*T42))</f>
        <v>0.1922295585</v>
      </c>
      <c r="U74" s="194"/>
      <c r="V74" s="196">
        <f>(T74+(C131*T38*(8+C110*4))*C116/(9/(1/(0.5+(2/((L14+0.3*(1-(1-(T38*(8+C110*4)))*(1-IF(C127&gt;3,1,0)*(1-0.875^(8*(T40+T43+T51+T57+T63)))))))-1+IF(C152=1,0.5,0))/C152))+9/(1/(0.5+(2/((L14+0.3*(1-(1-(T38*(8+C110*4)))*(1-IF(C127&gt;3,1,0)*(1-0.875^(8*(T40+T43+T51+T57+T63)))))))-1+IF(C152=1,0.5,0))/C152))/2*((0.8/3^(C152-1))/(1-(0.8/3^(C152-1))))+6)+1.5*C131*F127*((T38*(8+C110*4))/(1-(1-(T38*(8+C110*4)))*(1-IF(C127&gt;3,1,0)*(1-0.875^(8*(T40+T43+T51+T57+T63)))))))*K74</f>
        <v>20623.03413</v>
      </c>
      <c r="W74" s="196">
        <f>(T74+(C131*T38*(8+C110*4))*C116/(9/(1/(0.5+(2/((L14+0.3*(1-(1-(T38*(8+C110*4)))*(1-IF(C127&gt;3,1,0)*(1-0.875^(8*(T40+T43+T51+T57+T63)))))))-1+IF(C152=1,0.5,0))/C152))+9/(1/(0.5+(2/((L14+0.3*(1-(1-(T38*(8+C110*4)))*(1-IF(C127&gt;3,1,0)*(1-0.875^(8*(T40+T43+T51+T57+T63)))))))-1+IF(C152=1,0.5,0))/C152))/2*((0.8/3^(C152-1))/(1-(0.8/3^(C152-1))))+6)+1.5*C131*F127*((T38*(8+C110*4))/(1-(1-(T38*(8+C110*4)))*(1-IF(C127&gt;3,1,0)*(1-0.875^(8*(T40+T43+T51+T57+T63)))))))*L74</f>
        <v>4124.606825</v>
      </c>
      <c r="X74" s="196">
        <f t="shared" si="68"/>
        <v>11178.3398</v>
      </c>
      <c r="Y74" s="196">
        <f t="shared" si="69"/>
        <v>8942.671842</v>
      </c>
      <c r="Z74" s="194"/>
      <c r="AA74" s="194"/>
      <c r="AB74" s="293"/>
    </row>
    <row r="75">
      <c r="A75" s="97"/>
      <c r="B75" s="276" t="s">
        <v>160</v>
      </c>
      <c r="C75" s="25">
        <f>Inputs!C77</f>
        <v>1</v>
      </c>
      <c r="D75" s="78"/>
      <c r="G75" s="276" t="s">
        <v>354</v>
      </c>
      <c r="H75" s="253">
        <f>1.766*1.2</f>
        <v>2.1192</v>
      </c>
      <c r="I75" s="204">
        <v>1.15</v>
      </c>
      <c r="J75" s="207">
        <f>($J$6*(1+$E$116)*(1+$D$157)+169*15/120*$C$24+$C$14*6)*H75*$J$10*$L$11*I75*(1+0.01*$E$25)</f>
        <v>15425.18095</v>
      </c>
      <c r="K75" s="196">
        <f>J75*($J$8+2)/2*(1+$C$152)*$J$14*(1+0.15*$B$19*(1+0.2*$C$63))*(H8*0.05/2+1)*(1+0.08*C120*D120)</f>
        <v>183539.8732</v>
      </c>
      <c r="L75" s="196">
        <f>K75*2/(1+$C$152)</f>
        <v>61179.95772</v>
      </c>
      <c r="M75" s="196">
        <f>K75*$L$12</f>
        <v>33954.87654</v>
      </c>
      <c r="N75" s="194"/>
      <c r="O75" s="194"/>
      <c r="P75" s="194"/>
      <c r="Q75" s="194"/>
      <c r="R75" s="194"/>
      <c r="S75" s="194"/>
      <c r="T75" s="196">
        <f>T63</f>
        <v>0</v>
      </c>
      <c r="U75" s="293"/>
      <c r="V75" s="196">
        <f>T75*K75</f>
        <v>0</v>
      </c>
      <c r="W75" s="196">
        <f>T75*L75</f>
        <v>0</v>
      </c>
      <c r="X75" s="196">
        <f t="shared" si="68"/>
        <v>0</v>
      </c>
      <c r="Y75" s="196">
        <f t="shared" si="69"/>
        <v>0</v>
      </c>
      <c r="Z75" s="293"/>
      <c r="AA75" s="293"/>
      <c r="AB75" s="293"/>
    </row>
    <row r="76">
      <c r="A76" s="98"/>
      <c r="B76" s="276" t="s">
        <v>161</v>
      </c>
      <c r="C76" s="25">
        <f>Inputs!C78</f>
        <v>0</v>
      </c>
      <c r="D76" s="78"/>
      <c r="G76" s="281" t="s">
        <v>179</v>
      </c>
      <c r="H76" s="27"/>
      <c r="I76" s="194"/>
      <c r="J76" s="194"/>
      <c r="K76" s="194"/>
      <c r="L76" s="194"/>
      <c r="M76" s="194"/>
      <c r="N76" s="194"/>
      <c r="O76" s="194"/>
      <c r="P76" s="194"/>
      <c r="Q76" s="194"/>
      <c r="R76" s="295">
        <f>90</f>
        <v>90</v>
      </c>
      <c r="S76" s="287">
        <f>R76/(1-AA42/5*C122*((O42-5*IF(C42&gt;0,1,0))/O42))</f>
        <v>21.37357476</v>
      </c>
      <c r="T76" s="287">
        <f>1/S76*C89*C149</f>
        <v>0.04678674538</v>
      </c>
      <c r="U76" s="293"/>
      <c r="V76" s="293"/>
      <c r="W76" s="298"/>
      <c r="X76" s="298"/>
      <c r="Y76" s="293"/>
      <c r="Z76" s="293"/>
      <c r="AA76" s="293"/>
      <c r="AB76" s="293"/>
    </row>
    <row r="77">
      <c r="A77" s="329" t="s">
        <v>162</v>
      </c>
      <c r="B77" s="276" t="s">
        <v>163</v>
      </c>
      <c r="C77" s="25">
        <f>Inputs!C79</f>
        <v>2</v>
      </c>
      <c r="D77" s="78"/>
      <c r="T77" s="334" t="s">
        <v>230</v>
      </c>
      <c r="U77" s="300">
        <f t="shared" ref="U77:X77" si="70">sum(U19:U76)</f>
        <v>1</v>
      </c>
      <c r="V77" s="140">
        <f t="shared" si="70"/>
        <v>325393.0508</v>
      </c>
      <c r="W77" s="140">
        <f t="shared" si="70"/>
        <v>112398.2291</v>
      </c>
      <c r="X77" s="140">
        <f t="shared" si="70"/>
        <v>442042.1326</v>
      </c>
      <c r="Y77" s="140">
        <f>sum(Y19:Y76)+W78</f>
        <v>384389.413</v>
      </c>
      <c r="Z77" s="140">
        <f t="shared" ref="Z77:AB77" si="71">sum(Z19:Z76)</f>
        <v>-0.4570450618</v>
      </c>
      <c r="AA77" s="140">
        <f t="shared" si="71"/>
        <v>0</v>
      </c>
      <c r="AB77" s="152">
        <f t="shared" si="71"/>
        <v>0.3268719292</v>
      </c>
    </row>
    <row r="78">
      <c r="A78" s="97"/>
      <c r="B78" s="276" t="s">
        <v>165</v>
      </c>
      <c r="C78" s="25">
        <f>Inputs!C80</f>
        <v>0</v>
      </c>
      <c r="D78" s="78"/>
      <c r="E78" s="2"/>
      <c r="I78" s="325"/>
    </row>
    <row r="79">
      <c r="A79" s="98"/>
      <c r="B79" s="276" t="s">
        <v>166</v>
      </c>
      <c r="C79" s="25">
        <f>Inputs!C81</f>
        <v>2</v>
      </c>
      <c r="D79" s="78"/>
      <c r="E79" s="2"/>
      <c r="V79" s="326">
        <f>8047*20*1.13/60*J8*J10*0.7</f>
        <v>3312.418059</v>
      </c>
      <c r="W79" s="326">
        <f>498629/150*J8*J10*(0.85+0.15*C152)</f>
        <v>8303.518747</v>
      </c>
      <c r="Y79" s="326">
        <f>-(1.13*(1-exp(-1*12/60)))*49872/12*J10*L10</f>
        <v>-937.1879001</v>
      </c>
    </row>
    <row r="80">
      <c r="A80" s="335" t="s">
        <v>168</v>
      </c>
      <c r="B80" s="276" t="s">
        <v>169</v>
      </c>
      <c r="C80" s="25">
        <f>Inputs!C82</f>
        <v>1</v>
      </c>
      <c r="D80" s="78"/>
      <c r="E80" s="2"/>
      <c r="S80" s="301"/>
      <c r="T80" s="301"/>
      <c r="V80" s="326">
        <f>(239640*0.7+129036)*1.13*0.92/60*J8*J10</f>
        <v>8028.074942</v>
      </c>
    </row>
    <row r="81">
      <c r="A81" s="122"/>
      <c r="B81" s="276" t="s">
        <v>171</v>
      </c>
      <c r="C81" s="25">
        <f>Inputs!C83</f>
        <v>0</v>
      </c>
      <c r="D81" s="78"/>
      <c r="E81" s="2"/>
      <c r="S81" s="62"/>
      <c r="T81" s="62"/>
      <c r="V81" s="326">
        <f>221688*0.85*1.13/60*J8*J10*J9*(0.85+0.15*C152)</f>
        <v>13514.90433</v>
      </c>
      <c r="W81" s="326">
        <f>(1.13*(1-exp(-2*10/60)))*8804*5/10*(0.85+0.15*C152)*J8*J10</f>
        <v>3522.163189</v>
      </c>
    </row>
    <row r="82">
      <c r="A82" s="122"/>
      <c r="B82" s="276" t="s">
        <v>172</v>
      </c>
      <c r="C82" s="25">
        <f>Inputs!C84</f>
        <v>1</v>
      </c>
      <c r="D82" s="78"/>
      <c r="E82" s="2"/>
      <c r="S82" s="301"/>
      <c r="T82" s="301"/>
      <c r="U82" s="336"/>
      <c r="V82" s="326">
        <f>150750*1.25*1.13/60*J8*J10*J9*(0.85+0.15*C152)</f>
        <v>13515.09798</v>
      </c>
    </row>
    <row r="83">
      <c r="A83" s="123"/>
      <c r="B83" s="276" t="s">
        <v>173</v>
      </c>
      <c r="C83" s="25">
        <f>Inputs!C85</f>
        <v>0</v>
      </c>
      <c r="D83" s="78"/>
      <c r="E83" s="2"/>
      <c r="V83" s="326">
        <f>124747/6*(1.13*(1-exp(-2*J9*6/60)))*J8*J10</f>
        <v>9639.658385</v>
      </c>
    </row>
    <row r="84">
      <c r="A84" s="2"/>
      <c r="B84" s="2"/>
      <c r="C84" s="2"/>
      <c r="D84" s="2"/>
      <c r="E84" s="2"/>
      <c r="R84" s="302"/>
      <c r="V84" s="326">
        <f>135322*4/150*J8*J10*(0.85+0.15*C152)</f>
        <v>9013.906242</v>
      </c>
    </row>
    <row r="85">
      <c r="A85" s="2"/>
      <c r="B85" s="321" t="s">
        <v>174</v>
      </c>
      <c r="C85" s="283" t="s">
        <v>106</v>
      </c>
      <c r="D85" s="283" t="s">
        <v>107</v>
      </c>
      <c r="E85" s="2"/>
      <c r="V85" s="326">
        <f>15233*1.5*1.13/60*J8*J10*5*5/3</f>
        <v>5598.588682</v>
      </c>
    </row>
    <row r="86">
      <c r="A86" s="337" t="s">
        <v>108</v>
      </c>
      <c r="B86" s="276" t="s">
        <v>175</v>
      </c>
      <c r="C86" s="25">
        <f>Inputs!C88</f>
        <v>1</v>
      </c>
      <c r="D86" s="78"/>
      <c r="E86" s="2"/>
      <c r="U86" s="326">
        <f>(20*0.793)*14698*J8*J10*0.7/60*1.375</f>
        <v>5838.03679</v>
      </c>
      <c r="V86" s="326">
        <f>(20+2/3*(C152*4-2-2/3))*14698*J8*J10*0.7/60*1.375</f>
        <v>11615.54188</v>
      </c>
    </row>
    <row r="87">
      <c r="A87" s="322" t="s">
        <v>112</v>
      </c>
      <c r="B87" s="276" t="s">
        <v>176</v>
      </c>
      <c r="C87" s="25">
        <f>Inputs!C89</f>
        <v>1</v>
      </c>
      <c r="D87" s="25">
        <f>Inputs!D89</f>
        <v>0</v>
      </c>
      <c r="V87" s="326">
        <f>156528*1.13/60*J8*J9*J10*1.5*(0.85+0.15*C152)</f>
        <v>16839.73139</v>
      </c>
    </row>
    <row r="88">
      <c r="A88" s="98"/>
      <c r="B88" s="276" t="s">
        <v>177</v>
      </c>
      <c r="C88" s="25">
        <f>Inputs!C90</f>
        <v>1</v>
      </c>
      <c r="D88" s="78"/>
      <c r="E88" s="2"/>
      <c r="V88" s="326">
        <f>91711*J8*J10/90*(0.85+0.15*C152)*5*0.79+2395/3*J10*J8*C152*0.8</f>
        <v>15039.70349</v>
      </c>
      <c r="W88" s="326">
        <f>80382*J8*J10/90*(0.85+0.15*C152)*5*0.79+2013/3*J10*J8*C152*0.8</f>
        <v>13002.53577</v>
      </c>
      <c r="X88" s="326">
        <f>(660181*J10*1.15*1.5-93582*5*J10*L10*0.79)/90*1.5-2395*J10*L10/3*0.8</f>
        <v>16817.8867</v>
      </c>
      <c r="Y88" s="326">
        <f>(578625*J10*1.15*1.5-82021*5*J10*L10*0.79)/90*1.5-2013*J10*L10/3*0.8</f>
        <v>14765.58097</v>
      </c>
    </row>
    <row r="89">
      <c r="A89" s="329" t="s">
        <v>117</v>
      </c>
      <c r="B89" s="276" t="s">
        <v>179</v>
      </c>
      <c r="C89" s="25">
        <f>Inputs!C91</f>
        <v>1</v>
      </c>
      <c r="D89" s="78"/>
      <c r="E89" s="2"/>
      <c r="U89" s="326">
        <f>205064/1.2^15</f>
        <v>13309.77561</v>
      </c>
      <c r="V89" s="4">
        <f>(304680/(1.2)^15)*3*1.13*1.2^15/60*J8*J9*J10*(127566/205064)*IF(C152&gt;1,1,1)*0.9</f>
        <v>22939.56121</v>
      </c>
      <c r="X89" s="326">
        <f>-V89/2*L10</f>
        <v>-9861.356279</v>
      </c>
    </row>
    <row r="90">
      <c r="A90" s="98"/>
      <c r="B90" s="276" t="s">
        <v>180</v>
      </c>
      <c r="C90" s="25">
        <f>Inputs!C92</f>
        <v>1</v>
      </c>
      <c r="D90" s="78"/>
      <c r="E90" s="2"/>
      <c r="U90" s="326">
        <f>9935*1.2^14</f>
        <v>127557.2995</v>
      </c>
      <c r="V90" s="326">
        <f>7848*1.5*5*1.13/60*J8*J9*J10</f>
        <v>2638.469874</v>
      </c>
      <c r="X90" s="326">
        <f>-1053*1.5*5*1.13/60*J9*J10*L10</f>
        <v>-249.6399937</v>
      </c>
    </row>
    <row r="91">
      <c r="A91" s="329" t="s">
        <v>129</v>
      </c>
      <c r="B91" s="276" t="s">
        <v>181</v>
      </c>
      <c r="C91" s="25">
        <f>Inputs!C93</f>
        <v>1</v>
      </c>
      <c r="D91" s="78"/>
      <c r="E91" s="2"/>
      <c r="V91" s="326">
        <f>V25/C152</f>
        <v>8198.672321</v>
      </c>
      <c r="X91" s="326">
        <f>258568*2*1.13/60*1.15*J9*J10</f>
        <v>21864.80466</v>
      </c>
    </row>
    <row r="92">
      <c r="A92" s="97"/>
      <c r="B92" s="276" t="s">
        <v>182</v>
      </c>
      <c r="C92" s="25">
        <f>Inputs!C94</f>
        <v>2</v>
      </c>
      <c r="D92" s="78"/>
      <c r="E92" s="2"/>
      <c r="V92" s="326">
        <f>69524/60*1.13*2*J9*J8*J10+44080*J9*J8*J10*2/60*0.7*1.13</f>
        <v>8999.307032</v>
      </c>
    </row>
    <row r="93">
      <c r="A93" s="97"/>
      <c r="B93" s="276" t="s">
        <v>184</v>
      </c>
      <c r="C93" s="25">
        <f>Inputs!C95</f>
        <v>0</v>
      </c>
      <c r="D93" s="78"/>
      <c r="X93" s="326">
        <f>1.13*1.21/60*(140745+93831*2)*1.15*J10</f>
        <v>11020.20898</v>
      </c>
    </row>
    <row r="94">
      <c r="A94" s="98"/>
      <c r="B94" s="276" t="s">
        <v>185</v>
      </c>
      <c r="C94" s="25">
        <f>Inputs!C96</f>
        <v>1</v>
      </c>
      <c r="D94" s="78"/>
      <c r="E94" s="2"/>
      <c r="V94" s="326">
        <f>64988*J8*J10/90*(0.85+0.15*C152)*1.31*5+2182/3*J10*J8*C152</f>
        <v>17491.82593</v>
      </c>
      <c r="X94" s="326">
        <f>(409961*J10*1.15-58027*5*(1-L5)*L10)/90*1.5-2396*J10*L10/3</f>
        <v>8155.751404</v>
      </c>
    </row>
    <row r="95">
      <c r="A95" s="329" t="s">
        <v>138</v>
      </c>
      <c r="B95" s="276" t="s">
        <v>186</v>
      </c>
      <c r="C95" s="25">
        <f>Inputs!C97</f>
        <v>0</v>
      </c>
      <c r="D95" s="78"/>
    </row>
    <row r="96">
      <c r="A96" s="97"/>
      <c r="B96" s="276" t="s">
        <v>187</v>
      </c>
      <c r="C96" s="25">
        <f>Inputs!C98</f>
        <v>1</v>
      </c>
      <c r="D96" s="78"/>
      <c r="U96" s="4" t="s">
        <v>368</v>
      </c>
    </row>
    <row r="97">
      <c r="A97" s="97"/>
      <c r="B97" s="276" t="s">
        <v>188</v>
      </c>
      <c r="C97" s="25">
        <f>Inputs!C99</f>
        <v>1</v>
      </c>
      <c r="D97" s="25">
        <f>Inputs!D99</f>
        <v>7</v>
      </c>
      <c r="E97" s="2"/>
      <c r="N97" s="328"/>
    </row>
    <row r="98">
      <c r="A98" s="97"/>
      <c r="B98" s="276" t="s">
        <v>189</v>
      </c>
      <c r="C98" s="25">
        <f>Inputs!C100</f>
        <v>1</v>
      </c>
      <c r="D98" s="78"/>
    </row>
    <row r="99">
      <c r="A99" s="97"/>
      <c r="B99" s="276" t="s">
        <v>190</v>
      </c>
      <c r="C99" s="25">
        <f>Inputs!C101</f>
        <v>1</v>
      </c>
      <c r="D99" s="78"/>
    </row>
    <row r="100">
      <c r="A100" s="97"/>
      <c r="B100" s="276" t="s">
        <v>191</v>
      </c>
      <c r="C100" s="25">
        <f>Inputs!C102</f>
        <v>0</v>
      </c>
      <c r="D100" s="25">
        <f>Inputs!D102</f>
        <v>0</v>
      </c>
      <c r="E100" s="2"/>
    </row>
    <row r="101">
      <c r="A101" s="98"/>
      <c r="B101" s="276" t="s">
        <v>193</v>
      </c>
      <c r="C101" s="25">
        <f>Inputs!C103</f>
        <v>0</v>
      </c>
      <c r="D101" s="25">
        <f>Inputs!D103</f>
        <v>10</v>
      </c>
    </row>
    <row r="102">
      <c r="A102" s="329" t="s">
        <v>144</v>
      </c>
      <c r="B102" s="276" t="s">
        <v>195</v>
      </c>
      <c r="C102" s="25">
        <f>Inputs!C104</f>
        <v>0</v>
      </c>
      <c r="D102" s="78"/>
      <c r="E102" s="2"/>
    </row>
    <row r="103">
      <c r="A103" s="97"/>
      <c r="B103" s="276" t="s">
        <v>196</v>
      </c>
      <c r="C103" s="25">
        <f>Inputs!C105</f>
        <v>1</v>
      </c>
      <c r="D103" s="25">
        <f>Inputs!D105</f>
        <v>0</v>
      </c>
      <c r="E103" s="2"/>
      <c r="Q103" s="326">
        <f>264000/1.1957</f>
        <v>220791.1684</v>
      </c>
    </row>
    <row r="104">
      <c r="A104" s="97"/>
      <c r="B104" s="276" t="s">
        <v>197</v>
      </c>
      <c r="C104" s="25">
        <f>Inputs!C106</f>
        <v>1</v>
      </c>
      <c r="D104" s="78"/>
    </row>
    <row r="105">
      <c r="A105" s="97"/>
      <c r="B105" s="276" t="s">
        <v>199</v>
      </c>
      <c r="C105" s="25">
        <f>Inputs!C107</f>
        <v>1</v>
      </c>
      <c r="D105" s="25">
        <f>Inputs!D107</f>
        <v>5</v>
      </c>
    </row>
    <row r="106">
      <c r="A106" s="97"/>
      <c r="B106" s="276" t="s">
        <v>201</v>
      </c>
      <c r="C106" s="25">
        <f>Inputs!C108</f>
        <v>1</v>
      </c>
      <c r="D106" s="78"/>
      <c r="E106" s="2"/>
    </row>
    <row r="107">
      <c r="A107" s="97"/>
      <c r="B107" s="276" t="s">
        <v>202</v>
      </c>
      <c r="C107" s="25">
        <f>Inputs!C109</f>
        <v>1</v>
      </c>
      <c r="D107" s="78"/>
    </row>
    <row r="108">
      <c r="A108" s="329" t="s">
        <v>152</v>
      </c>
      <c r="B108" s="276" t="s">
        <v>203</v>
      </c>
      <c r="C108" s="25">
        <f>Inputs!C110</f>
        <v>1</v>
      </c>
      <c r="D108" s="78"/>
    </row>
    <row r="109">
      <c r="A109" s="97"/>
      <c r="B109" s="276" t="s">
        <v>204</v>
      </c>
      <c r="C109" s="25">
        <f>Inputs!C111</f>
        <v>1</v>
      </c>
      <c r="D109" s="78"/>
      <c r="E109" s="2"/>
    </row>
    <row r="110">
      <c r="A110" s="97"/>
      <c r="B110" s="276" t="s">
        <v>205</v>
      </c>
      <c r="C110" s="25">
        <f>Inputs!C112</f>
        <v>1</v>
      </c>
      <c r="D110" s="78"/>
      <c r="E110" s="2"/>
    </row>
    <row r="111">
      <c r="A111" s="97"/>
      <c r="B111" s="276" t="s">
        <v>207</v>
      </c>
      <c r="C111" s="25">
        <f>Inputs!C113</f>
        <v>1</v>
      </c>
      <c r="D111" s="78"/>
      <c r="E111" s="2"/>
    </row>
    <row r="112">
      <c r="A112" s="97"/>
      <c r="B112" s="276" t="s">
        <v>208</v>
      </c>
      <c r="C112" s="25">
        <f>Inputs!C114</f>
        <v>0</v>
      </c>
      <c r="D112" s="78"/>
    </row>
    <row r="113">
      <c r="A113" s="329" t="s">
        <v>156</v>
      </c>
      <c r="B113" s="276" t="s">
        <v>209</v>
      </c>
      <c r="C113" s="25">
        <f>Inputs!C115</f>
        <v>0</v>
      </c>
      <c r="D113" s="78"/>
    </row>
    <row r="114">
      <c r="A114" s="97"/>
      <c r="B114" s="276" t="s">
        <v>211</v>
      </c>
      <c r="C114" s="25">
        <f>Inputs!C116</f>
        <v>0</v>
      </c>
      <c r="D114" s="78"/>
      <c r="E114" s="2"/>
    </row>
    <row r="115">
      <c r="A115" s="97"/>
      <c r="B115" s="276" t="s">
        <v>212</v>
      </c>
      <c r="C115" s="25">
        <f>Inputs!C117</f>
        <v>1</v>
      </c>
      <c r="D115" s="78"/>
    </row>
    <row r="116">
      <c r="A116" s="97"/>
      <c r="B116" s="276" t="s">
        <v>213</v>
      </c>
      <c r="C116" s="25">
        <f>Inputs!C118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0.04815072497</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0.004911747478</v>
      </c>
    </row>
    <row r="117">
      <c r="A117" s="97"/>
      <c r="B117" s="276" t="s">
        <v>214</v>
      </c>
      <c r="C117" s="25">
        <f>Inputs!C119</f>
        <v>1</v>
      </c>
      <c r="D117" s="25">
        <f>Inputs!D119</f>
        <v>0.8</v>
      </c>
    </row>
    <row r="118">
      <c r="A118" s="329" t="s">
        <v>162</v>
      </c>
      <c r="B118" s="276" t="s">
        <v>215</v>
      </c>
      <c r="C118" s="25">
        <f>Inputs!C120</f>
        <v>0</v>
      </c>
      <c r="D118" s="78"/>
    </row>
    <row r="119">
      <c r="A119" s="97"/>
      <c r="B119" s="276" t="s">
        <v>216</v>
      </c>
      <c r="C119" s="25">
        <f>Inputs!C121</f>
        <v>1</v>
      </c>
      <c r="D119" s="78"/>
    </row>
    <row r="120">
      <c r="A120" s="97"/>
      <c r="B120" s="276" t="s">
        <v>217</v>
      </c>
      <c r="C120" s="25">
        <f>Inputs!C122</f>
        <v>1</v>
      </c>
      <c r="D120" s="25">
        <f>Inputs!D122</f>
        <v>0.4</v>
      </c>
      <c r="E120" s="2"/>
    </row>
    <row r="121">
      <c r="A121" s="97"/>
      <c r="B121" s="276" t="s">
        <v>218</v>
      </c>
      <c r="C121" s="25">
        <f>Inputs!C123</f>
        <v>0</v>
      </c>
      <c r="D121" s="25">
        <f>Inputs!D123</f>
        <v>1</v>
      </c>
    </row>
    <row r="122">
      <c r="A122" s="97"/>
      <c r="B122" s="276" t="s">
        <v>219</v>
      </c>
      <c r="C122" s="25">
        <f>Inputs!C124</f>
        <v>1</v>
      </c>
      <c r="D122" s="78"/>
    </row>
    <row r="123">
      <c r="A123" s="329" t="s">
        <v>168</v>
      </c>
      <c r="B123" s="276" t="s">
        <v>220</v>
      </c>
      <c r="C123" s="25">
        <f>Inputs!C125</f>
        <v>0</v>
      </c>
      <c r="D123" s="78"/>
    </row>
    <row r="124">
      <c r="A124" s="97"/>
      <c r="B124" s="276" t="s">
        <v>221</v>
      </c>
      <c r="C124" s="25">
        <f>Inputs!C126</f>
        <v>1</v>
      </c>
      <c r="D124" s="78"/>
      <c r="E124" s="2"/>
    </row>
    <row r="125">
      <c r="A125" s="97"/>
      <c r="B125" s="276" t="s">
        <v>222</v>
      </c>
      <c r="C125" s="25">
        <f>Inputs!C127</f>
        <v>0</v>
      </c>
      <c r="D125" s="78"/>
    </row>
    <row r="126">
      <c r="A126" s="97"/>
      <c r="B126" s="276" t="s">
        <v>223</v>
      </c>
      <c r="C126" s="25">
        <f>Inputs!C128</f>
        <v>1</v>
      </c>
      <c r="D126" s="78"/>
      <c r="E126" s="2"/>
    </row>
    <row r="127">
      <c r="A127" s="329" t="s">
        <v>224</v>
      </c>
      <c r="B127" s="276" t="s">
        <v>225</v>
      </c>
      <c r="C127" s="25">
        <f>Inputs!C129</f>
        <v>4</v>
      </c>
      <c r="D127" s="78"/>
      <c r="E127" s="309">
        <f>T38*(8+C110*4)*(1+C110)+IF(C127&gt;3,1,0)*8*0.125*(T40+T43+T51+T57+T63)</f>
        <v>0.8266697022</v>
      </c>
      <c r="F127" s="309">
        <f>IF(C127=4,(1-(1-(1-(1-(T38*(8+C110*4)))*(1-IF(C127&gt;3,1,0)*(1-0.875^(8*(T40+T43-T46+MIN(($L$9+SUM(Z19:Z36,Z38:Z50)+SUM(Z52:Z76))/(-N51),MAX((1-SUM(U18:U24,U26:U41,U43:U50,U52:U76)+SUM(AA19:AA24,AA26:AA41,AA43:AA50,AA52:AA76)/O42*Q42)/Q51*(-O42/(O51-O42)),0))+2*T57+2*T63)))))))/(3+(2/(L13+0.3)-1+IF(C152=1,0.5,0))/C152),IF(C127&gt;0,1,0)*(1-(1-(T38*(8+C110*4))))/(3+(2/(L13+0.3)-1+IF(C152=1,0.5,0))/C152))</f>
        <v>0.1403144756</v>
      </c>
    </row>
    <row r="128">
      <c r="A128" s="2"/>
      <c r="B128" s="2"/>
      <c r="C128" s="2"/>
      <c r="D128" s="2"/>
      <c r="E128" s="2"/>
    </row>
    <row r="129">
      <c r="A129" s="2"/>
      <c r="B129" s="321" t="s">
        <v>229</v>
      </c>
      <c r="C129" s="2"/>
      <c r="D129" s="2"/>
      <c r="E129" s="2"/>
    </row>
    <row r="130">
      <c r="A130" s="2"/>
      <c r="B130" s="339" t="s">
        <v>231</v>
      </c>
      <c r="C130" s="25">
        <f>Inputs!C132</f>
        <v>0</v>
      </c>
      <c r="D130" s="264">
        <f>Inputs!D132</f>
        <v>0.6</v>
      </c>
      <c r="E130" s="2"/>
    </row>
    <row r="131">
      <c r="A131" s="2"/>
      <c r="B131" s="339" t="s">
        <v>233</v>
      </c>
      <c r="C131" s="25">
        <f>Inputs!C133</f>
        <v>1</v>
      </c>
      <c r="D131" s="264">
        <f>Inputs!D133</f>
        <v>0.85</v>
      </c>
      <c r="E131" s="2"/>
    </row>
    <row r="132">
      <c r="A132" s="2"/>
      <c r="B132" s="2"/>
      <c r="C132" s="2"/>
      <c r="D132" s="2"/>
      <c r="E132" s="2"/>
    </row>
    <row r="133">
      <c r="A133" s="2"/>
      <c r="B133" s="340" t="s">
        <v>234</v>
      </c>
      <c r="C133" s="341"/>
      <c r="D133" s="342" t="s">
        <v>235</v>
      </c>
      <c r="E133" s="342"/>
      <c r="G133" s="340" t="s">
        <v>355</v>
      </c>
      <c r="J133" s="340" t="s">
        <v>356</v>
      </c>
    </row>
    <row r="134">
      <c r="A134" s="2"/>
      <c r="B134" s="343" t="s">
        <v>236</v>
      </c>
      <c r="C134" s="150"/>
      <c r="D134" s="339" t="s">
        <v>237</v>
      </c>
      <c r="E134" s="150"/>
      <c r="G134" s="343" t="s">
        <v>357</v>
      </c>
      <c r="H134" s="311">
        <f>MIN(40,1+12*(2*(1+H8)*T25+T26+1/3*(2)*(1/(1-0.15*C107))+T35*2+T40*(11+2*C107)+T42*(2*C136)*(1+C136*H8)+T43+T38*2*(2*(1+H8))+T38*2*(2*(1+H8))+T62*(2*C136)*(1+C136*H8)+2*(2/12+(1+H8)/12)))</f>
        <v>40</v>
      </c>
      <c r="J134" s="343" t="s">
        <v>358</v>
      </c>
      <c r="K134" s="282">
        <f>C131*7*(1+2*T38*(8+C110*4))*D131</f>
        <v>7.522687225</v>
      </c>
    </row>
    <row r="135">
      <c r="A135" s="2"/>
      <c r="B135" s="343" t="s">
        <v>238</v>
      </c>
      <c r="C135" s="25">
        <f>Inputs!C137</f>
        <v>1</v>
      </c>
      <c r="D135" s="339" t="s">
        <v>239</v>
      </c>
      <c r="E135" s="150"/>
      <c r="G135" s="343" t="s">
        <v>359</v>
      </c>
      <c r="H135" s="312">
        <f>1+C130*(0.05*15+0.05*17*H8)*T75</f>
        <v>1</v>
      </c>
    </row>
    <row r="136">
      <c r="A136" s="2"/>
      <c r="B136" s="343" t="s">
        <v>240</v>
      </c>
      <c r="C136" s="25">
        <f>Inputs!C138</f>
        <v>1</v>
      </c>
      <c r="D136" s="339" t="s">
        <v>241</v>
      </c>
      <c r="E136" s="25">
        <f>Inputs!E138</f>
        <v>1</v>
      </c>
    </row>
    <row r="137">
      <c r="A137" s="2"/>
      <c r="B137" s="343" t="s">
        <v>242</v>
      </c>
      <c r="C137" s="25">
        <f>Inputs!C139</f>
        <v>0</v>
      </c>
      <c r="D137" s="339" t="s">
        <v>243</v>
      </c>
      <c r="E137" s="25">
        <f>Inputs!E139</f>
        <v>0</v>
      </c>
    </row>
    <row r="138">
      <c r="A138" s="2"/>
      <c r="B138" s="343" t="s">
        <v>244</v>
      </c>
      <c r="C138" s="25">
        <f>Inputs!C140</f>
        <v>1</v>
      </c>
      <c r="D138" s="339" t="s">
        <v>245</v>
      </c>
      <c r="E138" s="25">
        <f>Inputs!E140</f>
        <v>0</v>
      </c>
    </row>
    <row r="139">
      <c r="A139" s="2"/>
      <c r="B139" s="343" t="s">
        <v>246</v>
      </c>
      <c r="C139" s="150"/>
      <c r="D139" s="339" t="s">
        <v>247</v>
      </c>
      <c r="E139" s="25">
        <f>Inputs!E141</f>
        <v>1</v>
      </c>
    </row>
    <row r="140">
      <c r="A140" s="2"/>
      <c r="B140" s="2"/>
      <c r="C140" s="2"/>
      <c r="D140" s="339" t="s">
        <v>248</v>
      </c>
      <c r="E140" s="25">
        <f>Inputs!E142</f>
        <v>0</v>
      </c>
    </row>
    <row r="141">
      <c r="A141" s="2"/>
      <c r="B141" s="2"/>
      <c r="C141" s="2"/>
      <c r="D141" s="339" t="s">
        <v>249</v>
      </c>
      <c r="E141" s="25">
        <f>Inputs!E143</f>
        <v>1</v>
      </c>
    </row>
    <row r="142">
      <c r="A142" s="2"/>
      <c r="B142" s="2"/>
      <c r="C142" s="2"/>
      <c r="D142" s="2"/>
      <c r="E142" s="2"/>
    </row>
    <row r="143">
      <c r="A143" s="2"/>
      <c r="B143" s="294" t="s">
        <v>250</v>
      </c>
      <c r="C143" s="2"/>
      <c r="D143" s="2"/>
      <c r="E143" s="2"/>
    </row>
    <row r="144">
      <c r="A144" s="2"/>
      <c r="B144" s="281" t="s">
        <v>251</v>
      </c>
      <c r="C144" s="313">
        <f>Inputs!C146</f>
        <v>0.2</v>
      </c>
      <c r="D144" s="2"/>
      <c r="E144" s="2"/>
    </row>
    <row r="145">
      <c r="A145" s="2"/>
      <c r="B145" s="276" t="s">
        <v>252</v>
      </c>
      <c r="C145" s="25">
        <f>Inputs!C147</f>
        <v>400000</v>
      </c>
      <c r="D145" s="2"/>
      <c r="E145" s="2"/>
    </row>
    <row r="146">
      <c r="A146" s="2"/>
      <c r="B146" s="281" t="s">
        <v>254</v>
      </c>
      <c r="C146" s="313">
        <f>Inputs!C148</f>
        <v>0.2</v>
      </c>
      <c r="D146" s="2"/>
      <c r="E146" s="2"/>
    </row>
    <row r="147">
      <c r="A147" s="2"/>
      <c r="B147" s="281" t="s">
        <v>257</v>
      </c>
      <c r="C147" s="313">
        <f>Inputs!C149</f>
        <v>0</v>
      </c>
      <c r="D147" s="2"/>
      <c r="E147" s="2"/>
    </row>
    <row r="148">
      <c r="A148" s="2"/>
      <c r="B148" s="281" t="s">
        <v>258</v>
      </c>
      <c r="C148" s="313">
        <f>Inputs!C150</f>
        <v>0</v>
      </c>
      <c r="D148" s="2"/>
      <c r="E148" s="2"/>
    </row>
    <row r="149">
      <c r="A149" s="2"/>
      <c r="B149" s="281" t="s">
        <v>259</v>
      </c>
      <c r="C149" s="313">
        <f>Inputs!C151</f>
        <v>1</v>
      </c>
      <c r="D149" s="2"/>
      <c r="E149" s="2"/>
    </row>
    <row r="150">
      <c r="A150" s="2"/>
      <c r="B150" s="276" t="s">
        <v>260</v>
      </c>
      <c r="C150" s="313">
        <f>Inputs!C152</f>
        <v>0.4</v>
      </c>
      <c r="D150" s="2"/>
      <c r="E150" s="2"/>
    </row>
    <row r="151">
      <c r="A151" s="2"/>
      <c r="B151" s="276" t="s">
        <v>261</v>
      </c>
      <c r="C151" s="174">
        <f>Inputs!C153</f>
        <v>0.8</v>
      </c>
      <c r="D151" s="2"/>
      <c r="E151" s="2"/>
    </row>
    <row r="152">
      <c r="A152" s="2"/>
      <c r="B152" s="281" t="s">
        <v>262</v>
      </c>
      <c r="C152" s="25">
        <f>Inputs!C154</f>
        <v>5</v>
      </c>
      <c r="D152" s="2"/>
      <c r="E152" s="2"/>
      <c r="F152" s="2"/>
    </row>
    <row r="153">
      <c r="A153" s="2"/>
      <c r="B153" s="276" t="s">
        <v>263</v>
      </c>
      <c r="C153" s="25">
        <f>Inputs!C155</f>
        <v>90</v>
      </c>
      <c r="D153" s="2"/>
      <c r="E153" s="2"/>
      <c r="F153" s="2"/>
    </row>
    <row r="154">
      <c r="A154" s="2"/>
      <c r="B154" s="281" t="s">
        <v>265</v>
      </c>
      <c r="C154" s="174">
        <f>Inputs!C156</f>
        <v>3966.55</v>
      </c>
      <c r="D154" s="2"/>
      <c r="E154" s="2"/>
      <c r="F154" s="2"/>
    </row>
    <row r="155">
      <c r="A155" s="2"/>
      <c r="D155" s="2"/>
      <c r="E155" s="2"/>
      <c r="F155" s="2"/>
    </row>
    <row r="156">
      <c r="B156" s="344" t="s">
        <v>267</v>
      </c>
      <c r="C156" s="345" t="s">
        <v>268</v>
      </c>
      <c r="D156" s="2"/>
      <c r="E156" s="2"/>
      <c r="F156" s="2"/>
    </row>
    <row r="157">
      <c r="B157" s="346" t="s">
        <v>269</v>
      </c>
      <c r="C157" s="25">
        <f>Inputs!C159</f>
        <v>1</v>
      </c>
      <c r="D157" s="309">
        <f>C157*(0.025+0.1*T42)</f>
        <v>0.06513508855</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0.006631535745</v>
      </c>
      <c r="F157" s="2"/>
    </row>
    <row r="158">
      <c r="B158" s="346" t="s">
        <v>271</v>
      </c>
      <c r="C158" s="25">
        <f>Inputs!C160</f>
        <v>1</v>
      </c>
      <c r="D158" s="2"/>
      <c r="E158" s="2"/>
      <c r="F158" s="2"/>
      <c r="G158" s="2"/>
      <c r="H158" s="2"/>
    </row>
    <row r="159">
      <c r="D159" s="2"/>
      <c r="E159" s="2"/>
      <c r="F159" s="2"/>
      <c r="G159" s="2"/>
      <c r="H159" s="2"/>
    </row>
    <row r="160">
      <c r="B160" s="296" t="s">
        <v>274</v>
      </c>
      <c r="C160" s="2"/>
      <c r="D160" s="2"/>
      <c r="E160" s="2"/>
      <c r="F160" s="2"/>
      <c r="G160" s="2"/>
      <c r="H160" s="2"/>
    </row>
    <row r="161">
      <c r="B161" s="281" t="s">
        <v>275</v>
      </c>
      <c r="C161" s="347"/>
      <c r="D161" s="1"/>
      <c r="E161" s="1"/>
      <c r="F161" s="2"/>
      <c r="G161" s="2"/>
      <c r="H161" s="2"/>
    </row>
    <row r="162">
      <c r="B162" s="281" t="s">
        <v>276</v>
      </c>
      <c r="C162" s="173"/>
      <c r="D162" s="2"/>
      <c r="E162" s="1"/>
      <c r="F162" s="2"/>
      <c r="G162" s="2"/>
      <c r="H162" s="2"/>
    </row>
    <row r="163">
      <c r="B163" s="281" t="s">
        <v>361</v>
      </c>
      <c r="C163" s="315"/>
      <c r="D163" s="2"/>
      <c r="E163" s="2"/>
      <c r="F163" s="2"/>
      <c r="G163" s="2"/>
      <c r="H163" s="2"/>
    </row>
    <row r="164">
      <c r="B164" s="281" t="s">
        <v>362</v>
      </c>
      <c r="C164" s="235"/>
      <c r="D164" s="2"/>
      <c r="E164" s="2"/>
      <c r="G164" s="2"/>
      <c r="H164" s="2"/>
    </row>
    <row r="165">
      <c r="B165" s="281" t="s">
        <v>278</v>
      </c>
      <c r="C165" s="316"/>
      <c r="G165" s="2"/>
      <c r="H165" s="2"/>
    </row>
    <row r="166">
      <c r="B166" s="281" t="s">
        <v>280</v>
      </c>
      <c r="C166" s="27"/>
      <c r="G166" s="2"/>
      <c r="H166" s="2"/>
    </row>
    <row r="167">
      <c r="B167" s="281" t="s">
        <v>363</v>
      </c>
      <c r="C167" s="317"/>
      <c r="G167" s="2"/>
      <c r="H167" s="2"/>
    </row>
    <row r="168">
      <c r="B168" s="281" t="s">
        <v>364</v>
      </c>
      <c r="C168" s="236"/>
      <c r="D168" s="202"/>
      <c r="G168" s="2"/>
      <c r="H168" s="2"/>
    </row>
    <row r="169">
      <c r="B169" s="318"/>
      <c r="C169" s="202"/>
      <c r="D169" s="202"/>
      <c r="G169" s="2"/>
      <c r="H169" s="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row r="196">
      <c r="N196" s="4" t="s">
        <v>366</v>
      </c>
      <c r="O196" s="4">
        <v>3.0</v>
      </c>
      <c r="P196" s="326">
        <f>SUM(P167:Q167)</f>
        <v>0</v>
      </c>
    </row>
    <row r="197">
      <c r="O197" s="4">
        <v>4.0</v>
      </c>
      <c r="P197" s="326">
        <f>SUM(P167:Q167)</f>
        <v>0</v>
      </c>
    </row>
    <row r="198">
      <c r="O198" s="4">
        <v>5.0</v>
      </c>
      <c r="P198" s="326">
        <f>SUM(P167:Q167)</f>
        <v>0</v>
      </c>
    </row>
    <row r="199">
      <c r="O199" s="4">
        <v>6.0</v>
      </c>
      <c r="P199" s="326">
        <f>SUM(P167:X167)</f>
        <v>0</v>
      </c>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17.75"/>
    <col customWidth="1" min="9" max="9" width="23.25"/>
    <col customWidth="1" min="10" max="10" width="17.88"/>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2.5"/>
    <col customWidth="1" min="19" max="19" width="15.25"/>
    <col customWidth="1" min="20" max="20" width="15.88"/>
    <col customWidth="1" min="21" max="21" width="12.38"/>
    <col customWidth="1" min="22" max="22" width="11.75"/>
    <col customWidth="1" min="23" max="23" width="19.25"/>
    <col customWidth="1" min="24" max="24" width="19.13"/>
    <col customWidth="1" min="25" max="25" width="11.25"/>
    <col customWidth="1" min="26" max="26" width="15.0"/>
    <col customWidth="1" min="27" max="27" width="19.63"/>
    <col customWidth="1" min="28" max="28" width="19.13"/>
  </cols>
  <sheetData>
    <row r="2">
      <c r="B2" s="266" t="s">
        <v>365</v>
      </c>
    </row>
    <row r="4">
      <c r="B4" s="267" t="s">
        <v>1</v>
      </c>
      <c r="C4" s="268" t="s">
        <v>3</v>
      </c>
      <c r="D4" s="269" t="s">
        <v>5</v>
      </c>
      <c r="E4" s="269" t="s">
        <v>7</v>
      </c>
      <c r="G4" s="267" t="s">
        <v>9</v>
      </c>
      <c r="J4" s="229"/>
      <c r="N4" s="270" t="s">
        <v>10</v>
      </c>
    </row>
    <row r="5">
      <c r="B5" s="271" t="s">
        <v>12</v>
      </c>
      <c r="C5" s="231">
        <f>H5*(1+C21*0.05*(1+0.2*C63))</f>
        <v>3852</v>
      </c>
      <c r="D5" s="27"/>
      <c r="E5" s="27"/>
      <c r="G5" s="271" t="s">
        <v>21</v>
      </c>
      <c r="H5" s="277">
        <f>Baseline!H5</f>
        <v>3852</v>
      </c>
      <c r="I5" s="272" t="s">
        <v>31</v>
      </c>
      <c r="J5" s="49">
        <f>(C5*1.45+((J6*(1+E116)*(1+D157)*1.8)+IF(E28=3,1,0)*1.13*(1-exp(-1*$J$9*12/60))*($J$6*(1+E116)*(1+D157)*0.02*$J$10)))*(1+0.06*C75)</f>
        <v>12077.94396</v>
      </c>
      <c r="K5" s="272" t="s">
        <v>41</v>
      </c>
      <c r="L5" s="52">
        <f>(J5 / (J5 + C154))</f>
        <v>0.7527781176</v>
      </c>
      <c r="N5" s="273" t="s">
        <v>46</v>
      </c>
      <c r="O5" s="274" t="s">
        <v>47</v>
      </c>
      <c r="P5" s="274" t="s">
        <v>49</v>
      </c>
      <c r="Q5" s="275" t="s">
        <v>325</v>
      </c>
      <c r="R5" s="275" t="s">
        <v>53</v>
      </c>
      <c r="S5" s="275" t="s">
        <v>326</v>
      </c>
      <c r="T5" s="274" t="s">
        <v>56</v>
      </c>
      <c r="U5" s="275" t="s">
        <v>57</v>
      </c>
      <c r="V5" s="276" t="s">
        <v>59</v>
      </c>
      <c r="W5" s="269" t="s">
        <v>60</v>
      </c>
      <c r="X5" s="268" t="s">
        <v>63</v>
      </c>
    </row>
    <row r="6">
      <c r="B6" s="271" t="s">
        <v>36</v>
      </c>
      <c r="C6" s="231">
        <f>(H6+C34*33)*(1+C21*0.05*(1+0.2*C63))</f>
        <v>2672</v>
      </c>
      <c r="D6" s="27"/>
      <c r="E6" s="27"/>
      <c r="G6" s="271" t="s">
        <v>65</v>
      </c>
      <c r="H6" s="277">
        <f>Baseline!H6</f>
        <v>2672</v>
      </c>
      <c r="I6" s="271" t="s">
        <v>67</v>
      </c>
      <c r="J6" s="52">
        <f>(C6+E32*252*8/120+E34*50)*(1+B21*1.13*(1-exp(-3*J9*15/60))*0.15*(1+0.2*C63))*(1+0.03*C77*(1-(0.85)^(8*L9)))*(1+0.1*12*(1/S40)*C131*(1-IF(OR(D100=1,AND(C152&lt;4,C131=1)),0,1)*IF(D100=2,1-(1-(0.75)^((5+(H15/2))/H15))/(1+3*(1-(0.75)^((5+(H15/2))/H15))*C82),1)*IF(NOT(OR(OR(D100=1,AND(C152&lt;4,C131=1)),D100=2)),1-(1-(0.75)^((4+(H15/2))/H15)),1)))*(1+0.1*T69*8*IF(C152=1,1,0))</f>
        <v>2890.654188</v>
      </c>
      <c r="K6" s="271" t="s">
        <v>82</v>
      </c>
      <c r="L6" s="84">
        <f>(J6-622)/19130</f>
        <v>0.1185914369</v>
      </c>
      <c r="N6" s="276" t="s">
        <v>87</v>
      </c>
      <c r="O6" s="250">
        <f>Baseline!O6</f>
        <v>3608042.253</v>
      </c>
      <c r="P6" s="94">
        <f>(O6-E26*C152/2*C7*0.0003*30)*(1-$L$14)*(1-$L$5)*$L$10*(1-0.01*E32)*(1-0.2/C152*C74)*(1-C51*0.12/C152*1.13*(1-exp(-3*6/60*55/120)))*(1-$C$135*$C$130*$D$130*0.075)*(1-$C$131*E136*10/S40*0.08)*(1-F116)*(1-E157)*(1-IF(C127&gt;1,1)*0.06*E127)*(1-(0.04*10*(1/S40)*C100*(1-IF(OR(D100=1,AND(C152&lt;4,C131=1)),0,1)*IF(D100=2,1-(1-(0.75)^((5+(H15/2))/H15))/(1+3*(1-(0.75)^((5+(H15/2))/H15))*C82),1)*IF(NOT(OR(OR(D100=1,AND(C152&lt;4,C131=1)),D100=2)),1-(1-(0.75)^((4+(H15/2))/H15)),1))))*(1-C120*0.025)</f>
        <v>428388.0441</v>
      </c>
      <c r="Q6" s="99">
        <f>P6*(1-((1-(1-(T38*(8+C110*4)))*(1-IF(C127&gt;3,1,0)*(1-0.875^(8*(T40+T43+T51+T57+T63)))))*MIN(0.3/(1-$L$14),1)))</f>
        <v>328767.1233</v>
      </c>
      <c r="R6" s="94">
        <f>Q6*(1-($T$52*8)*(0.3+0.1*$E$139))</f>
        <v>320000</v>
      </c>
      <c r="S6" s="102">
        <f t="shared" ref="S6:S7" si="1">R6*(1-($T$70*8)*0.1)*(1-($T$26*8)*0.1)</f>
        <v>320000</v>
      </c>
      <c r="T6" s="94">
        <f t="shared" ref="T6:T9" si="2">S6</f>
        <v>320000</v>
      </c>
      <c r="U6" s="107"/>
      <c r="V6" s="27"/>
      <c r="W6" s="27"/>
      <c r="X6" s="27"/>
    </row>
    <row r="7">
      <c r="B7" s="271" t="s">
        <v>40</v>
      </c>
      <c r="C7" s="231">
        <f>(H7+C26*99)*(1+C21*0.05*(1+0.2*C63))*1.05*(1+0.2*C55)*(1.4)</f>
        <v>77214.64</v>
      </c>
      <c r="D7" s="27"/>
      <c r="E7" s="27"/>
      <c r="G7" s="271" t="s">
        <v>121</v>
      </c>
      <c r="H7" s="36">
        <f>Baseline!H7+10</f>
        <v>43772.47166</v>
      </c>
      <c r="I7" s="280" t="s">
        <v>124</v>
      </c>
      <c r="J7" s="109">
        <f>C7*20</f>
        <v>1544292.8</v>
      </c>
      <c r="K7" s="280" t="s">
        <v>127</v>
      </c>
      <c r="L7" s="111">
        <f>(J7+IF(E28=3,1,0)*1.13*(1-exp(-1*$J$9*12/60))*($J$6*1.3*$J$10))*(1+0.01*C97*(D97+2*C104))</f>
        <v>1683279.152</v>
      </c>
      <c r="N7" s="281" t="s">
        <v>131</v>
      </c>
      <c r="O7" s="250">
        <f>Baseline!O7</f>
        <v>0</v>
      </c>
      <c r="P7" s="94">
        <f>O7*$J$13*(1-$L$5)*$L$10*(1-0.01*E32)*(1-C51*0.12/C152*1.13*(1-exp(-3*6/60*55/120)))*(1-$C$135*$C$130*$D$130*0.075)*(1-$C$131*E136*10/S40*0.08)*(1-IF(C127&gt;1,1)*0.06*E127)*(1-(0.04*10*(1/S40)*C100*(1-IF(OR(D100=1,AND(C152&lt;4,C131=1)),0,1)*IF(D100=2,1-(1-(0.75)^((5+(H15/2))/H15))/(1+3*(1-(0.75)^((5+(H15/2))/H15))*C82),1)*IF(NOT(OR(OR(D100=1,AND(C152&lt;4,C131=1)),D100=2)),1-(1-(0.75)^((4+(H15/2))/H15)),1))))*(1-C120*0.025)</f>
        <v>0</v>
      </c>
      <c r="Q7" s="27"/>
      <c r="R7" s="94">
        <f t="shared" ref="R7:R9" si="3">P7*(1-($T$52*8)*(0.3+0.1*$E$139))</f>
        <v>0</v>
      </c>
      <c r="S7" s="102">
        <f t="shared" si="1"/>
        <v>0</v>
      </c>
      <c r="T7" s="94">
        <f t="shared" si="2"/>
        <v>0</v>
      </c>
      <c r="U7" s="107"/>
      <c r="V7" s="27"/>
      <c r="W7" s="27"/>
      <c r="X7" s="27"/>
    </row>
    <row r="8">
      <c r="B8" s="271" t="s">
        <v>44</v>
      </c>
      <c r="C8" s="25">
        <f>Inputs!C10</f>
        <v>778.5</v>
      </c>
      <c r="D8" s="282">
        <f>(C8+225*15/2/120*IF(1&lt;(IF(C8&gt;C9,1,0)+IF(C8&gt;C10,1,0)+IF(C8&gt;C11,1,0)),E27,0))*(1+0.02*C30)/(1+0.02*Baseline!C30)</f>
        <v>778.5</v>
      </c>
      <c r="E8" s="282">
        <f>IF(D8&lt;=1380,D8,IF(D8&lt;=1840,1380+0.9*(D8-1380),IF(D8&lt;=2300,1794+0.8*(D8-1840),IF(D8&lt;=2760,2162+0.7*(D8-2300),IF(D8&lt;=3680,2484+0.6*(D8-2760),IF(D8&lt;=9200,3036+0.5*(D8-3680),5796))))))</f>
        <v>778.5</v>
      </c>
      <c r="F8" s="4"/>
      <c r="G8" s="271" t="s">
        <v>159</v>
      </c>
      <c r="H8" s="118">
        <f>E8/4600+0.05+(C28+C32+C35)*0.01+IF(E28=4,1,0)*1.13*(1-exp(-1*$J$9*12/60))*0.04</f>
        <v>0.2192391304</v>
      </c>
      <c r="I8" s="271" t="s">
        <v>164</v>
      </c>
      <c r="J8" s="119">
        <f>1+H8*(1+2*0.02*(C26+C31))</f>
        <v>1.21923913</v>
      </c>
      <c r="K8" s="271" t="s">
        <v>167</v>
      </c>
      <c r="L8" s="84">
        <f>E8/5200/(1+0.02*C30)</f>
        <v>0.1497115385</v>
      </c>
      <c r="N8" s="276" t="s">
        <v>170</v>
      </c>
      <c r="O8" s="250">
        <f>Baseline!O8</f>
        <v>112528.835</v>
      </c>
      <c r="P8" s="94">
        <f>O8*$L$10*(1-C51*0.12/C152*1.13*(1-exp(-3*6/60*55/120)))*(1-$C$135*$C$130*$D$130*0.075)*(1-0.08*$C$80)*(1-IF(C127&gt;1,1)*0.06*E127)*(1-(0.04*10*(1/S40)*C100*(1-IF(OR(D100=1,AND(C152&lt;4,C131=1)),0,1)*IF(D100=2,1-(1-(0.75)^((5+(H15/2))/H15))/(1+3*(1-(0.75)^((5+(H15/2))/H15))*C82),1)*IF(NOT(OR(OR(D100=1,AND(C152&lt;4,C131=1)),D100=2)),1-(1-(0.75)^((4+(H15/2))/H15)),1))))*(1-C120*0.025)</f>
        <v>82191.78082</v>
      </c>
      <c r="Q8" s="27"/>
      <c r="R8" s="94">
        <f t="shared" si="3"/>
        <v>80000</v>
      </c>
      <c r="S8" s="102">
        <f t="shared" ref="S8:S9" si="4">R8*(1-($T$26*8)*0.1)</f>
        <v>80000</v>
      </c>
      <c r="T8" s="94">
        <f t="shared" si="2"/>
        <v>80000</v>
      </c>
      <c r="U8" s="94">
        <f>T8*(T20*(6+2*C67))*0.15</f>
        <v>0</v>
      </c>
      <c r="V8" s="99">
        <f>IF(T8-U8-$T$19*(($L$7*0.3*$J$10*(1+0.4*$C$68)*(1+0.15*$C$46)))&gt;0,$T$19*($L$7*0.3*$J$10*(1+0.4*$C$68)*(1+0.15*$C$46)),T8-U8)</f>
        <v>11768.35629</v>
      </c>
      <c r="W8" s="27"/>
      <c r="X8" s="27"/>
    </row>
    <row r="9">
      <c r="B9" s="271" t="s">
        <v>50</v>
      </c>
      <c r="C9" s="25">
        <f>Inputs!C11</f>
        <v>1053.5</v>
      </c>
      <c r="D9" s="282">
        <f>(C9+225*15/2/120*IF(1&lt;(IF(C9&gt;C8,1,0)+IF(C9&gt;C10,1,0)+IF(C9&gt;C11,1,0)),E27,0))*(1+0.02*C30)/(1+0.02*Baseline!C30)</f>
        <v>1053.5</v>
      </c>
      <c r="E9" s="282">
        <f>IF(D9&lt;=1320,D9,IF(D9&lt;=1760,1320+0.9*(D9-1320),IF(D9&lt;=2200,1716+0.8*(D9-1760),IF(D9&lt;=2640,2068+0.7*(D9-2200),IF(D9&lt;=3520,2376+0.6*(D9-2640),IF(D9&lt;=8800,2904+0.5*(D9-3520),5544))))))</f>
        <v>1053.5</v>
      </c>
      <c r="F9" s="4"/>
      <c r="G9" s="271" t="s">
        <v>192</v>
      </c>
      <c r="H9" s="118">
        <f>(1+(C29+C33)*0.01)*E9/4400+(C29+C33)*0.01</f>
        <v>0.2394318182</v>
      </c>
      <c r="I9" s="271" t="s">
        <v>194</v>
      </c>
      <c r="J9" s="132">
        <f>(1+H9)*(1+C27*0.15/18)*(1+0.1*C104)*(1+0.02*C49)*(1+0.01*K134)</f>
        <v>1.524574934</v>
      </c>
      <c r="K9" s="283" t="s">
        <v>198</v>
      </c>
      <c r="L9" s="133">
        <f>3/10*J9</f>
        <v>0.4573724803</v>
      </c>
      <c r="N9" s="284" t="s">
        <v>200</v>
      </c>
      <c r="O9" s="250">
        <f>Baseline!O9</f>
        <v>0</v>
      </c>
      <c r="P9" s="135">
        <f>O9*$J$13*$L$10*(1-C51*0.12/C152*1.13*(1-exp(-3*6/60*55/120)))*(1-$C$135*$C$130*$D$130*0.075)*(1-0.08*$C$80)*(1-IF(C127&gt;1,1)*0.06*E127)*(1-(0.04*10*(1/S40)*C100*(1-IF(OR(D100=1,AND(C152&lt;4,C131=1)),0,1)*IF(D100=2,1-(1-(0.75)^((5+(H15/2))/H15))/(1+3*(1-(0.75)^((5+(H15/2))/H15))*C82),1)*IF(NOT(OR(OR(D100=1,AND(C152&lt;4,C131=1)),D100=2)),1-(1-(0.75)^((4+(H15/2))/H15)),1))))*(1-C120*0.025)</f>
        <v>0</v>
      </c>
      <c r="Q9" s="136"/>
      <c r="R9" s="135">
        <f t="shared" si="3"/>
        <v>0</v>
      </c>
      <c r="S9" s="102">
        <f t="shared" si="4"/>
        <v>0</v>
      </c>
      <c r="T9" s="94">
        <f t="shared" si="2"/>
        <v>0</v>
      </c>
      <c r="U9" s="135">
        <f>T8*(T20*(6+2*C67))*0.15</f>
        <v>0</v>
      </c>
      <c r="V9" s="135">
        <f>IF(T8+T9-U8-U9-V8&gt;0,MIN($T$19*($L$7*0.3*$J$10*(1+0.4*$C$68)*(1+0.15*$C$46))-V8,T8+T9-U8-U9-V8),0)
</f>
        <v>0</v>
      </c>
      <c r="W9" s="136"/>
      <c r="X9" s="136"/>
    </row>
    <row r="10">
      <c r="B10" s="271" t="s">
        <v>55</v>
      </c>
      <c r="C10" s="25">
        <f>Inputs!C12</f>
        <v>1514.5</v>
      </c>
      <c r="D10" s="282">
        <f>(C10+65*E24+225*15/2/120*IF(1&lt;(IF(C10&gt;C8,1,0)+IF(C10&gt;C9,0)+IF(C10&gt;C11,1,0)),E27,0))*(1+0.02*C30)/(1+0.02*Baseline!C30)</f>
        <v>1514.5</v>
      </c>
      <c r="E10" s="282">
        <f>IF(D10&lt;=1620,D10,IF(D10&lt;=2160,1622+0.9*(D10-1620),IF(D10&lt;=2700,2106+0.8*(D10-2160),IF(D10&lt;=3240,2538+0.7*(D10-2700),IF(D10&lt;=4320,2916+0.6*(D10-3240),IF(D10&lt;=10800,3564+0.5*(D10-4320),6804))))))</f>
        <v>1514.5</v>
      </c>
      <c r="F10" s="4"/>
      <c r="G10" s="271" t="s">
        <v>210</v>
      </c>
      <c r="H10" s="118">
        <f>E10/5400+(E26+E33)*0.01</f>
        <v>0.280462963</v>
      </c>
      <c r="I10" s="281" t="s">
        <v>226</v>
      </c>
      <c r="J10" s="119">
        <f>1+H10</f>
        <v>1.280462963</v>
      </c>
      <c r="K10" s="281" t="s">
        <v>228</v>
      </c>
      <c r="L10" s="119">
        <f>1-H10/2</f>
        <v>0.8597685185</v>
      </c>
      <c r="N10" s="286" t="s">
        <v>230</v>
      </c>
      <c r="O10" s="140">
        <f t="shared" ref="O10:U10" si="5">SUM(O6:O9)</f>
        <v>3720571.088</v>
      </c>
      <c r="P10" s="140">
        <f t="shared" si="5"/>
        <v>510579.8249</v>
      </c>
      <c r="Q10" s="140">
        <f t="shared" si="5"/>
        <v>328767.1233</v>
      </c>
      <c r="R10" s="140">
        <f t="shared" si="5"/>
        <v>400000</v>
      </c>
      <c r="S10" s="140">
        <f t="shared" si="5"/>
        <v>400000</v>
      </c>
      <c r="T10" s="140">
        <f t="shared" si="5"/>
        <v>400000</v>
      </c>
      <c r="U10" s="140">
        <f t="shared" si="5"/>
        <v>0</v>
      </c>
      <c r="V10" s="140">
        <f>sum(V6:V9)</f>
        <v>11768.35629</v>
      </c>
      <c r="W10" s="140">
        <f>(Y77+C27*0.0011*L7*(1-C144))</f>
        <v>384445.5521</v>
      </c>
      <c r="X10" s="152">
        <f>(MAX((T10-U10-V10-W10),0)*(1-$T$76*(10+2*C92))+MAX((T10-U10-V10-W10*(1.3+0.05*C92)),0)*($T$76*(10+2*C92))/(1.3+0.05*C92))/IF(D100=2,(1+0.06*(1-T40*(1-(0.75)^((5+(H15/2))/H15))/(1+3*(1-(0.75)^((5+(H15/2))/H15))*C82)/(1-(0.75)^((5+(H15/2))/H15)))),(1+0.02*C49))</f>
        <v>1255.917078</v>
      </c>
    </row>
    <row r="11">
      <c r="B11" s="271" t="s">
        <v>62</v>
      </c>
      <c r="C11" s="25">
        <f>Inputs!C13</f>
        <v>479.5</v>
      </c>
      <c r="D11" s="282">
        <f>(C11+225*15/2/120*IF(1&lt;(IF(C11&gt;C8,1,0)+IF(C11&gt;C10,1,0)+IF(C11&gt;C9,1,0)),E27,0))*(1+0.02*C30)/(1+0.02*Baseline!C30)</f>
        <v>479.5</v>
      </c>
      <c r="E11" s="282">
        <f>IF(D11&lt;=1380,D11,IF(D11&lt;=1840,1380+0.9*(D11-1380),IF(D11&lt;=2300,1794+0.8*(D11-1840),IF(D11&lt;=2760,2162+0.7*(D11-2300),IF(D11&lt;=3680,2484+0.6*(D11-2760),IF(D11&lt;=9200,3036+0.5*(D11-3680),5796))))))</f>
        <v>479.5</v>
      </c>
      <c r="F11" s="4"/>
      <c r="G11" s="271" t="s">
        <v>232</v>
      </c>
      <c r="H11" s="118">
        <f>0.16+E11/2300+0.002*(C131*K134)</f>
        <v>0.3835236353</v>
      </c>
      <c r="I11" s="283" t="s">
        <v>253</v>
      </c>
      <c r="J11" s="119">
        <f t="shared" ref="J11:J12" si="6">H11</f>
        <v>0.3835236353</v>
      </c>
      <c r="K11" s="271" t="s">
        <v>255</v>
      </c>
      <c r="L11" s="52">
        <f>1+H11/2</f>
        <v>1.191761818</v>
      </c>
    </row>
    <row r="12">
      <c r="B12" s="281" t="s">
        <v>64</v>
      </c>
      <c r="C12" s="25">
        <f>Inputs!C14</f>
        <v>0</v>
      </c>
      <c r="D12" s="115">
        <f t="shared" ref="D12:D13" si="7">C12</f>
        <v>0</v>
      </c>
      <c r="E12" s="115">
        <f>IF(D12&lt;=690,D12,IF(D12&lt;=1035,690+0.8*(D12-690),IF(D12&lt;=1380,966+0.6*(D12-1035),1173+0.4*(D12-1380))))</f>
        <v>0</v>
      </c>
      <c r="F12" s="4"/>
      <c r="G12" s="271" t="s">
        <v>256</v>
      </c>
      <c r="H12" s="159">
        <f>E12/6900+C71*0.03+C131*E138*0.02</f>
        <v>0.03</v>
      </c>
      <c r="I12" s="271" t="s">
        <v>264</v>
      </c>
      <c r="J12" s="119">
        <f t="shared" si="6"/>
        <v>0.03</v>
      </c>
      <c r="K12" s="271" t="s">
        <v>266</v>
      </c>
      <c r="L12" s="119">
        <f>J12+C111*0.15*MIN(8*T42,1)+0.06*(10+2*$C$72)*T54*(1+C131*E138)</f>
        <v>0.185</v>
      </c>
    </row>
    <row r="13">
      <c r="B13" s="281" t="s">
        <v>66</v>
      </c>
      <c r="C13" s="25">
        <f>Inputs!C15</f>
        <v>0</v>
      </c>
      <c r="D13" s="115">
        <f t="shared" si="7"/>
        <v>0</v>
      </c>
      <c r="E13" s="115">
        <f>IF(D13&lt;=368,D13,IF(D13&lt;=552,368+0.8*(D13-368),IF(D13&lt;=736,515.2+0.6*(D13-552),625.6+0.4*(D13-736))))</f>
        <v>0</v>
      </c>
      <c r="F13" s="4"/>
      <c r="G13" s="271" t="s">
        <v>270</v>
      </c>
      <c r="H13" s="159">
        <f>E13/3680+C70*0.03</f>
        <v>0</v>
      </c>
      <c r="I13" s="271" t="s">
        <v>272</v>
      </c>
      <c r="J13" s="119">
        <f>1-H13</f>
        <v>1</v>
      </c>
      <c r="K13" s="271" t="s">
        <v>273</v>
      </c>
      <c r="L13" s="84">
        <f>622/19130+0.03+(L6+L8)/((L6+L8)*1+1/0.94)+0.05*8*T28</f>
        <v>0.2639229608</v>
      </c>
      <c r="N13" s="290" t="s">
        <v>24</v>
      </c>
      <c r="V13" s="171"/>
    </row>
    <row r="14">
      <c r="B14" s="271" t="s">
        <v>68</v>
      </c>
      <c r="C14" s="174">
        <f>Inputs!C16</f>
        <v>151.4</v>
      </c>
      <c r="D14" s="27"/>
      <c r="E14" s="27"/>
      <c r="F14" s="4"/>
      <c r="G14" s="271" t="s">
        <v>277</v>
      </c>
      <c r="H14" s="159">
        <f>0.03+0.02*C32</f>
        <v>0.03</v>
      </c>
      <c r="I14" s="283" t="s">
        <v>279</v>
      </c>
      <c r="J14" s="133">
        <f>(1+E30*0.05*(1.13*(1-exp(-1*J9*15/60))))*(1+C57*0.06*(1-0.85^(5/(3/((1/(1-0.15*C107))*(1+C130))))))*(1+C117*0.05)*IF(D100=2,(1+0.06*C119*(1-T40*(1-(0.75)^((5+(H15/2))/H15))/(1+3*(1-(0.75)^((5+(H15/2))/H15))*C82)/(1-(0.75)^((5+(H15/2))/H15)))),(1+0.06*(14-5*C131*E137)*C119*(1/S40)))*(1+IF(C127&gt;2,2,IF(C127=2,1,0))*0.03*E127)</f>
        <v>1.187331929</v>
      </c>
      <c r="K14" s="283" t="s">
        <v>281</v>
      </c>
      <c r="L14" s="84">
        <f>MAX(L13-0.015*(C153-90),0)+MAX(H14-0.015*(C153-90),0)+MAX(0.03-0.015*(C153-90),0)</f>
        <v>0.3239229608</v>
      </c>
      <c r="N14" s="291" t="s">
        <v>71</v>
      </c>
      <c r="O14" s="291" t="s">
        <v>115</v>
      </c>
      <c r="P14" s="291" t="s">
        <v>150</v>
      </c>
      <c r="Q14" s="291" t="s">
        <v>282</v>
      </c>
      <c r="R14" s="291" t="s">
        <v>283</v>
      </c>
      <c r="S14" s="291" t="s">
        <v>284</v>
      </c>
    </row>
    <row r="15">
      <c r="B15" s="281" t="s">
        <v>69</v>
      </c>
      <c r="C15" s="174">
        <f>Inputs!C17</f>
        <v>3.6</v>
      </c>
      <c r="D15" s="27"/>
      <c r="E15" s="27"/>
      <c r="F15" s="4"/>
      <c r="G15" s="271" t="s">
        <v>285</v>
      </c>
      <c r="H15" s="178">
        <f>C15/(J9*(1+0.06*(3+1.5*C130*C136)*C59*D59))/((195.5+21.9*C152-0.673*C152^2)/195.5)</f>
        <v>1.378599312</v>
      </c>
      <c r="I15" s="291" t="s">
        <v>286</v>
      </c>
      <c r="J15" s="133">
        <f>(1+E30*0.05*(1.13*(1-exp(-1*J9*15/60))))*IF(D100=2,(1+0.06*C119*(1-T40*(1-(0.75)^((5+(H15/2))/H15))/(1+3*(1-(0.75)^((5+(H15/2))/H15))*C82)/(1-(0.75)^((5+(H15/2))/H15)))),(1+0.02*C49))*(1+C73*0.15*(5+2*C68)*(1/S19*C149*(1-C150)))*(1+0.01*E31)</f>
        <v>1.04</v>
      </c>
      <c r="K15" s="291" t="s">
        <v>288</v>
      </c>
      <c r="L15" s="133">
        <f>IF(C127=4,1/(2.5+(2/(1-(L14+0.3*(0.151+0.367*(J8)-0.0791*(J8)^2+0.0086*(J8)^3)))-1+IF(C152=1,0.5,0))/C152),1/(2.5+(2/(1-(L14+0.3*T38*(8+C110*4)))-1+IF(C152=1,0.5,0))/C152))</f>
        <v>0.3269240909</v>
      </c>
      <c r="N15" s="181">
        <f>IF(X10=0,"Self-Sufficient (+"&amp;Round(-((T10-U10-V10-W10)*(1-$T$76*(10+2*C92))+(T10-U10-V10-W10*(1.3+0.05*C92))*($T$76*(10+2*C92)))/O10%,2)&amp;"%)",($O$10-$X$10)/$O$10)</f>
        <v>0.9996624397</v>
      </c>
      <c r="O15" s="182">
        <f t="shared" ref="O15:P15" si="8">V77</f>
        <v>324430.9328</v>
      </c>
      <c r="P15" s="182">
        <f t="shared" si="8"/>
        <v>112067.4741</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9371505.486</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11520248.45</v>
      </c>
      <c r="S15" s="182">
        <f>$L$7*O10/T10*(0.7+0.3/(1-0.15*C79-0.05*IF(C79&gt;0,1,0)))*(1+($T$76*(10+2*C92))*0.3)</f>
        <v>21759726.56</v>
      </c>
    </row>
    <row r="17">
      <c r="A17" s="2"/>
      <c r="B17" s="294" t="s">
        <v>70</v>
      </c>
      <c r="C17" s="2"/>
      <c r="D17" s="2"/>
      <c r="E17" s="2"/>
      <c r="G17" s="296" t="s">
        <v>292</v>
      </c>
      <c r="H17" s="269" t="s">
        <v>255</v>
      </c>
      <c r="I17" s="268" t="s">
        <v>293</v>
      </c>
      <c r="J17" s="268" t="s">
        <v>294</v>
      </c>
      <c r="K17" s="269" t="s">
        <v>295</v>
      </c>
      <c r="L17" s="269" t="s">
        <v>296</v>
      </c>
      <c r="M17" s="268" t="s">
        <v>297</v>
      </c>
      <c r="N17" s="268" t="s">
        <v>298</v>
      </c>
      <c r="O17" s="268" t="s">
        <v>299</v>
      </c>
      <c r="P17" s="269" t="s">
        <v>300</v>
      </c>
      <c r="Q17" s="268" t="s">
        <v>301</v>
      </c>
      <c r="R17" s="268" t="s">
        <v>302</v>
      </c>
      <c r="S17" s="268" t="s">
        <v>303</v>
      </c>
      <c r="T17" s="268" t="s">
        <v>304</v>
      </c>
      <c r="U17" s="268" t="s">
        <v>305</v>
      </c>
      <c r="V17" s="269" t="s">
        <v>115</v>
      </c>
      <c r="W17" s="269" t="s">
        <v>150</v>
      </c>
      <c r="X17" s="268" t="s">
        <v>306</v>
      </c>
      <c r="Y17" s="269" t="s">
        <v>307</v>
      </c>
      <c r="Z17" s="268" t="s">
        <v>308</v>
      </c>
      <c r="AA17" s="268" t="s">
        <v>309</v>
      </c>
      <c r="AB17" s="269" t="s">
        <v>310</v>
      </c>
    </row>
    <row r="18">
      <c r="A18" s="2"/>
      <c r="B18" s="276" t="s">
        <v>72</v>
      </c>
      <c r="C18" s="276" t="s">
        <v>73</v>
      </c>
      <c r="D18" s="276" t="s">
        <v>74</v>
      </c>
      <c r="E18" s="276" t="s">
        <v>75</v>
      </c>
      <c r="G18" s="297" t="s">
        <v>195</v>
      </c>
      <c r="H18" s="194"/>
      <c r="I18" s="194"/>
      <c r="J18" s="194"/>
      <c r="K18" s="194"/>
      <c r="L18" s="194"/>
      <c r="M18" s="194"/>
      <c r="N18" s="194"/>
      <c r="O18" s="195"/>
      <c r="P18" s="194"/>
      <c r="Q18" s="196">
        <f>1.5/$J$9</f>
        <v>0.983880796</v>
      </c>
      <c r="R18" s="197">
        <v>120.0</v>
      </c>
      <c r="S18" s="198">
        <f>R18+$C$151</f>
        <v>120.8</v>
      </c>
      <c r="T18" s="196">
        <f>1/S18*C102*D102</f>
        <v>0</v>
      </c>
      <c r="U18" s="199">
        <f>T18*Q18</f>
        <v>0</v>
      </c>
      <c r="V18" s="194"/>
      <c r="W18" s="194"/>
      <c r="X18" s="194"/>
      <c r="Y18" s="194"/>
      <c r="Z18" s="194"/>
      <c r="AA18" s="195"/>
      <c r="AB18" s="194"/>
    </row>
    <row r="19">
      <c r="A19" s="2"/>
      <c r="B19" s="174" t="str">
        <f>Inputs!B21</f>
        <v/>
      </c>
      <c r="C19" s="174">
        <f>Inputs!C21</f>
        <v>1</v>
      </c>
      <c r="D19" s="79"/>
      <c r="E19" s="79"/>
      <c r="G19" s="281" t="s">
        <v>311</v>
      </c>
      <c r="H19" s="201"/>
      <c r="I19" s="194"/>
      <c r="J19" s="203"/>
      <c r="K19" s="195"/>
      <c r="L19" s="195"/>
      <c r="M19" s="195"/>
      <c r="N19" s="194"/>
      <c r="O19" s="196">
        <f>AA19/T19</f>
        <v>58.26106481</v>
      </c>
      <c r="P19" s="194"/>
      <c r="Q19" s="194"/>
      <c r="R19" s="197">
        <v>60.0</v>
      </c>
      <c r="S19" s="196">
        <f>(R19-20*C68+20*C81)</f>
        <v>40</v>
      </c>
      <c r="T19" s="196">
        <f>1/S19*C149*C150</f>
        <v>0.01</v>
      </c>
      <c r="U19" s="195"/>
      <c r="V19" s="195"/>
      <c r="W19" s="195"/>
      <c r="X19" s="195"/>
      <c r="Y19" s="194"/>
      <c r="Z19" s="194"/>
      <c r="AA19" s="196">
        <f>T19*$J$10*(1+0.4*$C$68)*(1+0.15*$C$46)*25</f>
        <v>0.5826106481</v>
      </c>
      <c r="AB19" s="194"/>
    </row>
    <row r="20">
      <c r="A20" s="2"/>
      <c r="B20" s="276" t="s">
        <v>76</v>
      </c>
      <c r="C20" s="276" t="s">
        <v>77</v>
      </c>
      <c r="D20" s="276" t="s">
        <v>78</v>
      </c>
      <c r="G20" s="276" t="s">
        <v>141</v>
      </c>
      <c r="H20" s="27"/>
      <c r="I20" s="194"/>
      <c r="J20" s="194"/>
      <c r="K20" s="194"/>
      <c r="L20" s="194"/>
      <c r="M20" s="194"/>
      <c r="N20" s="194"/>
      <c r="O20" s="194"/>
      <c r="P20" s="194"/>
      <c r="Q20" s="196">
        <f t="shared" ref="Q20:Q22" si="9">1.5/$J$9</f>
        <v>0.983880796</v>
      </c>
      <c r="R20" s="204">
        <v>240.0</v>
      </c>
      <c r="S20" s="205">
        <f>240-60*C67</f>
        <v>180</v>
      </c>
      <c r="T20" s="196">
        <f>1/S20*C61*D61</f>
        <v>0</v>
      </c>
      <c r="U20" s="199">
        <f t="shared" ref="U20:U22" si="10">T20*Q20</f>
        <v>0</v>
      </c>
      <c r="V20" s="194"/>
      <c r="W20" s="195"/>
      <c r="X20" s="195"/>
      <c r="Y20" s="194"/>
      <c r="Z20" s="194"/>
      <c r="AA20" s="194"/>
      <c r="AB20" s="194"/>
    </row>
    <row r="21">
      <c r="A21" s="2"/>
      <c r="B21" s="25" t="str">
        <f>Inputs!B23</f>
        <v/>
      </c>
      <c r="C21" s="25" t="str">
        <f>Inputs!C23</f>
        <v/>
      </c>
      <c r="D21" s="78"/>
      <c r="G21" s="276" t="s">
        <v>313</v>
      </c>
      <c r="H21" s="206">
        <v>1.5</v>
      </c>
      <c r="I21" s="194"/>
      <c r="J21" s="207">
        <f>($J$6*(1+$E$116)*(1+$D$157)+$C$14*6)*H21*$J$10*$L$11*(1+0.01*E25)</f>
        <v>9466.337868</v>
      </c>
      <c r="K21" s="196">
        <f>J21*$J$8*$C$152*$J$14*(1+0.08*C120*D120)
</f>
        <v>70711.93832</v>
      </c>
      <c r="L21" s="209">
        <f>K21/$C$152</f>
        <v>14142.38766</v>
      </c>
      <c r="M21" s="209">
        <f>K21*$L$12</f>
        <v>13081.70859</v>
      </c>
      <c r="N21" s="194"/>
      <c r="O21" s="194"/>
      <c r="P21" s="194"/>
      <c r="Q21" s="196">
        <f t="shared" si="9"/>
        <v>0.983880796</v>
      </c>
      <c r="R21" s="197">
        <v>180.0</v>
      </c>
      <c r="S21" s="198">
        <f t="shared" ref="S21:S22" si="11">R21+$C$151</f>
        <v>180.8</v>
      </c>
      <c r="T21" s="196">
        <f>1/S21*E25</f>
        <v>0</v>
      </c>
      <c r="U21" s="199">
        <f t="shared" si="10"/>
        <v>0</v>
      </c>
      <c r="V21" s="196">
        <f>T21*K21</f>
        <v>0</v>
      </c>
      <c r="W21" s="196">
        <f>T21*L21</f>
        <v>0</v>
      </c>
      <c r="X21" s="196">
        <f>T21*M21</f>
        <v>0</v>
      </c>
      <c r="Y21" s="196">
        <f>X21*(1-$C$144)</f>
        <v>0</v>
      </c>
      <c r="Z21" s="194"/>
      <c r="AA21" s="194"/>
      <c r="AB21" s="194"/>
    </row>
    <row r="22">
      <c r="A22" s="2"/>
      <c r="B22" s="2"/>
      <c r="E22" s="2"/>
      <c r="G22" s="281" t="s">
        <v>314</v>
      </c>
      <c r="H22" s="201"/>
      <c r="I22" s="194"/>
      <c r="J22" s="203"/>
      <c r="K22" s="195"/>
      <c r="L22" s="195"/>
      <c r="M22" s="195"/>
      <c r="N22" s="194"/>
      <c r="O22" s="211">
        <f>20</f>
        <v>20</v>
      </c>
      <c r="P22" s="194"/>
      <c r="Q22" s="196">
        <f t="shared" si="9"/>
        <v>0.983880796</v>
      </c>
      <c r="R22" s="197">
        <v>120.0</v>
      </c>
      <c r="S22" s="198">
        <f t="shared" si="11"/>
        <v>120.8</v>
      </c>
      <c r="T22" s="196">
        <f>1/S22*C28</f>
        <v>0</v>
      </c>
      <c r="U22" s="199">
        <f t="shared" si="10"/>
        <v>0</v>
      </c>
      <c r="V22" s="195"/>
      <c r="W22" s="195"/>
      <c r="X22" s="195"/>
      <c r="Y22" s="194"/>
      <c r="Z22" s="194"/>
      <c r="AA22" s="196">
        <f>T22*O22</f>
        <v>0</v>
      </c>
      <c r="AB22" s="194"/>
    </row>
    <row r="23">
      <c r="A23" s="2"/>
      <c r="B23" s="294" t="s">
        <v>79</v>
      </c>
      <c r="C23" s="2"/>
      <c r="D23" s="2"/>
      <c r="E23" s="2"/>
      <c r="G23" s="281" t="s">
        <v>315</v>
      </c>
      <c r="H23" s="212">
        <f>5*C15/12*1.25*1.2</f>
        <v>2.25</v>
      </c>
      <c r="I23" s="194"/>
      <c r="J23" s="207">
        <f>($J$6*(1+$E$116)*(1+$D$157)+169*15/120*$C$24+$C$14*6)*H23*$J$10*$L$11</f>
        <v>14199.5068</v>
      </c>
      <c r="K23" s="196">
        <f>J23*$J$8*0.7*$J$14*(1+0.08*C120*D120)
</f>
        <v>14849.50705</v>
      </c>
      <c r="L23" s="209">
        <f>K23</f>
        <v>14849.50705</v>
      </c>
      <c r="M23" s="209">
        <f>K23*$L$12</f>
        <v>2747.158804</v>
      </c>
      <c r="N23" s="215"/>
      <c r="O23" s="194"/>
      <c r="P23" s="194"/>
      <c r="Q23" s="195"/>
      <c r="R23" s="216">
        <f>C15</f>
        <v>3.6</v>
      </c>
      <c r="S23" s="209">
        <f>H15</f>
        <v>1.378599312</v>
      </c>
      <c r="T23" s="209">
        <f>1/S23</f>
        <v>0.7253739295</v>
      </c>
      <c r="U23" s="217"/>
      <c r="V23" s="196">
        <f t="shared" ref="V23:V24" si="12">T23*K23</f>
        <v>10771.44528</v>
      </c>
      <c r="W23" s="196">
        <f t="shared" ref="W23:W24" si="13">T23*L23</f>
        <v>10771.44528</v>
      </c>
      <c r="X23" s="196">
        <f t="shared" ref="X23:X24" si="14">T23*M23</f>
        <v>1992.717376</v>
      </c>
      <c r="Y23" s="196">
        <f t="shared" ref="Y23:Y29" si="15">X23*(1-$C$144)</f>
        <v>1594.173901</v>
      </c>
      <c r="Z23" s="194"/>
      <c r="AA23" s="194"/>
      <c r="AB23" s="194"/>
    </row>
    <row r="24">
      <c r="A24" s="2"/>
      <c r="B24" s="281" t="s">
        <v>80</v>
      </c>
      <c r="C24" s="25">
        <f>Inputs!C26</f>
        <v>0</v>
      </c>
      <c r="D24" s="308" t="s">
        <v>81</v>
      </c>
      <c r="E24" s="25">
        <f>Inputs!E26</f>
        <v>0</v>
      </c>
      <c r="G24" s="276" t="s">
        <v>316</v>
      </c>
      <c r="H24" s="218">
        <f>0.1115*1.4/6*1.36*1.075*15</f>
        <v>0.5705455</v>
      </c>
      <c r="I24" s="204">
        <v>1.15</v>
      </c>
      <c r="J24" s="219">
        <f>($J$6*(1+$E$116)*(1+$D$157)+169*15/120*$C$24+$C$14*6)*H24*$J$10*$L$11*I24*(1+0.01*C24)</f>
        <v>4140.748629</v>
      </c>
      <c r="K24" s="196">
        <f>(J24*$J$8*INT($J$9*10/1+1)*0.7*$J$14+J24*7.875*1.25*$J$8*$C$152/SQRT(MAX(1,$C$152/8))*$J$14)*(1+0.15*$C$152/SQRT(MAX(1,$C$152/8))*(1+$C$131*0.05*MIN(1,5/$C$152))*J10)</f>
        <v>727368.0093</v>
      </c>
      <c r="L24" s="196">
        <f>(J24*$J$8*INT($J$9*10/1+1)*0.7*$J$14+J24*7.875*1.25*$J$8/SQRT(MAX(1,$C$152/8))*$J$14)+(K24/(1+0.15*$C$152/SQRT(MAX(1,$C$152/8))*(1+$C$131*0.05*MIN(1,5/$C$152))*J10))*(0.15*1/SQRT(MAX(1,$C$152/8))*(1+$C$131*0.05)*J10)</f>
        <v>199182.7069</v>
      </c>
      <c r="M24" s="196">
        <f>K24/((1+$C$131*0.05*MIN(1,5/$C$152)))/$C$152</f>
        <v>138546.2875</v>
      </c>
      <c r="N24" s="194"/>
      <c r="O24" s="194"/>
      <c r="P24" s="194"/>
      <c r="Q24" s="195"/>
      <c r="R24" s="195"/>
      <c r="S24" s="196">
        <f>S38</f>
        <v>90.8</v>
      </c>
      <c r="T24" s="196">
        <f>1/S24*C131</f>
        <v>0.01101321586</v>
      </c>
      <c r="U24" s="222"/>
      <c r="V24" s="196">
        <f t="shared" si="12"/>
        <v>8010.660895</v>
      </c>
      <c r="W24" s="196">
        <f t="shared" si="13"/>
        <v>2193.642146</v>
      </c>
      <c r="X24" s="196">
        <f t="shared" si="14"/>
        <v>1525.840171</v>
      </c>
      <c r="Y24" s="196">
        <f t="shared" si="15"/>
        <v>1220.672136</v>
      </c>
      <c r="Z24" s="194"/>
      <c r="AA24" s="194"/>
      <c r="AB24" s="194"/>
    </row>
    <row r="25">
      <c r="A25" s="2"/>
      <c r="B25" s="281" t="s">
        <v>83</v>
      </c>
      <c r="C25" s="25">
        <f>Inputs!C27</f>
        <v>0</v>
      </c>
      <c r="D25" s="308" t="s">
        <v>84</v>
      </c>
      <c r="E25" s="25">
        <f>Inputs!E27</f>
        <v>0</v>
      </c>
      <c r="G25" s="281" t="s">
        <v>177</v>
      </c>
      <c r="H25" s="206">
        <f>1.4256*1.15</f>
        <v>1.63944</v>
      </c>
      <c r="I25" s="204">
        <v>1.15</v>
      </c>
      <c r="J25" s="207">
        <f>($J$6*(1+$E$116)*(1+$D$157)+169*15/120*$C$24+$C$14*6)*H25*$J$10*$L$11*I25*(1+0.01*$E$25)*(1+0.3*C130)</f>
        <v>11898.27793</v>
      </c>
      <c r="K25" s="196">
        <f>J25*$J$8*$C$152*$J$14*(1+C130*0.15*$B$19*(1+0.2*$C$63))*(1+$C$131*0.05*MIN(1,5/$C$152))*$H$135*(1+0.08*C120*D120)
</f>
        <v>93322.02403</v>
      </c>
      <c r="L25" s="209">
        <f t="shared" ref="L25:L26" si="16">K25/$C$152</f>
        <v>18664.40481</v>
      </c>
      <c r="M25" s="209">
        <f>K25*$L$12</f>
        <v>17264.57445</v>
      </c>
      <c r="N25" s="194"/>
      <c r="O25" s="194"/>
      <c r="P25" s="195"/>
      <c r="Q25" s="196">
        <f>1.5/$J$9</f>
        <v>0.983880796</v>
      </c>
      <c r="R25" s="197">
        <v>7.5</v>
      </c>
      <c r="S25" s="196">
        <f>1/((1/(R25/J9))+(C113/((R25/J9)/((1/(1-0.15*C107))/3*(1+C130)*(1-(1-H8)^C152)*0.25))))</f>
        <v>4.91940398</v>
      </c>
      <c r="T25" s="196">
        <f>MIN(1/S25,MAX((1-SUM(U19:U23,U29:U41,U43:U50,U52:U76)-($L$9+SUM(Z19:Z50,Z52:Z76))*Q51/(-N51)+(SUM(AA19:AA24,AA26:AA41,AA43:AA50,AA52:AA76)+(($L$9+SUM(Z19:Z50)+SUM(Z52:Z76))*O51/(-N51)))/O42*Q42)/Q25*(-O42/(O25-O42)),(1+C130)/24-T47*C130*0.5))</f>
        <v>0.04166666667</v>
      </c>
      <c r="U25" s="199">
        <f>T25*Q25</f>
        <v>0.04099503317</v>
      </c>
      <c r="V25" s="196">
        <f>(T25+C108*T51*(1-(1-0.15)*(1-0.15*MAX(4,C152-1)))*1.5)*K25</f>
        <v>40872.21588</v>
      </c>
      <c r="W25" s="196">
        <f>(T25+C108*T51*(1-(1-0.15)*(1-0.15*MAX(4,C152-1)))*1.5)*L25</f>
        <v>8174.443176</v>
      </c>
      <c r="X25" s="196">
        <f>(T25+C108*T51*0.15*1.5)*M25</f>
        <v>2274.357875</v>
      </c>
      <c r="Y25" s="196">
        <f t="shared" si="15"/>
        <v>1819.4863</v>
      </c>
      <c r="Z25" s="194"/>
      <c r="AA25" s="195"/>
      <c r="AB25" s="195"/>
    </row>
    <row r="26">
      <c r="A26" s="2"/>
      <c r="B26" s="281" t="s">
        <v>85</v>
      </c>
      <c r="C26" s="25">
        <f>Inputs!C28</f>
        <v>0</v>
      </c>
      <c r="D26" s="308" t="s">
        <v>86</v>
      </c>
      <c r="E26" s="25">
        <f>Inputs!E28</f>
        <v>0</v>
      </c>
      <c r="G26" s="276" t="s">
        <v>161</v>
      </c>
      <c r="H26" s="218">
        <v>1.2</v>
      </c>
      <c r="I26" s="204">
        <v>1.15</v>
      </c>
      <c r="J26" s="207">
        <f>($J$6*(1+$E$116)*(1+$D$157)+169*15/120*$C$24+$C$14*6)*H26*$J$10*$L$11*I26*(1+0.01*$E$25)</f>
        <v>8709.030839</v>
      </c>
      <c r="K26" s="196">
        <f>J26*$J$8*$C$152*$J$14*(1+$C$131*0.05*MIN(1,5/$C$152))*(1+0.08*C120*D120)
</f>
        <v>68307.73242</v>
      </c>
      <c r="L26" s="196">
        <f t="shared" si="16"/>
        <v>13661.54648</v>
      </c>
      <c r="M26" s="196">
        <f>K26*(1+$L$12)*1.25</f>
        <v>101180.8286</v>
      </c>
      <c r="N26" s="194"/>
      <c r="O26" s="194"/>
      <c r="P26" s="194"/>
      <c r="Q26" s="195"/>
      <c r="R26" s="204">
        <v>120.0</v>
      </c>
      <c r="S26" s="204">
        <v>120.0</v>
      </c>
      <c r="T26" s="196">
        <f>1/S26*C76</f>
        <v>0</v>
      </c>
      <c r="U26" s="222"/>
      <c r="V26" s="196">
        <f>T26*K26</f>
        <v>0</v>
      </c>
      <c r="W26" s="196">
        <f>T26*L26</f>
        <v>0</v>
      </c>
      <c r="X26" s="196">
        <f t="shared" ref="X26:X28" si="17">T26*M26</f>
        <v>0</v>
      </c>
      <c r="Y26" s="196">
        <f t="shared" si="15"/>
        <v>0</v>
      </c>
      <c r="Z26" s="195"/>
      <c r="AA26" s="195"/>
      <c r="AB26" s="194"/>
    </row>
    <row r="27">
      <c r="A27" s="2"/>
      <c r="B27" s="281" t="s">
        <v>88</v>
      </c>
      <c r="C27" s="25">
        <f>Inputs!C29</f>
        <v>0</v>
      </c>
      <c r="D27" s="308" t="s">
        <v>89</v>
      </c>
      <c r="E27" s="25">
        <f>Inputs!E29</f>
        <v>0</v>
      </c>
      <c r="G27" s="276" t="s">
        <v>208</v>
      </c>
      <c r="H27" s="224"/>
      <c r="I27" s="194"/>
      <c r="J27" s="194"/>
      <c r="K27" s="194"/>
      <c r="L27" s="194"/>
      <c r="M27" s="196">
        <f>V10/T19</f>
        <v>1176835.629</v>
      </c>
      <c r="N27" s="194"/>
      <c r="O27" s="194"/>
      <c r="P27" s="194"/>
      <c r="Q27" s="195"/>
      <c r="R27" s="194"/>
      <c r="S27" s="194"/>
      <c r="T27" s="196">
        <f>T19*C112</f>
        <v>0</v>
      </c>
      <c r="U27" s="222"/>
      <c r="V27" s="222"/>
      <c r="W27" s="222"/>
      <c r="X27" s="196">
        <f t="shared" si="17"/>
        <v>0</v>
      </c>
      <c r="Y27" s="196">
        <f t="shared" si="15"/>
        <v>0</v>
      </c>
      <c r="Z27" s="195"/>
      <c r="AA27" s="194"/>
      <c r="AB27" s="194"/>
    </row>
    <row r="28">
      <c r="A28" s="2"/>
      <c r="B28" s="281" t="s">
        <v>90</v>
      </c>
      <c r="C28" s="25">
        <f>Inputs!C30</f>
        <v>0</v>
      </c>
      <c r="D28" s="308" t="s">
        <v>91</v>
      </c>
      <c r="E28" s="25">
        <f>Inputs!E30</f>
        <v>0</v>
      </c>
      <c r="G28" s="276" t="s">
        <v>215</v>
      </c>
      <c r="H28" s="206">
        <v>0.64</v>
      </c>
      <c r="I28" s="204">
        <v>1.15</v>
      </c>
      <c r="J28" s="207">
        <f>($J$6*(1+$E$116)*(1+$D$157)+169*15/120*$C$24+$C$14*6)*H28*$J$10*$L$11*I28*(1+0.01*E25)</f>
        <v>4644.816447</v>
      </c>
      <c r="K28" s="196">
        <f>J28*$J$8*$C$152/SQRT(MAX(1,$C$152/8))*$J$14*9*(1+0.08*C120*D120)*(1+$C$131*0.05*MIN(1,5/$C$152))</f>
        <v>327877.1156</v>
      </c>
      <c r="L28" s="196">
        <f t="shared" ref="L28:L29" si="18">K28/$C$152</f>
        <v>65575.42312</v>
      </c>
      <c r="M28" s="209">
        <f>K28*$L$12</f>
        <v>60657.26639</v>
      </c>
      <c r="N28" s="194"/>
      <c r="O28" s="219">
        <f>MIN(C152,5)*2*9</f>
        <v>90</v>
      </c>
      <c r="P28" s="194"/>
      <c r="Q28" s="195"/>
      <c r="R28" s="194"/>
      <c r="S28" s="194"/>
      <c r="T28" s="196">
        <f>T38*C118</f>
        <v>0</v>
      </c>
      <c r="U28" s="222"/>
      <c r="V28" s="196">
        <f>T28*K28</f>
        <v>0</v>
      </c>
      <c r="W28" s="196">
        <f>T28*L28</f>
        <v>0</v>
      </c>
      <c r="X28" s="196">
        <f t="shared" si="17"/>
        <v>0</v>
      </c>
      <c r="Y28" s="196">
        <f t="shared" si="15"/>
        <v>0</v>
      </c>
      <c r="Z28" s="195"/>
      <c r="AA28" s="196">
        <f>T28*O28</f>
        <v>0</v>
      </c>
      <c r="AB28" s="194"/>
    </row>
    <row r="29">
      <c r="A29" s="2"/>
      <c r="B29" s="281" t="s">
        <v>92</v>
      </c>
      <c r="C29" s="25">
        <f>Inputs!C31</f>
        <v>0</v>
      </c>
      <c r="D29" s="308" t="s">
        <v>93</v>
      </c>
      <c r="E29" s="25">
        <f>Inputs!E31</f>
        <v>0</v>
      </c>
      <c r="G29" s="281" t="s">
        <v>321</v>
      </c>
      <c r="H29" s="237">
        <f>0.3348*24/3*(1/(1-0.15*C107))</f>
        <v>3.151058824</v>
      </c>
      <c r="I29" s="204">
        <v>1.15</v>
      </c>
      <c r="J29" s="207">
        <f>($J$6*(1+$E$116)*(1+$D$157)+169*15/120*$C$24+$C$14*6)*H29*$J$10*$L$11*I29*(1+0.01*E25)</f>
        <v>22868.89039</v>
      </c>
      <c r="K29" s="196">
        <f>J29*$J$8*$C$152*$J$14*(1+0.4*C117*D117)*(1+$C$131*0.05*MIN(1,5/$C$152))*(1+0.08*C120*D120)*(1+0.15*C131)/(1+0.05*C117)
</f>
        <v>259314.9799</v>
      </c>
      <c r="L29" s="196">
        <f t="shared" si="18"/>
        <v>51862.99599</v>
      </c>
      <c r="M29" s="196">
        <f>K29*(1+0.85*$C$107+$L$12)*1.25</f>
        <v>659632.4802</v>
      </c>
      <c r="N29" s="194"/>
      <c r="O29" s="194"/>
      <c r="P29" s="194"/>
      <c r="Q29" s="195"/>
      <c r="R29" s="194"/>
      <c r="S29" s="194"/>
      <c r="T29" s="195"/>
      <c r="U29" s="222"/>
      <c r="V29" s="196">
        <f>K29/24*(1+C130)</f>
        <v>10804.79083</v>
      </c>
      <c r="W29" s="196">
        <f>L29/24*(1+C130)</f>
        <v>2160.958166</v>
      </c>
      <c r="X29" s="196">
        <f>M29/24*(1+C130)</f>
        <v>27484.68668</v>
      </c>
      <c r="Y29" s="196">
        <f t="shared" si="15"/>
        <v>21987.74934</v>
      </c>
      <c r="Z29" s="195"/>
      <c r="AA29" s="195"/>
      <c r="AB29" s="194"/>
    </row>
    <row r="30">
      <c r="A30" s="2"/>
      <c r="B30" s="276" t="s">
        <v>94</v>
      </c>
      <c r="C30" s="25">
        <f>Inputs!C32</f>
        <v>0</v>
      </c>
      <c r="D30" s="276" t="s">
        <v>95</v>
      </c>
      <c r="E30" s="25">
        <f>Inputs!E32</f>
        <v>0</v>
      </c>
      <c r="G30" s="276" t="s">
        <v>327</v>
      </c>
      <c r="H30" s="224"/>
      <c r="I30" s="194"/>
      <c r="J30" s="194"/>
      <c r="K30" s="194"/>
      <c r="L30" s="194"/>
      <c r="M30" s="209">
        <f>MIN(J11*(MAX(5*0.2*T10*(1+0.05*C111),7/100*L7)*(1+0.15*C42))*$J$10*(1+0.15*C46)*(1+0.2*C115),(0.5+0.15*C114)*L7*MAX(1,T42/0.2)/(1+($T$76*(10+2*C92))*(0.3+0.05*C92)))</f>
        <v>370024.8434</v>
      </c>
      <c r="N30" s="194"/>
      <c r="O30" s="194"/>
      <c r="P30" s="194"/>
      <c r="Q30" s="194"/>
      <c r="R30" s="194"/>
      <c r="S30" s="194"/>
      <c r="T30" s="196">
        <f>T42</f>
        <v>0.4013494365</v>
      </c>
      <c r="U30" s="222"/>
      <c r="V30" s="222"/>
      <c r="W30" s="222"/>
      <c r="X30" s="196">
        <f>MIN(T30,0.2)*M30</f>
        <v>74004.96868</v>
      </c>
      <c r="Y30" s="196">
        <f t="shared" ref="Y30:Y33" si="19">X30</f>
        <v>74004.96868</v>
      </c>
      <c r="Z30" s="195"/>
      <c r="AA30" s="195"/>
      <c r="AB30" s="194"/>
    </row>
    <row r="31">
      <c r="A31" s="2"/>
      <c r="B31" s="276" t="s">
        <v>96</v>
      </c>
      <c r="C31" s="25">
        <f>Inputs!C33</f>
        <v>0</v>
      </c>
      <c r="D31" s="276" t="s">
        <v>97</v>
      </c>
      <c r="E31" s="25">
        <f>Inputs!E33</f>
        <v>0</v>
      </c>
      <c r="G31" s="276" t="s">
        <v>328</v>
      </c>
      <c r="H31" s="218">
        <v>9.0</v>
      </c>
      <c r="I31" s="194"/>
      <c r="J31" s="219">
        <f>($J$6*(1+$E$116)*(1+$D$157)+169*15/120*$C$24+$C$14*6)*H31*$J$10*$L$11*(1+0.01*E25)</f>
        <v>56798.02721</v>
      </c>
      <c r="K31" s="196">
        <f>J31*$J$8*(2*$C$152/3+1/3)*(1+$C$131*0.05*MIN(1,5.5/($C$152+0.5)))*$H$135
</f>
        <v>266613.9526</v>
      </c>
      <c r="L31" s="196">
        <f>K31/(2*$C$152/3+1/3)</f>
        <v>72712.89617</v>
      </c>
      <c r="M31" s="209">
        <f>K31*$L$12</f>
        <v>49323.58123</v>
      </c>
      <c r="N31" s="194"/>
      <c r="O31" s="194"/>
      <c r="P31" s="194"/>
      <c r="Q31" s="195"/>
      <c r="R31" s="195"/>
      <c r="S31" s="195"/>
      <c r="T31" s="196">
        <f>T42/10*C158</f>
        <v>0.04013494365</v>
      </c>
      <c r="U31" s="222"/>
      <c r="V31" s="196">
        <f t="shared" ref="V31:V33" si="20">T31*K31</f>
        <v>10700.53597</v>
      </c>
      <c r="W31" s="196">
        <f t="shared" ref="W31:W33" si="21">T31*L31</f>
        <v>2918.327991</v>
      </c>
      <c r="X31" s="196">
        <f t="shared" ref="X31:X33" si="22">T31*M31</f>
        <v>1979.599154</v>
      </c>
      <c r="Y31" s="196">
        <f t="shared" si="19"/>
        <v>1979.599154</v>
      </c>
      <c r="Z31" s="194"/>
      <c r="AA31" s="194"/>
      <c r="AB31" s="194"/>
    </row>
    <row r="32">
      <c r="A32" s="2"/>
      <c r="B32" s="276" t="s">
        <v>98</v>
      </c>
      <c r="C32" s="25">
        <f>Inputs!C34</f>
        <v>0</v>
      </c>
      <c r="D32" s="276" t="s">
        <v>99</v>
      </c>
      <c r="E32" s="25">
        <f>Inputs!E34</f>
        <v>0</v>
      </c>
      <c r="G32" s="281" t="s">
        <v>193</v>
      </c>
      <c r="H32" s="206">
        <f>0.235*1.4/6*1.075</f>
        <v>0.05894583333</v>
      </c>
      <c r="I32" s="204">
        <v>1.0</v>
      </c>
      <c r="J32" s="219">
        <f>($J$6*(1+$E$116)*(1+$D$157)+169*15/120*$C$24+$C$14*6)*H32*$J$10*$L$11*I32*(1+0.01*C24)</f>
        <v>372.0007828</v>
      </c>
      <c r="K32" s="196">
        <f>J32*$J$8*INT($J$9*D101/1.4+1)*0.7*$J$14</f>
        <v>4146.63318</v>
      </c>
      <c r="L32" s="196">
        <f>K32</f>
        <v>4146.63318</v>
      </c>
      <c r="M32" s="196">
        <f>L7*0.5*0.15</f>
        <v>126245.9364</v>
      </c>
      <c r="N32" s="194"/>
      <c r="O32" s="194"/>
      <c r="P32" s="194"/>
      <c r="Q32" s="195"/>
      <c r="R32" s="197">
        <f>60/5</f>
        <v>12</v>
      </c>
      <c r="S32" s="196">
        <f>R32/1.13</f>
        <v>10.61946903</v>
      </c>
      <c r="T32" s="196">
        <f>1/S32*C101</f>
        <v>0</v>
      </c>
      <c r="U32" s="222"/>
      <c r="V32" s="196">
        <f t="shared" si="20"/>
        <v>0</v>
      </c>
      <c r="W32" s="196">
        <f t="shared" si="21"/>
        <v>0</v>
      </c>
      <c r="X32" s="196">
        <f t="shared" si="22"/>
        <v>0</v>
      </c>
      <c r="Y32" s="196">
        <f t="shared" si="19"/>
        <v>0</v>
      </c>
      <c r="Z32" s="194"/>
      <c r="AA32" s="194"/>
      <c r="AB32" s="194"/>
    </row>
    <row r="33">
      <c r="A33" s="2"/>
      <c r="B33" s="276" t="s">
        <v>100</v>
      </c>
      <c r="C33" s="25">
        <f>Inputs!C35</f>
        <v>0</v>
      </c>
      <c r="D33" s="276" t="s">
        <v>101</v>
      </c>
      <c r="E33" s="25">
        <f>Inputs!E35</f>
        <v>0</v>
      </c>
      <c r="G33" s="276" t="s">
        <v>211</v>
      </c>
      <c r="H33" s="218">
        <v>1.1</v>
      </c>
      <c r="I33" s="204">
        <v>1.15</v>
      </c>
      <c r="J33" s="207">
        <f>($J$6*(1+$E$116)*(1+$D$157)+169*15/120*$C$24+$C$14*6)*H33*$J$10*$L$11*I33*(1+0.01*$E$25)</f>
        <v>7983.278269</v>
      </c>
      <c r="K33" s="196">
        <f>J33*$J$8*$J$14*(1+$C$131*0.05*MIN(1,5/$C$152))*$H$135*(1+0.08*C127)
</f>
        <v>16017.89849</v>
      </c>
      <c r="L33" s="196">
        <f>K33/C$152</f>
        <v>3203.579699</v>
      </c>
      <c r="M33" s="209">
        <f>K33*$L$12</f>
        <v>2963.311221</v>
      </c>
      <c r="N33" s="194"/>
      <c r="O33" s="194"/>
      <c r="P33" s="194"/>
      <c r="Q33" s="203"/>
      <c r="R33" s="204">
        <v>0.5</v>
      </c>
      <c r="S33" s="196">
        <f>1/T42</f>
        <v>2.491594379</v>
      </c>
      <c r="T33" s="196">
        <f>1/S33*C114</f>
        <v>0</v>
      </c>
      <c r="U33" s="203"/>
      <c r="V33" s="196">
        <f t="shared" si="20"/>
        <v>0</v>
      </c>
      <c r="W33" s="196">
        <f t="shared" si="21"/>
        <v>0</v>
      </c>
      <c r="X33" s="196">
        <f t="shared" si="22"/>
        <v>0</v>
      </c>
      <c r="Y33" s="196">
        <f t="shared" si="19"/>
        <v>0</v>
      </c>
      <c r="Z33" s="194"/>
      <c r="AA33" s="194"/>
      <c r="AB33" s="194"/>
    </row>
    <row r="34">
      <c r="A34" s="2"/>
      <c r="B34" s="276" t="s">
        <v>102</v>
      </c>
      <c r="C34" s="25">
        <f>Inputs!C36</f>
        <v>0</v>
      </c>
      <c r="D34" s="276" t="s">
        <v>103</v>
      </c>
      <c r="E34" s="25">
        <f>Inputs!E36</f>
        <v>0</v>
      </c>
      <c r="G34" s="276" t="s">
        <v>329</v>
      </c>
      <c r="H34" s="252"/>
      <c r="I34" s="203"/>
      <c r="J34" s="203"/>
      <c r="K34" s="203"/>
      <c r="L34" s="203"/>
      <c r="M34" s="203"/>
      <c r="N34" s="194"/>
      <c r="O34" s="194"/>
      <c r="P34" s="194"/>
      <c r="Q34" s="203"/>
      <c r="R34" s="203"/>
      <c r="S34" s="203"/>
      <c r="T34" s="203"/>
      <c r="U34" s="203"/>
      <c r="V34" s="203"/>
      <c r="W34" s="203"/>
      <c r="X34" s="196">
        <f>T10*0.02*E33</f>
        <v>0</v>
      </c>
      <c r="Y34" s="196">
        <f t="shared" ref="Y34:Y36" si="23">X34*(1-$C$144)</f>
        <v>0</v>
      </c>
      <c r="Z34" s="194"/>
      <c r="AA34" s="194"/>
      <c r="AB34" s="194"/>
    </row>
    <row r="35">
      <c r="A35" s="2"/>
      <c r="B35" s="276" t="s">
        <v>104</v>
      </c>
      <c r="C35" s="25">
        <f>Inputs!C37</f>
        <v>0</v>
      </c>
      <c r="D35" s="276"/>
      <c r="E35" s="25" t="str">
        <f>Inputs!E37</f>
        <v/>
      </c>
      <c r="G35" s="281" t="s">
        <v>218</v>
      </c>
      <c r="H35" s="218">
        <f>4.8084*1.3</f>
        <v>6.25092</v>
      </c>
      <c r="I35" s="204">
        <v>1.15</v>
      </c>
      <c r="J35" s="207">
        <f>($J$6*(1+$E$116)*(1+$D$157)+169*15/120*$C$24+$C$14*6)*H35*$J$10*$L$11*I35*(1+0.01*$E$25)</f>
        <v>45366.21254</v>
      </c>
      <c r="K35" s="196">
        <f>J35*$J$8*$C$152/SQRT(MAX(1,$C$152/8))*$J$14*(1+$C$131*0.05*MIN(1,5/$C$152))*(1+0.08*C120*D120)+24/(1+C130)*V29*D121*0.25*(1+0.08*C120*D120)</f>
        <v>422725.0738</v>
      </c>
      <c r="L35" s="196">
        <f>K35/$C$152</f>
        <v>84545.01476</v>
      </c>
      <c r="M35" s="196">
        <f>K35*$L$12+24/(1+C130)*V29*D121*0.25*(1+0.08*C120*D120)*(1+0.5*$C$107+$L$12)*1.25+K35*C125*1.5*J11*J10*(1+0.15*C46)*(1+0.2*C115)/(1-$C$144)</f>
        <v>219119.1402</v>
      </c>
      <c r="N35" s="194"/>
      <c r="O35" s="194"/>
      <c r="P35" s="194"/>
      <c r="Q35" s="196">
        <f>(1+0.5*D121)/$J$9</f>
        <v>0.983880796</v>
      </c>
      <c r="R35" s="204">
        <v>45.0</v>
      </c>
      <c r="S35" s="198">
        <f>(R35/(1+$C$125*22.5*1.1/60*1.13*$J$9))+$C$151</f>
        <v>45.8</v>
      </c>
      <c r="T35" s="196">
        <f>1/S35*C121</f>
        <v>0</v>
      </c>
      <c r="U35" s="199">
        <f t="shared" ref="U35:U36" si="24">T35*Q35</f>
        <v>0</v>
      </c>
      <c r="V35" s="196">
        <f t="shared" ref="V35:V36" si="25">T35*K35</f>
        <v>0</v>
      </c>
      <c r="W35" s="196">
        <f t="shared" ref="W35:W36" si="26">T35*L35</f>
        <v>0</v>
      </c>
      <c r="X35" s="196">
        <f t="shared" ref="X35:X36" si="27">T35*M35</f>
        <v>0</v>
      </c>
      <c r="Y35" s="196">
        <f t="shared" si="23"/>
        <v>0</v>
      </c>
      <c r="Z35" s="194"/>
      <c r="AA35" s="194"/>
      <c r="AB35" s="194"/>
    </row>
    <row r="36">
      <c r="A36" s="2"/>
      <c r="B36" s="2"/>
      <c r="C36" s="2"/>
      <c r="D36" s="2"/>
      <c r="E36" s="2"/>
      <c r="G36" s="276" t="s">
        <v>330</v>
      </c>
      <c r="H36" s="253">
        <v>2.52</v>
      </c>
      <c r="I36" s="203"/>
      <c r="J36" s="207">
        <f>($J$6*(1+$E$116)*(1+$D$157)+$C$14*6)*H36*$J$10*$L$11</f>
        <v>15903.44762</v>
      </c>
      <c r="K36" s="196">
        <f>J36*$J$8*$J$14*(1+0.08*C120*D120)</f>
        <v>23759.21128</v>
      </c>
      <c r="L36" s="196">
        <f>K36</f>
        <v>23759.21128</v>
      </c>
      <c r="M36" s="194"/>
      <c r="N36" s="194"/>
      <c r="O36" s="194"/>
      <c r="P36" s="194"/>
      <c r="Q36" s="196">
        <f>1.5/$J$9</f>
        <v>0.983880796</v>
      </c>
      <c r="R36" s="197">
        <v>90.0</v>
      </c>
      <c r="S36" s="198">
        <f>R36+$C$151</f>
        <v>90.8</v>
      </c>
      <c r="T36" s="196">
        <f>1/S36*IF($E$29=1,1,0)</f>
        <v>0</v>
      </c>
      <c r="U36" s="199">
        <f t="shared" si="24"/>
        <v>0</v>
      </c>
      <c r="V36" s="196">
        <f t="shared" si="25"/>
        <v>0</v>
      </c>
      <c r="W36" s="196">
        <f t="shared" si="26"/>
        <v>0</v>
      </c>
      <c r="X36" s="196">
        <f t="shared" si="27"/>
        <v>0</v>
      </c>
      <c r="Y36" s="196">
        <f t="shared" si="23"/>
        <v>0</v>
      </c>
      <c r="Z36" s="194"/>
      <c r="AA36" s="194"/>
      <c r="AB36" s="194"/>
    </row>
    <row r="37">
      <c r="A37" s="2"/>
      <c r="B37" s="321" t="s">
        <v>105</v>
      </c>
      <c r="C37" s="283" t="s">
        <v>106</v>
      </c>
      <c r="D37" s="283" t="s">
        <v>107</v>
      </c>
      <c r="E37" s="2"/>
      <c r="G37" s="276" t="s">
        <v>331</v>
      </c>
      <c r="H37" s="254"/>
      <c r="I37" s="255"/>
      <c r="J37" s="255"/>
      <c r="K37" s="255"/>
      <c r="L37" s="255"/>
      <c r="M37" s="194"/>
      <c r="N37" s="204">
        <v>1.0</v>
      </c>
      <c r="O37" s="194"/>
      <c r="P37" s="255"/>
      <c r="Q37" s="255"/>
      <c r="R37" s="255"/>
      <c r="S37" s="255"/>
      <c r="T37" s="196">
        <f>F127</f>
        <v>0.1402974432</v>
      </c>
      <c r="U37" s="195"/>
      <c r="V37" s="195"/>
      <c r="W37" s="195"/>
      <c r="X37" s="195"/>
      <c r="Y37" s="194"/>
      <c r="Z37" s="196">
        <f>T37*N37</f>
        <v>0.1402974432</v>
      </c>
      <c r="AA37" s="194"/>
      <c r="AB37" s="194"/>
    </row>
    <row r="38">
      <c r="A38" s="322" t="s">
        <v>108</v>
      </c>
      <c r="B38" s="276" t="s">
        <v>109</v>
      </c>
      <c r="C38" s="25">
        <f>Inputs!C40</f>
        <v>1</v>
      </c>
      <c r="D38" s="78"/>
      <c r="E38" s="2"/>
      <c r="G38" s="281"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2066007.829</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641712.8202</v>
      </c>
      <c r="M38" s="194"/>
      <c r="N38" s="194"/>
      <c r="O38" s="194"/>
      <c r="P38" s="256">
        <f>D105*C105</f>
        <v>5</v>
      </c>
      <c r="Q38" s="196">
        <f>1.5/$J$9</f>
        <v>0.983880796</v>
      </c>
      <c r="R38" s="197">
        <v>120.0</v>
      </c>
      <c r="S38" s="196">
        <f>120-30*C105+$C$151</f>
        <v>90.8</v>
      </c>
      <c r="T38" s="196">
        <f>1/S38*C98*C149</f>
        <v>0.01101321586</v>
      </c>
      <c r="U38" s="199">
        <f>T38*Q38</f>
        <v>0.01083569159</v>
      </c>
      <c r="V38" s="196">
        <f t="shared" ref="V38:V40" si="28">T38*K38</f>
        <v>22753.39019</v>
      </c>
      <c r="W38" s="196">
        <f t="shared" ref="W38:W40" si="29">T38*L38</f>
        <v>7067.321808</v>
      </c>
      <c r="X38" s="195"/>
      <c r="Y38" s="194"/>
      <c r="Z38" s="194"/>
      <c r="AA38" s="194"/>
      <c r="AB38" s="196">
        <f>P38*T38</f>
        <v>0.0550660793</v>
      </c>
    </row>
    <row r="39">
      <c r="A39" s="97"/>
      <c r="B39" s="276" t="s">
        <v>110</v>
      </c>
      <c r="C39" s="25">
        <f>Inputs!C41</f>
        <v>1</v>
      </c>
      <c r="D39" s="78"/>
      <c r="E39" s="2"/>
      <c r="G39" s="276"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452787.6408</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179503.2611</v>
      </c>
      <c r="M39" s="194"/>
      <c r="N39" s="255"/>
      <c r="O39" s="255"/>
      <c r="P39" s="194"/>
      <c r="Q39" s="255"/>
      <c r="R39" s="255"/>
      <c r="S39" s="255">
        <f>IF(OR(D100=1,AND(C152&lt;4,C131=1)),MAX((10-5*C131*E137+H15*3.5+C151),12),0)+IF(NOT(OR(D100=1,AND(C152&lt;4,C131=1))),15-5*C131*E137-C82,0)</f>
        <v>14</v>
      </c>
      <c r="T39" s="196">
        <f>IF(C127&gt;3,1,0)*0.1*(T40+T43+T51+T57+T63)</f>
        <v>0.05623539705</v>
      </c>
      <c r="U39" s="195"/>
      <c r="V39" s="196">
        <f t="shared" si="28"/>
        <v>25462.69276</v>
      </c>
      <c r="W39" s="196">
        <f t="shared" si="29"/>
        <v>10094.43716</v>
      </c>
      <c r="X39" s="195"/>
      <c r="Y39" s="194"/>
      <c r="Z39" s="194"/>
      <c r="AA39" s="194"/>
      <c r="AB39" s="195"/>
    </row>
    <row r="40">
      <c r="A40" s="98"/>
      <c r="B40" s="276" t="s">
        <v>111</v>
      </c>
      <c r="C40" s="25">
        <f>Inputs!C42</f>
        <v>1</v>
      </c>
      <c r="D40" s="78"/>
      <c r="E40" s="2"/>
      <c r="G40" s="281" t="s">
        <v>333</v>
      </c>
      <c r="H40" s="237">
        <f>0.083*(11+2*C107)*1.3*1.25</f>
        <v>1.753375</v>
      </c>
      <c r="I40" s="204">
        <f>1.48*1.15</f>
        <v>1.702</v>
      </c>
      <c r="J40" s="207">
        <f>($J$6*(1+$E$116)*(1+$D$157)+169*15/120*$C$24+$C$14*6)*H40*$J$10*$L$11*I40*(1+0.01*E25)</f>
        <v>18833.2429</v>
      </c>
      <c r="K40" s="196">
        <f>J40*$J$8*$C$152*$J$14*(1+$C$131*0.05*MIN(1,5/$C$152))*(1+0.08*C120*D120)
</f>
        <v>147715.1867</v>
      </c>
      <c r="L40" s="196">
        <f>K40/$C$152</f>
        <v>29543.03735</v>
      </c>
      <c r="M40" s="196">
        <f>K40*$L$12+($J$6*(1+$E$116)*(1+$D$157)+4925*15/120*C24+$C$14*6)*0.375*(D97+2*C104)*$J$10*$J$8*$L$11*C94*(1-IF(OR(D100=1,AND(C152&lt;4,C131=1)),0,1)*IF(D100=2,1-(1-(0.75)^((5+(H15/2))/H15))/(1+3*(1-(0.75)^((5+(H15/2))/H15))*C82),1)*IF(NOT(OR(OR(D100=1,AND(C152&lt;4,C131=1)),D100=2)),1-(1-(0.75)^((4+(H15/2))/H15)),1))</f>
        <v>43535.63882</v>
      </c>
      <c r="N40" s="196">
        <f>-1*IF(OR(D100=1,AND(C152&lt;4,C131=1)),0,1)*IF(D100=2,1-(1-(0.75)^((5+(H15/2))/H15))/(1+3*(1-(0.75)^((5+(H15/2))/H15))*C82),1)*IF(NOT(OR(OR(D100=1,AND(C152&lt;4,C131=1)),D100=2)),1-(1-(0.75)^((4+(H15/2))/H15)),1)</f>
        <v>-0.3758559437</v>
      </c>
      <c r="O40" s="196">
        <f>10*IF(OR(D100=1,AND(C152&lt;4,C131=1)),C94,1)*IF(D100=2,IF(C94&gt;0,1,1-(1-(0.75)^((5+(H15/2))/H15))/(1+3*(1-(0.75)^((5+(H15/2))/H15))*C82)),1)*IF(NOT(OR(OR(D100=1,AND(C152&lt;4,C131=1)),D100=2)),IF(C94&gt;0,1,1-(1-(0.75)^((4+(H15/2))/H15))),1)</f>
        <v>10</v>
      </c>
      <c r="P40" s="194"/>
      <c r="Q40" s="196">
        <f>1.5/$J$9</f>
        <v>0.983880796</v>
      </c>
      <c r="R40" s="197">
        <v>15.0</v>
      </c>
      <c r="S40" s="196">
        <f>IF(OR(D100=1,AND(C152&lt;4,C131=1)),MAX((10-5*C131*E137+H15*3.5+C151),12),0)+IF(NOT(OR(D100=1,AND(C152&lt;4,C131=1))),15-5*C131*E137-C82,0)</f>
        <v>14</v>
      </c>
      <c r="T40" s="196">
        <f>1/S40</f>
        <v>0.07142857143</v>
      </c>
      <c r="U40" s="199">
        <f>T40*Q40</f>
        <v>0.07027719971</v>
      </c>
      <c r="V40" s="196">
        <f t="shared" si="28"/>
        <v>10551.08477</v>
      </c>
      <c r="W40" s="196">
        <f t="shared" si="29"/>
        <v>2110.216954</v>
      </c>
      <c r="X40" s="196">
        <f t="shared" ref="X40:X41" si="30">T40*M40</f>
        <v>3109.688487</v>
      </c>
      <c r="Y40" s="196">
        <f>X40*(1-$C$144)</f>
        <v>2487.75079</v>
      </c>
      <c r="Z40" s="196">
        <f>T40*N40</f>
        <v>-0.02684685312</v>
      </c>
      <c r="AA40" s="196">
        <f>T40*O40</f>
        <v>0.7142857143</v>
      </c>
      <c r="AB40" s="194"/>
    </row>
    <row r="41">
      <c r="A41" s="322" t="s">
        <v>112</v>
      </c>
      <c r="B41" s="276" t="s">
        <v>113</v>
      </c>
      <c r="C41" s="25">
        <f>Inputs!C43</f>
        <v>1</v>
      </c>
      <c r="D41" s="78"/>
      <c r="E41" s="2"/>
      <c r="G41" s="276" t="s">
        <v>135</v>
      </c>
      <c r="H41" s="254"/>
      <c r="I41" s="194"/>
      <c r="J41" s="194"/>
      <c r="K41" s="255"/>
      <c r="L41" s="255"/>
      <c r="M41" s="196">
        <f>$L$7*(0.2+0.1*C62)*$J$10</f>
        <v>431075.3221</v>
      </c>
      <c r="N41" s="194"/>
      <c r="O41" s="194"/>
      <c r="P41" s="194"/>
      <c r="Q41" s="194"/>
      <c r="R41" s="197">
        <v>120.0</v>
      </c>
      <c r="S41" s="198">
        <f>R41-30*C62+$C$151</f>
        <v>120.8</v>
      </c>
      <c r="T41" s="196">
        <f>1/S41*C56</f>
        <v>0</v>
      </c>
      <c r="U41" s="222"/>
      <c r="V41" s="222"/>
      <c r="W41" s="222"/>
      <c r="X41" s="196">
        <f t="shared" si="30"/>
        <v>0</v>
      </c>
      <c r="Y41" s="196">
        <f>X41</f>
        <v>0</v>
      </c>
      <c r="Z41" s="194"/>
      <c r="AA41" s="194"/>
      <c r="AB41" s="194"/>
    </row>
    <row r="42">
      <c r="A42" s="97"/>
      <c r="B42" s="276" t="s">
        <v>114</v>
      </c>
      <c r="C42" s="25">
        <f>Inputs!C44</f>
        <v>1</v>
      </c>
      <c r="D42" s="78"/>
      <c r="G42" s="323" t="s">
        <v>110</v>
      </c>
      <c r="H42" s="260">
        <f>1.5312*1.2*1.12</f>
        <v>2.0579328</v>
      </c>
      <c r="I42" s="204">
        <f>2.3</f>
        <v>2.3</v>
      </c>
      <c r="J42" s="207">
        <f>($J$6*(1+$E$116)*(1+$D$157)+169*15/120*$C$24+$C$14*6)*H42*$J$10*$L$11*I42*(1+0.12*C130)</f>
        <v>29871.00036</v>
      </c>
      <c r="K42" s="196">
        <f>J42*$J$8*0.7*(1+C99*0.08*MIN((T25+C108*T51*(1-(1-0.15)*(1-0.15*MAX(4,C152-1))))/T42*C152,5))*(1+0.6*C19*(1+0.2*C63))*$J$14*(1+0.08*C120)*(1+0.05*K134)*MAX((1+0.2*C63*C19),MIN((1+0.2*C63*C19)+C106*0.75*(C152-1),(1+0.2*C63*C19)+C106*1.5))</f>
        <v>272610.7645</v>
      </c>
      <c r="L42" s="196">
        <f>K42*(1+0.2*C63*C19)/MAX((1+0.2*C63*C19),MIN((1+0.2*C63*C19)+C106*0.75*(C152-1),(1+0.2*C63*C19)+C106*1.5))</f>
        <v>121160.3398</v>
      </c>
      <c r="M42" s="196">
        <f>K42*$L$12+MAX(5*0.2*T10*(1+0.05*C111),7/100*L7)*(1+C99*0.08*MIN((T25+C108*T51*(1-(1-0.15)*(1-0.15*MAX(4,C152-1))))/T42*C152,5))*$J$10*$J$15*(1+0.15*C42)</f>
        <v>889709.06</v>
      </c>
      <c r="N42" s="194"/>
      <c r="O42" s="196">
        <f>(-45)+5*C91+IF(C42&gt;0,5,0)+10*8*T26</f>
        <v>-35</v>
      </c>
      <c r="P42" s="194"/>
      <c r="Q42" s="196">
        <f t="shared" ref="Q42:Q43" si="31">1.5/$J$9</f>
        <v>0.983880796</v>
      </c>
      <c r="R42" s="194"/>
      <c r="S42" s="194"/>
      <c r="T42" s="196">
        <f>-(SUM(AA19:AA41,AA43:AA76))/O42</f>
        <v>0.4013494365</v>
      </c>
      <c r="U42" s="199">
        <f t="shared" ref="U42:U43" si="32">T42*Q42</f>
        <v>0.3948800031</v>
      </c>
      <c r="V42" s="196">
        <f t="shared" ref="V42:V44" si="33">T42*K42</f>
        <v>109412.1767</v>
      </c>
      <c r="W42" s="196">
        <f t="shared" ref="W42:W44" si="34">T42*L42</f>
        <v>48627.6341</v>
      </c>
      <c r="X42" s="196">
        <f>MIN(T42,0.2)*M42</f>
        <v>177941.812</v>
      </c>
      <c r="Y42" s="196">
        <f t="shared" ref="Y42:Y48" si="35">X42*(1-$C$144)</f>
        <v>142353.4496</v>
      </c>
      <c r="Z42" s="194"/>
      <c r="AA42" s="196">
        <f t="shared" ref="AA42:AA43" si="36">T42*O42</f>
        <v>-14.04723028</v>
      </c>
      <c r="AB42" s="194"/>
    </row>
    <row r="43">
      <c r="A43" s="98"/>
      <c r="B43" s="276" t="s">
        <v>116</v>
      </c>
      <c r="C43" s="25">
        <f>Inputs!C45</f>
        <v>1</v>
      </c>
      <c r="D43" s="78"/>
      <c r="E43" s="2"/>
      <c r="G43" s="281" t="s">
        <v>334</v>
      </c>
      <c r="H43" s="263">
        <f>0.4374</f>
        <v>0.4374</v>
      </c>
      <c r="I43" s="204">
        <v>1.15</v>
      </c>
      <c r="J43" s="207">
        <f>($J$6*(1+$E$116)*(1+$D$157)+169*15/120*$C$24+$C$14*6)*H43*$J$10*$L$11*I43*(1+0.01*E25)</f>
        <v>3174.441741</v>
      </c>
      <c r="K43" s="196">
        <f>J43*$J$8*$J$14*(1+$C$131*0.05)*(1+0.08*C120*D120)</f>
        <v>4979.633694</v>
      </c>
      <c r="L43" s="209">
        <f t="shared" ref="L43:L46" si="37">K43</f>
        <v>4979.633694</v>
      </c>
      <c r="M43" s="209">
        <f>K43*$L$12</f>
        <v>921.2322333</v>
      </c>
      <c r="N43" s="197">
        <v>-1.0</v>
      </c>
      <c r="O43" s="211">
        <v>10.0</v>
      </c>
      <c r="P43" s="204">
        <v>2.0</v>
      </c>
      <c r="Q43" s="196">
        <f t="shared" si="31"/>
        <v>0.983880796</v>
      </c>
      <c r="R43" s="204">
        <v>6.0</v>
      </c>
      <c r="S43" s="198">
        <f>IF(4*Q43&gt;=R43,4*Q43,(IF(5*Q43&gt;=R43,5*Q43,(IF(6*Q43&gt;=R43,6*Q43,(IF(7*Q43&gt;=R43,7*Q43,(8*Q43))))))))</f>
        <v>6.887165572</v>
      </c>
      <c r="T43" s="196">
        <f>MIN(1/S43,(L15-SUM(AB19:AB42)-SUM(AB44:AB56)-SUM(AB61:AB76))/2)*D87</f>
        <v>0</v>
      </c>
      <c r="U43" s="199">
        <f t="shared" si="32"/>
        <v>0</v>
      </c>
      <c r="V43" s="196">
        <f t="shared" si="33"/>
        <v>0</v>
      </c>
      <c r="W43" s="196">
        <f t="shared" si="34"/>
        <v>0</v>
      </c>
      <c r="X43" s="196">
        <f t="shared" ref="X43:X44" si="38">T43*M43</f>
        <v>0</v>
      </c>
      <c r="Y43" s="196">
        <f t="shared" si="35"/>
        <v>0</v>
      </c>
      <c r="Z43" s="196">
        <f>T43*N43</f>
        <v>0</v>
      </c>
      <c r="AA43" s="196">
        <f t="shared" si="36"/>
        <v>0</v>
      </c>
      <c r="AB43" s="196">
        <f>P43*T43</f>
        <v>0</v>
      </c>
    </row>
    <row r="44">
      <c r="A44" s="322" t="s">
        <v>117</v>
      </c>
      <c r="B44" s="276" t="s">
        <v>118</v>
      </c>
      <c r="C44" s="25">
        <f>Inputs!C46</f>
        <v>1</v>
      </c>
      <c r="D44" s="264">
        <f>Inputs!D46</f>
        <v>0</v>
      </c>
      <c r="G44" s="276" t="s">
        <v>335</v>
      </c>
      <c r="H44" s="263">
        <f>0.22</f>
        <v>0.22</v>
      </c>
      <c r="I44" s="255"/>
      <c r="J44" s="207">
        <f t="shared" ref="J44:J45" si="39">($J$6*(1+$E$116)*(1+$D$157)+$C$14*6)*H44*$J$10*$L$11</f>
        <v>1388.396221</v>
      </c>
      <c r="K44" s="196">
        <f>J44*$J$8*$J$14*(1+0.08*C120*D120)</f>
        <v>2074.216858</v>
      </c>
      <c r="L44" s="196">
        <f t="shared" si="37"/>
        <v>2074.216858</v>
      </c>
      <c r="M44" s="196">
        <f>K44*(1+$L$12)</f>
        <v>2457.946976</v>
      </c>
      <c r="N44" s="255"/>
      <c r="O44" s="255"/>
      <c r="P44" s="194"/>
      <c r="Q44" s="255"/>
      <c r="R44" s="197">
        <f>60/3</f>
        <v>20</v>
      </c>
      <c r="S44" s="196">
        <f>R44/1.13/$J$9</f>
        <v>11.60921293</v>
      </c>
      <c r="T44" s="196">
        <f>1/S44*IF($E$28=1,1,0)</f>
        <v>0</v>
      </c>
      <c r="U44" s="194"/>
      <c r="V44" s="196">
        <f t="shared" si="33"/>
        <v>0</v>
      </c>
      <c r="W44" s="196">
        <f t="shared" si="34"/>
        <v>0</v>
      </c>
      <c r="X44" s="196">
        <f t="shared" si="38"/>
        <v>0</v>
      </c>
      <c r="Y44" s="196">
        <f t="shared" si="35"/>
        <v>0</v>
      </c>
      <c r="Z44" s="194"/>
      <c r="AA44" s="194"/>
      <c r="AB44" s="194"/>
    </row>
    <row r="45">
      <c r="A45" s="97"/>
      <c r="B45" s="276" t="s">
        <v>119</v>
      </c>
      <c r="C45" s="25">
        <f>Inputs!C47</f>
        <v>1</v>
      </c>
      <c r="D45" s="78"/>
      <c r="G45" s="276" t="s">
        <v>336</v>
      </c>
      <c r="H45" s="253">
        <v>0.075</v>
      </c>
      <c r="I45" s="255"/>
      <c r="J45" s="207">
        <f t="shared" si="39"/>
        <v>473.3168934</v>
      </c>
      <c r="K45" s="209">
        <f>J45*$J$8*$J$14*(1+0.08*C120*D120)</f>
        <v>707.1193832</v>
      </c>
      <c r="L45" s="196">
        <f t="shared" si="37"/>
        <v>707.1193832</v>
      </c>
      <c r="M45" s="196">
        <f t="shared" ref="M45:M47" si="40">K45*$L$12</f>
        <v>130.8170859</v>
      </c>
      <c r="N45" s="255"/>
      <c r="O45" s="255"/>
      <c r="P45" s="194"/>
      <c r="Q45" s="255"/>
      <c r="R45" s="194"/>
      <c r="S45" s="194"/>
      <c r="T45" s="194"/>
      <c r="U45" s="194"/>
      <c r="V45" s="209">
        <f>IF(IF($E$28=2,1,0),1.13*(exp(6*12*J9/60)-1)*(1-(1-exp(-6*12*J9/60))^3)*K45/6,0)</f>
        <v>0</v>
      </c>
      <c r="W45" s="196">
        <f>V45</f>
        <v>0</v>
      </c>
      <c r="X45" s="196">
        <f>V45*$L$12</f>
        <v>0</v>
      </c>
      <c r="Y45" s="196">
        <f t="shared" si="35"/>
        <v>0</v>
      </c>
      <c r="Z45" s="194"/>
      <c r="AA45" s="194"/>
      <c r="AB45" s="194"/>
    </row>
    <row r="46">
      <c r="A46" s="97"/>
      <c r="B46" s="276" t="s">
        <v>120</v>
      </c>
      <c r="C46" s="25">
        <f>Inputs!C48</f>
        <v>2</v>
      </c>
      <c r="D46" s="78"/>
      <c r="G46" s="276" t="s">
        <v>337</v>
      </c>
      <c r="H46" s="253">
        <f>7.1545*1.2*1.2</f>
        <v>10.30248</v>
      </c>
      <c r="I46" s="204">
        <v>1.15</v>
      </c>
      <c r="J46" s="207">
        <f t="shared" ref="J46:J47" si="41">($J$6*(1+$E$116)*(1+$D$157)+169*15/120*$C$24+$C$14*6)*H46*$J$10*$L$11*I46*(1+0.01*$E$25)</f>
        <v>74770.51336</v>
      </c>
      <c r="K46" s="196">
        <f>J46*$J$8*$J$14*(1+C130*0.15*$B$19*(1+0.2*$C$63))*$H$135*(1+0.08*C120*D120)
</f>
        <v>111704.6107</v>
      </c>
      <c r="L46" s="196">
        <f t="shared" si="37"/>
        <v>111704.6107</v>
      </c>
      <c r="M46" s="196">
        <f t="shared" si="40"/>
        <v>20665.35297</v>
      </c>
      <c r="N46" s="194"/>
      <c r="O46" s="194"/>
      <c r="P46" s="194"/>
      <c r="Q46" s="194"/>
      <c r="R46" s="194"/>
      <c r="S46" s="194"/>
      <c r="T46" s="196">
        <f>T64*(3-C137)+T38</f>
        <v>0.01101321586</v>
      </c>
      <c r="U46" s="194"/>
      <c r="V46" s="196">
        <f t="shared" ref="V46:V47" si="42">T46*K46</f>
        <v>1230.22699</v>
      </c>
      <c r="W46" s="196">
        <f t="shared" ref="W46:W47" si="43">T46*L46</f>
        <v>1230.22699</v>
      </c>
      <c r="X46" s="196">
        <f t="shared" ref="X46:X48" si="44">T46*M46</f>
        <v>227.5919931</v>
      </c>
      <c r="Y46" s="196">
        <f t="shared" si="35"/>
        <v>182.0735945</v>
      </c>
      <c r="Z46" s="194"/>
      <c r="AA46" s="194"/>
      <c r="AB46" s="194"/>
    </row>
    <row r="47">
      <c r="A47" s="97"/>
      <c r="B47" s="276" t="s">
        <v>122</v>
      </c>
      <c r="C47" s="25">
        <f>Inputs!C49</f>
        <v>0</v>
      </c>
      <c r="D47" s="78"/>
      <c r="G47" s="276" t="s">
        <v>338</v>
      </c>
      <c r="H47" s="253">
        <f>3.91*1.2</f>
        <v>4.692</v>
      </c>
      <c r="I47" s="204">
        <v>1.15</v>
      </c>
      <c r="J47" s="207">
        <f t="shared" si="41"/>
        <v>34052.31058</v>
      </c>
      <c r="K47" s="196">
        <f>J47*$J$8*$C$152/SQRT(MAX(1,$C$152/8))*$J$14*(1+C130*0.15*$B$19*(1+0.2*$C$63))*$H$135*(1+0.08*C120*D120)
</f>
        <v>254364.9845</v>
      </c>
      <c r="L47" s="209">
        <f>K47/$C$152</f>
        <v>50872.99691</v>
      </c>
      <c r="M47" s="209">
        <f t="shared" si="40"/>
        <v>47057.52214</v>
      </c>
      <c r="N47" s="194"/>
      <c r="O47" s="194"/>
      <c r="P47" s="194"/>
      <c r="Q47" s="194"/>
      <c r="R47" s="194"/>
      <c r="S47" s="194"/>
      <c r="T47" s="196">
        <f>T64*(3-C137)+T38</f>
        <v>0.01101321586</v>
      </c>
      <c r="U47" s="194"/>
      <c r="V47" s="196">
        <f t="shared" si="42"/>
        <v>2801.376482</v>
      </c>
      <c r="W47" s="196">
        <f t="shared" si="43"/>
        <v>560.2752963</v>
      </c>
      <c r="X47" s="196">
        <f t="shared" si="44"/>
        <v>518.2546491</v>
      </c>
      <c r="Y47" s="196">
        <f t="shared" si="35"/>
        <v>414.6037193</v>
      </c>
      <c r="Z47" s="194"/>
      <c r="AA47" s="194"/>
      <c r="AB47" s="194"/>
    </row>
    <row r="48">
      <c r="A48" s="97"/>
      <c r="B48" s="276" t="s">
        <v>123</v>
      </c>
      <c r="C48" s="25">
        <f>Inputs!C50</f>
        <v>0</v>
      </c>
      <c r="D48" s="78"/>
      <c r="G48" s="276" t="s">
        <v>339</v>
      </c>
      <c r="H48" s="252"/>
      <c r="I48" s="203"/>
      <c r="J48" s="203"/>
      <c r="K48" s="255"/>
      <c r="L48" s="203"/>
      <c r="M48" s="196">
        <f>L7*0.2</f>
        <v>336655.8304</v>
      </c>
      <c r="N48" s="194"/>
      <c r="O48" s="194"/>
      <c r="P48" s="194"/>
      <c r="Q48" s="194"/>
      <c r="R48" s="204">
        <v>120.0</v>
      </c>
      <c r="S48" s="198">
        <f t="shared" ref="S48:S50" si="45">R48+$C$151</f>
        <v>120.8</v>
      </c>
      <c r="T48" s="196">
        <f>1/S48*C34</f>
        <v>0</v>
      </c>
      <c r="U48" s="194"/>
      <c r="V48" s="194"/>
      <c r="W48" s="194"/>
      <c r="X48" s="196">
        <f t="shared" si="44"/>
        <v>0</v>
      </c>
      <c r="Y48" s="196">
        <f t="shared" si="35"/>
        <v>0</v>
      </c>
      <c r="Z48" s="194"/>
      <c r="AA48" s="194"/>
      <c r="AB48" s="194"/>
    </row>
    <row r="49">
      <c r="A49" s="97"/>
      <c r="B49" s="276" t="s">
        <v>125</v>
      </c>
      <c r="C49" s="25">
        <f>Inputs!C51</f>
        <v>2</v>
      </c>
      <c r="D49" s="78"/>
      <c r="G49" s="276" t="s">
        <v>196</v>
      </c>
      <c r="H49" s="252"/>
      <c r="I49" s="203"/>
      <c r="J49" s="203"/>
      <c r="K49" s="255"/>
      <c r="L49" s="203"/>
      <c r="M49" s="203"/>
      <c r="N49" s="194"/>
      <c r="O49" s="194"/>
      <c r="P49" s="256">
        <f>MIN(C90*C152,6)</f>
        <v>5</v>
      </c>
      <c r="Q49" s="196">
        <f t="shared" ref="Q49:Q51" si="46">1.5/$J$9</f>
        <v>0.983880796</v>
      </c>
      <c r="R49" s="204">
        <v>90.0</v>
      </c>
      <c r="S49" s="198">
        <f t="shared" si="45"/>
        <v>90.8</v>
      </c>
      <c r="T49" s="196">
        <f>1/S49*C103*D103</f>
        <v>0</v>
      </c>
      <c r="U49" s="199">
        <f t="shared" ref="U49:U51" si="47">T49*Q49</f>
        <v>0</v>
      </c>
      <c r="V49" s="194"/>
      <c r="W49" s="194"/>
      <c r="X49" s="194"/>
      <c r="Y49" s="194"/>
      <c r="Z49" s="194"/>
      <c r="AA49" s="194"/>
      <c r="AB49" s="196">
        <f>P49*T49</f>
        <v>0</v>
      </c>
    </row>
    <row r="50">
      <c r="A50" s="97"/>
      <c r="B50" s="276" t="s">
        <v>126</v>
      </c>
      <c r="C50" s="25">
        <f>Inputs!C52</f>
        <v>0</v>
      </c>
      <c r="D50" s="78"/>
      <c r="G50" s="276" t="s">
        <v>340</v>
      </c>
      <c r="H50" s="253">
        <v>3.78</v>
      </c>
      <c r="I50" s="203"/>
      <c r="J50" s="207">
        <f>($J$6*(1+$E$116)*(1+$D$157)+$C$14*6)*H50*$J$10*$L$11</f>
        <v>23855.17143</v>
      </c>
      <c r="K50" s="255"/>
      <c r="L50" s="203"/>
      <c r="M50" s="196">
        <f>J50*$J$8*$J$15</f>
        <v>30248.56481</v>
      </c>
      <c r="N50" s="194"/>
      <c r="O50" s="194"/>
      <c r="P50" s="194"/>
      <c r="Q50" s="196">
        <f t="shared" si="46"/>
        <v>0.983880796</v>
      </c>
      <c r="R50" s="197">
        <v>90.0</v>
      </c>
      <c r="S50" s="198">
        <f t="shared" si="45"/>
        <v>90.8</v>
      </c>
      <c r="T50" s="196">
        <f>1/S50*IF($E$29=2,1,0)</f>
        <v>0</v>
      </c>
      <c r="U50" s="199">
        <f t="shared" si="47"/>
        <v>0</v>
      </c>
      <c r="V50" s="194"/>
      <c r="W50" s="194"/>
      <c r="X50" s="196">
        <f>T50*M50</f>
        <v>0</v>
      </c>
      <c r="Y50" s="196">
        <f t="shared" ref="Y50:Y51" si="48">X50*(1-$C$144)</f>
        <v>0</v>
      </c>
      <c r="Z50" s="194"/>
      <c r="AA50" s="194"/>
      <c r="AB50" s="194"/>
    </row>
    <row r="51">
      <c r="A51" s="98"/>
      <c r="B51" s="276" t="s">
        <v>128</v>
      </c>
      <c r="C51" s="25">
        <f>Inputs!C53</f>
        <v>1</v>
      </c>
      <c r="D51" s="78"/>
      <c r="E51" s="2"/>
      <c r="G51" s="281" t="s">
        <v>175</v>
      </c>
      <c r="H51" s="253">
        <f>1.31112*1.2*1.25</f>
        <v>1.96668</v>
      </c>
      <c r="I51" s="204">
        <v>1.15</v>
      </c>
      <c r="J51" s="207">
        <f>($J$6*(1+$E$116)*(1+$D$157)+169*15/120*$C$24+$C$14*6)*H51*$J$10*$L$11*I51*(1+0.15*C93)</f>
        <v>14273.23064</v>
      </c>
      <c r="K51" s="196">
        <f>J51*$J$8*0.7*IF($C$152&lt;=5,IF($C$152&lt;3,$C$152,2+IF($C$43&gt;0,$C$152-2,0)*((14-5*C131*E137)/S40)),2+IF($C$43&gt;0,3,0)*((14-5*C131*E137)/S40))*$J$14*(1+0.08*C120*D120)</f>
        <v>74633.02844</v>
      </c>
      <c r="L51" s="196">
        <f>K51/IF($C$152&lt;=5,IF($C$152&lt;3,$C$152,2+IF($C$43&gt;0,$C$152-2,0)*((14-5*C131*E137)/S40)),2+IF($C$43&gt;0,3,0)*((14-5*C131*E137)/S40))</f>
        <v>14926.60569</v>
      </c>
      <c r="M51" s="196">
        <f>K51*$L$12+IF($C$152&lt;=5,IF($C$152&lt;3,$C$152,2+IF($C$43&gt;0,$C$152-2,0)*((14-5*C131*E137)/S40)),2+IF($C$43&gt;0,3,0)*((14-5*C131*E137)/S40))*$L$7*0.0025*$C$95</f>
        <v>13807.11026</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6"/>
        <v>0.983880796</v>
      </c>
      <c r="R51" s="194"/>
      <c r="S51" s="194"/>
      <c r="T51" s="196">
        <f>MIN(($L$9+SUM(Z19:Z50)+SUM(Z52:Z76))/(-N51),MAX((1-SUM(U18:U41,U43:U50,U52:U76)+SUM(AA19:AA41,AA43:AA50,AA52:AA76)/O42*Q42)/Q51*(-O42/(O51-O42)),0))</f>
        <v>0.4003060619</v>
      </c>
      <c r="U51" s="199">
        <f t="shared" si="47"/>
        <v>0.3938534468</v>
      </c>
      <c r="V51" s="196">
        <f>(T51-T74+3*(1-C131*T38*(8+C110*4))*C116/(9/(1/(0.5+(2/((L14+0.3*(1-(1-(T38*(8+C110*4)))*(1-IF(C127&gt;3,1,0)*(1-0.875^(8*(T40+T43+T51+T57+T63)))))))-1+IF(C152=1,0.5,0))/C152))+9/(1/(0.5+(2/((L14+0.3*(1-(1-(T38*(8+C110*4)))*(1-IF(C127&gt;3,1,0)*(1-0.875^(8*(T40+T43+T51+T57+T63)))))))-1+IF(C152=1,0.5,0))/C152))/2*((0.8/3^(C152-1))/(1-(0.8/3^(C152-1))))+6)+1.5*(1-C131*(T38*(8+C110*4))/(1-(1-(T38*(8+C110*4)))*(1-IF(C127&gt;3,1,0)*(1-0.875^(8*(T40+T43+T51+T57+T63))))))*F127)*K51</f>
        <v>39245.06523</v>
      </c>
      <c r="W51" s="196">
        <f>(T51-T74+3*(1-C131*T38*(8+C110*4))*C116/(9/(1/(0.5+(2/((L14+0.3*(1-(1-(T38*(8+C110*4)))*(1-IF(C127&gt;3,1,0)*(1-0.875^(8*(T40+T43+T51+T57+T63)))))))-1+IF(C152=1,0.5,0))/C152))+9/(1/(0.5+(2/((L14+0.3*(1-(1-(T38*(8+C110*4)))*(1-IF(C127&gt;3,1,0)*(1-0.875^(8*(T40+T43+T51+T57+T63)))))))-1+IF(C152=1,0.5,0))/C152))/2*((0.8/3^(C152-1))/(1-(0.8/3^(C152-1))))+6)+1.5*(1-C131*(T38*(8+C110*4))/(1-(1-(T38*(8+C110*4)))*(1-IF(C127&gt;3,1,0)*(1-0.875^(8*(T40+T43+T51+T57+T63))))))*F127)*L51</f>
        <v>7849.013046</v>
      </c>
      <c r="X51" s="196">
        <f>(T51-T74)*M51</f>
        <v>2872.971253</v>
      </c>
      <c r="Y51" s="196">
        <f t="shared" si="48"/>
        <v>2298.377002</v>
      </c>
      <c r="Z51" s="196">
        <f>T51*N51</f>
        <v>-0.4003060619</v>
      </c>
      <c r="AA51" s="196">
        <f>T51*O51</f>
        <v>10.00765155</v>
      </c>
      <c r="AB51" s="194"/>
    </row>
    <row r="52">
      <c r="A52" s="329" t="s">
        <v>129</v>
      </c>
      <c r="B52" s="276" t="s">
        <v>130</v>
      </c>
      <c r="C52" s="25">
        <f>Inputs!C54</f>
        <v>1</v>
      </c>
      <c r="D52" s="78"/>
      <c r="G52" s="281"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276" t="s">
        <v>132</v>
      </c>
      <c r="C53" s="25">
        <f>Inputs!C55</f>
        <v>0</v>
      </c>
      <c r="D53" s="78"/>
      <c r="G53" s="276" t="s">
        <v>342</v>
      </c>
      <c r="H53" s="27"/>
      <c r="I53" s="194"/>
      <c r="J53" s="207">
        <f>J29*0.2</f>
        <v>4573.778078</v>
      </c>
      <c r="K53" s="196">
        <f>J53*$J$8*IF($C$152&lt;=5,IF($C$152&lt;3,$C$152,IF($C$43&gt;0,$C$152,2)*(14-5*C131*E137)/$S$40+2*($S$40-(14-5*C131*E137))/$S$40),IF($C$43&gt;0,5,2)*(14-5*C131*E137)/$S$40+2*($S$40-(14-5*C131*E137))/$S$40)*$J$14*(1+$C$131*0.05)*(1+0.08*C120*D120)</f>
        <v>35873.61383</v>
      </c>
      <c r="L53" s="196">
        <f>K53/IF($C$152&lt;=5,IF($C$152&lt;3,$C$152,IF($C$43&gt;0,$C$152,2)*(14-5*C131*E137)/$S$40+2*($S$40-(14-5*C131*E137))/$S$40),IF($C$43&gt;0,5,2)*(14-5*C131*E137)/$S$40+2*($S$40-(14-5*C131*E137))/$S$40)</f>
        <v>7174.722765</v>
      </c>
      <c r="M53" s="209">
        <f>K53*$L$12</f>
        <v>6636.618558</v>
      </c>
      <c r="N53" s="194"/>
      <c r="O53" s="194"/>
      <c r="P53" s="194"/>
      <c r="Q53" s="194"/>
      <c r="R53" s="194"/>
      <c r="S53" s="194"/>
      <c r="T53" s="196">
        <f>C131*T74</f>
        <v>0.1922269492</v>
      </c>
      <c r="U53" s="194"/>
      <c r="V53" s="196">
        <f>T53*K53*C131</f>
        <v>6895.875341</v>
      </c>
      <c r="W53" s="196">
        <f>T53*L53*C131</f>
        <v>1379.175068</v>
      </c>
      <c r="X53" s="196">
        <f>T53*M53*C131</f>
        <v>1275.736938</v>
      </c>
      <c r="Y53" s="196">
        <f>X53*(1-$C$144)</f>
        <v>1020.58955</v>
      </c>
      <c r="Z53" s="195"/>
      <c r="AA53" s="195"/>
      <c r="AB53" s="194"/>
    </row>
    <row r="54">
      <c r="A54" s="97"/>
      <c r="B54" s="276" t="s">
        <v>133</v>
      </c>
      <c r="C54" s="25">
        <f>Inputs!C56</f>
        <v>1</v>
      </c>
      <c r="D54" s="78"/>
      <c r="G54" s="276"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276" t="s">
        <v>134</v>
      </c>
      <c r="C55" s="25">
        <f>Inputs!C57</f>
        <v>1</v>
      </c>
      <c r="D55" s="78"/>
      <c r="G55" s="276" t="s">
        <v>204</v>
      </c>
      <c r="H55" s="27"/>
      <c r="I55" s="194"/>
      <c r="J55" s="194"/>
      <c r="K55" s="194"/>
      <c r="L55" s="255"/>
      <c r="M55" s="196">
        <f>M42*0.2/(1+C99*0.08*MIN((T25+C108*T51*(1-(1-0.15)*(1-0.15*MAX(4,C152-1))))/T42*C152,5))</f>
        <v>136370.5714</v>
      </c>
      <c r="N55" s="194"/>
      <c r="O55" s="194"/>
      <c r="P55" s="194"/>
      <c r="Q55" s="194"/>
      <c r="R55" s="194"/>
      <c r="S55" s="194"/>
      <c r="T55" s="196">
        <f>T42*C109</f>
        <v>0.4013494365</v>
      </c>
      <c r="U55" s="194"/>
      <c r="V55" s="255"/>
      <c r="W55" s="255"/>
      <c r="X55" s="196">
        <f t="shared" ref="X55:X57" si="49">T55*M55</f>
        <v>54732.252</v>
      </c>
      <c r="Y55" s="196">
        <f t="shared" ref="Y55:Y57" si="50">X55*(1-$C$144)</f>
        <v>43785.8016</v>
      </c>
      <c r="Z55" s="195"/>
      <c r="AA55" s="195"/>
      <c r="AB55" s="194"/>
    </row>
    <row r="56">
      <c r="A56" s="97"/>
      <c r="B56" s="276" t="s">
        <v>135</v>
      </c>
      <c r="C56" s="25">
        <f>Inputs!C58</f>
        <v>0</v>
      </c>
      <c r="D56" s="78"/>
      <c r="G56" s="276" t="s">
        <v>344</v>
      </c>
      <c r="H56" s="253">
        <v>4.2</v>
      </c>
      <c r="I56" s="194"/>
      <c r="J56" s="207">
        <f>($J$6*(1+$E$116)*(1+$D$157)+$C$14*6)*H56*$J$10*$L$11</f>
        <v>26505.74603</v>
      </c>
      <c r="K56" s="196">
        <f>J56*$J$8*$C$152/SQRT(MAX(1,$C$152/8))*$J$14*(1+0.08*C120*D120)
</f>
        <v>197993.4273</v>
      </c>
      <c r="L56" s="196">
        <f>K56/$C$152</f>
        <v>39598.68546</v>
      </c>
      <c r="M56" s="196">
        <f t="shared" ref="M56:M57" si="51">K56*$L$12</f>
        <v>36628.78405</v>
      </c>
      <c r="N56" s="194"/>
      <c r="O56" s="194"/>
      <c r="P56" s="194"/>
      <c r="Q56" s="196">
        <f t="shared" ref="Q56:Q57" si="52">1.5/$J$9</f>
        <v>0.983880796</v>
      </c>
      <c r="R56" s="204">
        <v>150.0</v>
      </c>
      <c r="S56" s="198">
        <f>R56+$C$151</f>
        <v>150.8</v>
      </c>
      <c r="T56" s="196">
        <f>1/S56*E31</f>
        <v>0</v>
      </c>
      <c r="U56" s="199">
        <f t="shared" ref="U56:U57" si="53">T56*Q56</f>
        <v>0</v>
      </c>
      <c r="V56" s="196">
        <f t="shared" ref="V56:V57" si="54">T56*K56</f>
        <v>0</v>
      </c>
      <c r="W56" s="196">
        <f t="shared" ref="W56:W57" si="55">T56*L56</f>
        <v>0</v>
      </c>
      <c r="X56" s="196">
        <f t="shared" si="49"/>
        <v>0</v>
      </c>
      <c r="Y56" s="196">
        <f t="shared" si="50"/>
        <v>0</v>
      </c>
      <c r="Z56" s="195"/>
      <c r="AA56" s="195"/>
      <c r="AB56" s="194"/>
    </row>
    <row r="57">
      <c r="A57" s="97"/>
      <c r="B57" s="276" t="s">
        <v>136</v>
      </c>
      <c r="C57" s="25">
        <f>Inputs!C59</f>
        <v>1</v>
      </c>
      <c r="D57" s="78"/>
      <c r="G57" s="281" t="s">
        <v>176</v>
      </c>
      <c r="H57" s="253">
        <f>1.471*1.5</f>
        <v>2.2065</v>
      </c>
      <c r="I57" s="204">
        <v>1.15</v>
      </c>
      <c r="J57" s="207">
        <f>($J$6*(1+$E$116)*(1+$D$157)+169*15/120*$C$24+$C$14*6)*H57*$J$10*$L$11*I57</f>
        <v>16013.73045</v>
      </c>
      <c r="K57" s="196">
        <f>J57*$J$8*0.7*$J$14*(1+0.08*C120*D120)
</f>
        <v>16746.77907</v>
      </c>
      <c r="L57" s="196">
        <f>K57</f>
        <v>16746.77907</v>
      </c>
      <c r="M57" s="196">
        <f t="shared" si="51"/>
        <v>3098.154127</v>
      </c>
      <c r="N57" s="197">
        <v>-2.0</v>
      </c>
      <c r="O57" s="211">
        <f>20</f>
        <v>20</v>
      </c>
      <c r="P57" s="204">
        <v>3.0</v>
      </c>
      <c r="Q57" s="196">
        <f t="shared" si="52"/>
        <v>0.983880796</v>
      </c>
      <c r="R57" s="194"/>
      <c r="S57" s="194"/>
      <c r="T57" s="196">
        <f>MAX((L15-SUM(AB19:AB56)-SUM(AB58:AB76))/3,T47)</f>
        <v>0.0906193372</v>
      </c>
      <c r="U57" s="199">
        <f t="shared" si="53"/>
        <v>0.08915862562</v>
      </c>
      <c r="V57" s="196">
        <f t="shared" si="54"/>
        <v>1517.582019</v>
      </c>
      <c r="W57" s="196">
        <f t="shared" si="55"/>
        <v>1517.582019</v>
      </c>
      <c r="X57" s="196">
        <f t="shared" si="49"/>
        <v>280.7526736</v>
      </c>
      <c r="Y57" s="196">
        <f t="shared" si="50"/>
        <v>224.6021388</v>
      </c>
      <c r="Z57" s="196">
        <f>(T57-T47/(2))*N57</f>
        <v>-0.1702254585</v>
      </c>
      <c r="AA57" s="196">
        <f t="shared" ref="AA57:AA58" si="56">T57*O57</f>
        <v>1.812386744</v>
      </c>
      <c r="AB57" s="196">
        <f>P57*T57</f>
        <v>0.2718580116</v>
      </c>
    </row>
    <row r="58">
      <c r="A58" s="97"/>
      <c r="B58" s="276" t="s">
        <v>137</v>
      </c>
      <c r="C58" s="25">
        <f>Inputs!C60</f>
        <v>0</v>
      </c>
      <c r="D58" s="78"/>
      <c r="G58" s="276"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6"/>
        <v>0</v>
      </c>
      <c r="AB58" s="194"/>
    </row>
    <row r="59">
      <c r="A59" s="329" t="s">
        <v>138</v>
      </c>
      <c r="B59" s="276" t="s">
        <v>139</v>
      </c>
      <c r="C59" s="25">
        <f>Inputs!C61</f>
        <v>1</v>
      </c>
      <c r="D59" s="264">
        <f>Inputs!D61</f>
        <v>0.9</v>
      </c>
      <c r="E59" s="2"/>
      <c r="G59" s="276" t="s">
        <v>249</v>
      </c>
      <c r="H59" s="27"/>
      <c r="I59" s="278"/>
      <c r="J59" s="194"/>
      <c r="K59" s="256">
        <f>SUM(V25,V26,K28/10*C118,V29,V35,V40,V43,V53,K68/10*C123,IF(C131=1,V74*T51/T74,0))*10*0.15*0.15*$C$152/SQRT(MAX(1,$C$152/8))*(1+$C$131*0.05*MIN(1,5/$C$152))*J10*(1+0.08*C120*D120)</f>
        <v>174737.8144</v>
      </c>
      <c r="L59" s="209">
        <f>K59/$C$152</f>
        <v>34947.56289</v>
      </c>
      <c r="M59" s="196">
        <f>K59/((1+$C$131*0.05*MIN(1,5/$C$152)))/$C$152</f>
        <v>33283.39323</v>
      </c>
      <c r="N59" s="195"/>
      <c r="O59" s="195"/>
      <c r="P59" s="194"/>
      <c r="Q59" s="194"/>
      <c r="R59" s="194"/>
      <c r="S59" s="194"/>
      <c r="T59" s="196">
        <f>T24*C131*E141</f>
        <v>0.01101321586</v>
      </c>
      <c r="U59" s="278"/>
      <c r="V59" s="196">
        <f>T59*K59</f>
        <v>1924.425269</v>
      </c>
      <c r="W59" s="196">
        <f>T59*L59</f>
        <v>384.8850538</v>
      </c>
      <c r="X59" s="196">
        <f>T59*M59</f>
        <v>366.5571941</v>
      </c>
      <c r="Y59" s="196">
        <f>X59*(1-$C$144)</f>
        <v>293.2457553</v>
      </c>
      <c r="Z59" s="194"/>
      <c r="AA59" s="194"/>
      <c r="AB59" s="194"/>
    </row>
    <row r="60">
      <c r="A60" s="97"/>
      <c r="B60" s="276" t="s">
        <v>140</v>
      </c>
      <c r="C60" s="25">
        <f>Inputs!C62</f>
        <v>1</v>
      </c>
      <c r="D60" s="78"/>
      <c r="G60" s="276" t="s">
        <v>133</v>
      </c>
      <c r="H60" s="27"/>
      <c r="I60" s="278"/>
      <c r="J60" s="194"/>
      <c r="K60" s="194"/>
      <c r="L60" s="195"/>
      <c r="M60" s="196">
        <f>K23*0.5*(1+0.15*C46)*(1+C130)</f>
        <v>9652.179581</v>
      </c>
      <c r="N60" s="195"/>
      <c r="O60" s="195"/>
      <c r="P60" s="194"/>
      <c r="Q60" s="194"/>
      <c r="R60" s="194"/>
      <c r="S60" s="194"/>
      <c r="T60" s="196">
        <f>T23*C54</f>
        <v>0.7253739295</v>
      </c>
      <c r="U60" s="278"/>
      <c r="V60" s="194"/>
      <c r="W60" s="194"/>
      <c r="X60" s="196">
        <f>T60*M60+C130*T47*(K46+K47)*0.1*(1+0.15*C46)*C54</f>
        <v>7001.439431</v>
      </c>
      <c r="Y60" s="196">
        <f>X60</f>
        <v>7001.439431</v>
      </c>
      <c r="Z60" s="194"/>
      <c r="AA60" s="194"/>
      <c r="AB60" s="194"/>
    </row>
    <row r="61">
      <c r="A61" s="97"/>
      <c r="B61" s="276" t="s">
        <v>141</v>
      </c>
      <c r="C61" s="25">
        <f>Inputs!C63</f>
        <v>1</v>
      </c>
      <c r="D61" s="264">
        <f>Inputs!D63</f>
        <v>0</v>
      </c>
      <c r="G61" s="276" t="s">
        <v>111</v>
      </c>
      <c r="H61" s="218">
        <f>0.5875*2/6*1.075</f>
        <v>0.2105208333</v>
      </c>
      <c r="I61" s="204">
        <v>1.0</v>
      </c>
      <c r="J61" s="219">
        <f>($J$6*(1+$E$116)*(1+$D$157)+169*15/120*$C$24+$C$14*6)*H61*$J$10*$L$11*I61*(1+0.01*C24)</f>
        <v>1328.574224</v>
      </c>
      <c r="K61" s="196">
        <f>J61*$J$8*0.7*(INT($J$9*60/2+1)+(60*$J$9*10+25)/40*1.35)*$J$14*(1+$C$131*0.05)</f>
        <v>109861.8312</v>
      </c>
      <c r="L61" s="196">
        <f t="shared" ref="L61:L65" si="57">K61</f>
        <v>109861.8312</v>
      </c>
      <c r="M61" s="195"/>
      <c r="N61" s="195"/>
      <c r="O61" s="195"/>
      <c r="P61" s="194"/>
      <c r="Q61" s="194"/>
      <c r="R61" s="197">
        <v>120.0</v>
      </c>
      <c r="S61" s="256">
        <f>120-30*C130*C138</f>
        <v>120</v>
      </c>
      <c r="T61" s="196">
        <f>1/S61*C40</f>
        <v>0.008333333333</v>
      </c>
      <c r="U61" s="194"/>
      <c r="V61" s="196">
        <f t="shared" ref="V61:V65" si="58">T61*K61</f>
        <v>915.5152597</v>
      </c>
      <c r="W61" s="196">
        <f t="shared" ref="W61:W65" si="59">T61*L61</f>
        <v>915.5152597</v>
      </c>
      <c r="X61" s="194"/>
      <c r="Y61" s="194"/>
      <c r="Z61" s="194"/>
      <c r="AA61" s="194"/>
      <c r="AB61" s="194"/>
    </row>
    <row r="62">
      <c r="A62" s="97"/>
      <c r="B62" s="276" t="s">
        <v>142</v>
      </c>
      <c r="C62" s="25">
        <f>Inputs!C64</f>
        <v>0</v>
      </c>
      <c r="D62" s="78"/>
      <c r="G62" s="276" t="s">
        <v>72</v>
      </c>
      <c r="H62" s="253">
        <v>0.01127</v>
      </c>
      <c r="I62" s="204">
        <v>1.15</v>
      </c>
      <c r="J62" s="207">
        <f>($J$6*(1+$E$116)*(1+$D$157)+169*15/120*$C$24+$C$14*6)*H62*$J$10*$L$11*I62*(1+0.01*E25)</f>
        <v>81.79231463</v>
      </c>
      <c r="K62" s="209">
        <f>J62*$J$8*$J$14*(1+0.2*C63)*(1+0.08*C120*D120)*(1+0.15*$B$19*(1+0.2*$C$63))</f>
        <v>146.6339323</v>
      </c>
      <c r="L62" s="196">
        <f t="shared" si="57"/>
        <v>146.6339323</v>
      </c>
      <c r="M62" s="196">
        <f t="shared" ref="M62:M65" si="60">K62*$L$12</f>
        <v>27.12727747</v>
      </c>
      <c r="N62" s="194"/>
      <c r="O62" s="194"/>
      <c r="P62" s="194"/>
      <c r="Q62" s="194"/>
      <c r="R62" s="194"/>
      <c r="S62" s="194"/>
      <c r="T62" s="196">
        <f>$B$19*(T23+T35*$C$152+T42*MIN((C152-1)*C106+1,2*C106+1)+T51*IF($C$152&lt;=5,IF($C$152&lt;3,$C$152,2+IF(C43&gt;0,$C$152-2,0)*10/S40+2*(S40-10)/S40),2+IF(C43&gt;0,3,0)*10/S40+2*(S40-10)/S40)+T57)</f>
        <v>0</v>
      </c>
      <c r="U62" s="194"/>
      <c r="V62" s="196">
        <f t="shared" si="58"/>
        <v>0</v>
      </c>
      <c r="W62" s="196">
        <f t="shared" si="59"/>
        <v>0</v>
      </c>
      <c r="X62" s="196">
        <f t="shared" ref="X62:X66" si="61">T62*M62</f>
        <v>0</v>
      </c>
      <c r="Y62" s="196">
        <f t="shared" ref="Y62:Y66" si="62">X62*(1-$C$144)</f>
        <v>0</v>
      </c>
      <c r="Z62" s="194"/>
      <c r="AA62" s="194"/>
      <c r="AB62" s="194"/>
    </row>
    <row r="63">
      <c r="A63" s="97"/>
      <c r="B63" s="276" t="s">
        <v>143</v>
      </c>
      <c r="C63" s="25">
        <f>Inputs!C65</f>
        <v>1</v>
      </c>
      <c r="D63" s="78"/>
      <c r="G63" s="276" t="s">
        <v>345</v>
      </c>
      <c r="H63" s="253">
        <f>3.07125*1.2*1.2</f>
        <v>4.4226</v>
      </c>
      <c r="I63" s="204">
        <v>1.15</v>
      </c>
      <c r="J63" s="207">
        <f>($J$6*(1+$E$116)*(1+$D$157)+169*15/120*$C$24+$C$14*6)*H63*$J$10*$L$11*I63*(1+0.01*E25)*1.05</f>
        <v>33701.98981</v>
      </c>
      <c r="K63" s="196">
        <f>J63*$J$8*$J$14*(1+0.15*$B$19*(1+0.2*$C$63))*(1+0.08*C120*D120)</f>
        <v>50349.62957</v>
      </c>
      <c r="L63" s="196">
        <f t="shared" si="57"/>
        <v>50349.62957</v>
      </c>
      <c r="M63" s="196">
        <f t="shared" si="60"/>
        <v>9314.68147</v>
      </c>
      <c r="N63" s="197">
        <v>-2.0</v>
      </c>
      <c r="O63" s="211">
        <f>20</f>
        <v>20</v>
      </c>
      <c r="P63" s="204">
        <f>3</f>
        <v>3</v>
      </c>
      <c r="Q63" s="196">
        <f>1.5/$J$9</f>
        <v>0.983880796</v>
      </c>
      <c r="R63" s="204">
        <v>45.0</v>
      </c>
      <c r="S63" s="198">
        <f>2*R63/(2+C137)+$C$151</f>
        <v>45.8</v>
      </c>
      <c r="T63" s="196">
        <f>1/S63*C130</f>
        <v>0</v>
      </c>
      <c r="U63" s="199">
        <f>T63*Q63</f>
        <v>0</v>
      </c>
      <c r="V63" s="196">
        <f t="shared" si="58"/>
        <v>0</v>
      </c>
      <c r="W63" s="196">
        <f t="shared" si="59"/>
        <v>0</v>
      </c>
      <c r="X63" s="196">
        <f t="shared" si="61"/>
        <v>0</v>
      </c>
      <c r="Y63" s="196">
        <f t="shared" si="62"/>
        <v>0</v>
      </c>
      <c r="Z63" s="196">
        <f>T63*N63</f>
        <v>0</v>
      </c>
      <c r="AA63" s="196">
        <f>T63*O63</f>
        <v>0</v>
      </c>
      <c r="AB63" s="196">
        <f>P63*T63</f>
        <v>0</v>
      </c>
    </row>
    <row r="64">
      <c r="A64" s="329" t="s">
        <v>144</v>
      </c>
      <c r="B64" s="276" t="s">
        <v>145</v>
      </c>
      <c r="C64" s="25">
        <f>Inputs!C66</f>
        <v>0</v>
      </c>
      <c r="D64" s="78"/>
      <c r="G64" s="276" t="s">
        <v>346</v>
      </c>
      <c r="H64" s="253">
        <f>0.3779*1.2</f>
        <v>0.45348</v>
      </c>
      <c r="I64" s="204">
        <v>1.15</v>
      </c>
      <c r="J64" s="207">
        <f>($J$6*(1+$E$116)*(1+$D$157)+169*15/120*$C$24+$C$14*6)*H64*$J$10*$L$11*I64*(1+0.01*E25)*1.05</f>
        <v>3455.699892</v>
      </c>
      <c r="K64" s="196">
        <f>J64*$J$8*$J$14*(1+0.15*$B$19*(1+0.2*$C$63))*$H$134*(1+0.15)*(1+0.05*(1+H8))*(1+0.08*C120*D120)</f>
        <v>251961.6242</v>
      </c>
      <c r="L64" s="196">
        <f t="shared" si="57"/>
        <v>251961.6242</v>
      </c>
      <c r="M64" s="196">
        <f t="shared" si="60"/>
        <v>46612.90047</v>
      </c>
      <c r="N64" s="194"/>
      <c r="O64" s="194"/>
      <c r="P64" s="194"/>
      <c r="Q64" s="194"/>
      <c r="R64" s="194"/>
      <c r="S64" s="194"/>
      <c r="T64" s="196">
        <f>T63</f>
        <v>0</v>
      </c>
      <c r="U64" s="194"/>
      <c r="V64" s="196">
        <f t="shared" si="58"/>
        <v>0</v>
      </c>
      <c r="W64" s="196">
        <f t="shared" si="59"/>
        <v>0</v>
      </c>
      <c r="X64" s="196">
        <f t="shared" si="61"/>
        <v>0</v>
      </c>
      <c r="Y64" s="196">
        <f t="shared" si="62"/>
        <v>0</v>
      </c>
      <c r="Z64" s="194"/>
      <c r="AA64" s="194"/>
      <c r="AB64" s="194"/>
    </row>
    <row r="65">
      <c r="A65" s="97"/>
      <c r="B65" s="276" t="s">
        <v>146</v>
      </c>
      <c r="C65" s="25">
        <f>Inputs!C67</f>
        <v>0</v>
      </c>
      <c r="D65" s="78"/>
      <c r="G65" s="281" t="s">
        <v>347</v>
      </c>
      <c r="H65" s="263">
        <v>0.5</v>
      </c>
      <c r="I65" s="194"/>
      <c r="J65" s="219">
        <f>(360+343*0.429/0.5*(1+0.05*C21)+$J$6*(1+$E$116)*(1+$D$157)+$C$14*6)*H65*$J$10*$L$11</f>
        <v>3654.674525</v>
      </c>
      <c r="K65" s="209">
        <f>J65*$J$8*$J$14*(1+0.08*C120*D120)</f>
        <v>5459.959769</v>
      </c>
      <c r="L65" s="196">
        <f t="shared" si="57"/>
        <v>5459.959769</v>
      </c>
      <c r="M65" s="196">
        <f t="shared" si="60"/>
        <v>1010.092557</v>
      </c>
      <c r="N65" s="194"/>
      <c r="O65" s="194"/>
      <c r="P65" s="194"/>
      <c r="Q65" s="196">
        <f>1.5/$J$9</f>
        <v>0.983880796</v>
      </c>
      <c r="R65" s="197">
        <v>90.0</v>
      </c>
      <c r="S65" s="198">
        <f>R65+$C$151</f>
        <v>90.8</v>
      </c>
      <c r="T65" s="196">
        <f>1/S65*C29</f>
        <v>0</v>
      </c>
      <c r="U65" s="199">
        <f>T65*Q65</f>
        <v>0</v>
      </c>
      <c r="V65" s="196">
        <f t="shared" si="58"/>
        <v>0</v>
      </c>
      <c r="W65" s="196">
        <f t="shared" si="59"/>
        <v>0</v>
      </c>
      <c r="X65" s="196">
        <f t="shared" si="61"/>
        <v>0</v>
      </c>
      <c r="Y65" s="196">
        <f t="shared" si="62"/>
        <v>0</v>
      </c>
      <c r="Z65" s="194"/>
      <c r="AA65" s="194"/>
      <c r="AB65" s="194"/>
    </row>
    <row r="66">
      <c r="A66" s="97"/>
      <c r="B66" s="276" t="s">
        <v>147</v>
      </c>
      <c r="C66" s="25">
        <f>Inputs!C68</f>
        <v>1</v>
      </c>
      <c r="D66" s="78"/>
      <c r="E66" s="2"/>
      <c r="G66" s="276" t="s">
        <v>348</v>
      </c>
      <c r="H66" s="27"/>
      <c r="I66" s="194"/>
      <c r="J66" s="194"/>
      <c r="K66" s="194"/>
      <c r="L66" s="194"/>
      <c r="M66" s="196">
        <f>$L$7*0.48*(1+0.2*C63)</f>
        <v>969568.7916</v>
      </c>
      <c r="N66" s="194"/>
      <c r="O66" s="194"/>
      <c r="P66" s="194"/>
      <c r="Q66" s="194"/>
      <c r="R66" s="204">
        <v>360.0</v>
      </c>
      <c r="S66" s="204">
        <v>360.0</v>
      </c>
      <c r="T66" s="196">
        <f>1/S66*C19</f>
        <v>0.002777777778</v>
      </c>
      <c r="U66" s="194"/>
      <c r="V66" s="194"/>
      <c r="W66" s="194"/>
      <c r="X66" s="196">
        <f t="shared" si="61"/>
        <v>2693.246643</v>
      </c>
      <c r="Y66" s="196">
        <f t="shared" si="62"/>
        <v>2154.597315</v>
      </c>
      <c r="Z66" s="194"/>
      <c r="AA66" s="194"/>
      <c r="AB66" s="194"/>
    </row>
    <row r="67">
      <c r="A67" s="97"/>
      <c r="B67" s="276" t="s">
        <v>148</v>
      </c>
      <c r="C67" s="25">
        <f>Inputs!C69</f>
        <v>1</v>
      </c>
      <c r="D67" s="78"/>
      <c r="E67" s="2"/>
      <c r="G67" s="276" t="s">
        <v>113</v>
      </c>
      <c r="H67" s="27"/>
      <c r="I67" s="194"/>
      <c r="J67" s="194"/>
      <c r="K67" s="194"/>
      <c r="L67" s="194"/>
      <c r="M67" s="194"/>
      <c r="N67" s="194"/>
      <c r="O67" s="211">
        <v>3.0</v>
      </c>
      <c r="P67" s="194"/>
      <c r="Q67" s="194"/>
      <c r="R67" s="285">
        <f>60/10.8</f>
        <v>5.555555556</v>
      </c>
      <c r="S67" s="198">
        <f>1/(10.8*J9*1.13/60)</f>
        <v>3.22478137</v>
      </c>
      <c r="T67" s="196">
        <f>1/S67*C41</f>
        <v>0.3100985417</v>
      </c>
      <c r="U67" s="194"/>
      <c r="V67" s="194"/>
      <c r="W67" s="194"/>
      <c r="X67" s="194"/>
      <c r="Y67" s="194"/>
      <c r="Z67" s="194"/>
      <c r="AA67" s="196">
        <f>T67*O67</f>
        <v>0.930295625</v>
      </c>
      <c r="AB67" s="194"/>
    </row>
    <row r="68">
      <c r="A68" s="97"/>
      <c r="B68" s="276" t="s">
        <v>149</v>
      </c>
      <c r="C68" s="25">
        <f>Inputs!C70</f>
        <v>1</v>
      </c>
      <c r="D68" s="78"/>
      <c r="G68" s="276" t="s">
        <v>220</v>
      </c>
      <c r="H68" s="253">
        <v>2.76</v>
      </c>
      <c r="I68" s="194"/>
      <c r="J68" s="207">
        <f>($J$6*(1+$E$116)*(1+$D$157)+169*15/120*$C$24+$C$14*6)*H68*$J$10*$L$11*(1+0.01*$E$25)</f>
        <v>17418.06168</v>
      </c>
      <c r="K68" s="196">
        <f>J68*$J$8*$J$14*(1+$C$131*0.05*MIN(1,5/$C$152))*$C$152/SQRT(MAX(1,$C$152/8))*(1+0.02*-AA42*8*((O42-5*IF(C42&gt;0,1,0))/O42))*(1+0.08*C120*D120)</f>
        <v>487530.9198</v>
      </c>
      <c r="L68" s="209">
        <f t="shared" ref="L68:L69" si="63">K68/$C$152</f>
        <v>97506.18396</v>
      </c>
      <c r="M68" s="196">
        <f>K68*(0.18+$L$12)</f>
        <v>177948.7857</v>
      </c>
      <c r="N68" s="194"/>
      <c r="O68" s="194"/>
      <c r="P68" s="194"/>
      <c r="Q68" s="194"/>
      <c r="R68" s="194"/>
      <c r="S68" s="194"/>
      <c r="T68" s="196">
        <f>T28*C123</f>
        <v>0</v>
      </c>
      <c r="U68" s="194"/>
      <c r="V68" s="196">
        <f t="shared" ref="V68:V69" si="64">T68*K68</f>
        <v>0</v>
      </c>
      <c r="W68" s="196">
        <f t="shared" ref="W68:W69" si="65">T68*L68</f>
        <v>0</v>
      </c>
      <c r="X68" s="196">
        <f t="shared" ref="X68:X69" si="66">T68*M68</f>
        <v>0</v>
      </c>
      <c r="Y68" s="196">
        <f t="shared" ref="Y68:Y69" si="67">X68*(1-$C$144)</f>
        <v>0</v>
      </c>
      <c r="Z68" s="194"/>
      <c r="AA68" s="194"/>
      <c r="AB68" s="194"/>
    </row>
    <row r="69">
      <c r="A69" s="97"/>
      <c r="B69" s="276" t="s">
        <v>151</v>
      </c>
      <c r="C69" s="25">
        <f>Inputs!C71</f>
        <v>1</v>
      </c>
      <c r="D69" s="78"/>
      <c r="G69" s="276" t="s">
        <v>349</v>
      </c>
      <c r="H69" s="27"/>
      <c r="I69" s="204">
        <v>1.15</v>
      </c>
      <c r="J69" s="194"/>
      <c r="K69" s="196">
        <f>K64*1/10*($C$152-1)*$I$69*1.05*IF(D100=2,(1+0.06*C119*(1-T40*(1-(0.75)^((5+(H15/2))/H15))/(1+3*(1-(0.75)^((5+(H15/2))/H15))*C82)/(1-(0.75)^((5+(H15/2))/H15)))),(1+0.06*(14-5*C131*E137)*C119*(1/S40)))</f>
        <v>128999.3124</v>
      </c>
      <c r="L69" s="196">
        <f t="shared" si="63"/>
        <v>25799.86247</v>
      </c>
      <c r="M69" s="196">
        <f>K69*$L$12</f>
        <v>23864.87279</v>
      </c>
      <c r="N69" s="194"/>
      <c r="O69" s="194"/>
      <c r="P69" s="194"/>
      <c r="Q69" s="194"/>
      <c r="R69" s="194"/>
      <c r="S69" s="194"/>
      <c r="T69" s="196">
        <f>T64</f>
        <v>0</v>
      </c>
      <c r="U69" s="194"/>
      <c r="V69" s="196">
        <f t="shared" si="64"/>
        <v>0</v>
      </c>
      <c r="W69" s="196">
        <f t="shared" si="65"/>
        <v>0</v>
      </c>
      <c r="X69" s="196">
        <f t="shared" si="66"/>
        <v>0</v>
      </c>
      <c r="Y69" s="196">
        <f t="shared" si="67"/>
        <v>0</v>
      </c>
      <c r="Z69" s="194"/>
      <c r="AA69" s="194"/>
      <c r="AB69" s="194"/>
    </row>
    <row r="70">
      <c r="A70" s="329" t="s">
        <v>152</v>
      </c>
      <c r="B70" s="276" t="s">
        <v>153</v>
      </c>
      <c r="C70" s="25">
        <f>Inputs!C72</f>
        <v>0</v>
      </c>
      <c r="D70" s="78"/>
      <c r="E70" s="2"/>
      <c r="G70" s="276"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276" t="s">
        <v>154</v>
      </c>
      <c r="C71" s="25">
        <f>Inputs!C73</f>
        <v>1</v>
      </c>
      <c r="D71" s="78"/>
      <c r="G71" s="281" t="s">
        <v>351</v>
      </c>
      <c r="H71" s="263">
        <f>1.25*0.25</f>
        <v>0.3125</v>
      </c>
      <c r="I71" s="194"/>
      <c r="J71" s="207">
        <f>($J$6*(1+$E$116)*(1+$D$157)+$C$14*6)*H71*$J$10*$L$11</f>
        <v>1972.153723</v>
      </c>
      <c r="K71" s="196">
        <f>J71*$J$8*$J$14*(1+0.08*C120*D120)*(1+$C$131*0.05*MIN(1,5/$C$152))</f>
        <v>3093.647302</v>
      </c>
      <c r="L71" s="196">
        <f>K71</f>
        <v>3093.647302</v>
      </c>
      <c r="M71" s="196">
        <f>K71*(1+$L$12)</f>
        <v>3665.972053</v>
      </c>
      <c r="N71" s="194"/>
      <c r="O71" s="194"/>
      <c r="P71" s="194"/>
      <c r="Q71" s="195"/>
      <c r="R71" s="197">
        <v>15.0</v>
      </c>
      <c r="S71" s="288">
        <f>15</f>
        <v>15</v>
      </c>
      <c r="T71" s="196">
        <f>1/S71*C25</f>
        <v>0</v>
      </c>
      <c r="U71" s="222"/>
      <c r="V71" s="196">
        <f>T71*K71</f>
        <v>0</v>
      </c>
      <c r="W71" s="196">
        <f>T71*L71</f>
        <v>0</v>
      </c>
      <c r="X71" s="196">
        <f t="shared" ref="X71:X75" si="68">T71*M71</f>
        <v>0</v>
      </c>
      <c r="Y71" s="196">
        <f>X71*(1-$C$144)</f>
        <v>0</v>
      </c>
      <c r="Z71" s="194"/>
      <c r="AA71" s="194"/>
      <c r="AB71" s="194"/>
    </row>
    <row r="72">
      <c r="A72" s="98"/>
      <c r="B72" s="276" t="s">
        <v>155</v>
      </c>
      <c r="C72" s="25">
        <f>Inputs!C74</f>
        <v>0</v>
      </c>
      <c r="D72" s="78"/>
      <c r="E72" s="2"/>
      <c r="G72" s="276" t="s">
        <v>223</v>
      </c>
      <c r="H72" s="27"/>
      <c r="I72" s="194"/>
      <c r="J72" s="194"/>
      <c r="K72" s="194"/>
      <c r="L72" s="194"/>
      <c r="M72" s="196">
        <f>MIN(L7,V29*(10+2*C92)*6)*J10*(1+0.15*C46)</f>
        <v>1510796.685</v>
      </c>
      <c r="N72" s="194"/>
      <c r="O72" s="194"/>
      <c r="P72" s="194"/>
      <c r="Q72" s="194"/>
      <c r="R72" s="194"/>
      <c r="S72" s="194"/>
      <c r="T72" s="196">
        <f>T76*C126</f>
        <v>0.04678661658</v>
      </c>
      <c r="U72" s="194"/>
      <c r="V72" s="194"/>
      <c r="W72" s="194"/>
      <c r="X72" s="196">
        <f t="shared" si="68"/>
        <v>70685.06525</v>
      </c>
      <c r="Y72" s="196">
        <f>X72</f>
        <v>70685.06525</v>
      </c>
      <c r="Z72" s="194"/>
      <c r="AA72" s="194"/>
      <c r="AB72" s="194"/>
    </row>
    <row r="73">
      <c r="A73" s="329" t="s">
        <v>156</v>
      </c>
      <c r="B73" s="276" t="s">
        <v>157</v>
      </c>
      <c r="C73" s="25">
        <f>Inputs!C75</f>
        <v>0</v>
      </c>
      <c r="D73" s="78"/>
      <c r="G73" s="281" t="s">
        <v>352</v>
      </c>
      <c r="H73" s="27"/>
      <c r="I73" s="194"/>
      <c r="J73" s="194"/>
      <c r="K73" s="194"/>
      <c r="L73" s="194"/>
      <c r="M73" s="196">
        <f>$L$7*0.04*(1+0.2*C63)</f>
        <v>80797.3993</v>
      </c>
      <c r="N73" s="194"/>
      <c r="O73" s="194"/>
      <c r="P73" s="194"/>
      <c r="Q73" s="194"/>
      <c r="R73" s="197">
        <f>60/3</f>
        <v>20</v>
      </c>
      <c r="S73" s="196">
        <f>R73/1.13/$J$9</f>
        <v>11.60921293</v>
      </c>
      <c r="T73" s="196">
        <f>1/S73*B21</f>
        <v>0</v>
      </c>
      <c r="U73" s="194"/>
      <c r="V73" s="194"/>
      <c r="W73" s="194"/>
      <c r="X73" s="196">
        <f t="shared" si="68"/>
        <v>0</v>
      </c>
      <c r="Y73" s="196">
        <f t="shared" ref="Y73:Y75" si="69">X73*(1-$C$144)</f>
        <v>0</v>
      </c>
      <c r="Z73" s="194"/>
      <c r="AA73" s="194"/>
      <c r="AB73" s="194"/>
    </row>
    <row r="74">
      <c r="A74" s="97"/>
      <c r="B74" s="276" t="s">
        <v>158</v>
      </c>
      <c r="C74" s="25">
        <f>Inputs!C76</f>
        <v>1</v>
      </c>
      <c r="D74" s="78"/>
      <c r="G74" s="276" t="s">
        <v>353</v>
      </c>
      <c r="H74" s="289">
        <f>0.907*1.25</f>
        <v>1.13375</v>
      </c>
      <c r="I74" s="204">
        <v>1.15</v>
      </c>
      <c r="J74" s="207">
        <f>($J$6*(1+$E$116)*(1+$D$157)+169*15/120*$C$24+$C$14*6)*H74*$J$10*$L$11*I74*(1+0.15*C93)*(1+0.01*$E$25)*(1+0.1*C43)</f>
        <v>9051.041737</v>
      </c>
      <c r="K74" s="196">
        <f>J74*$J$8*IF($C$152&lt;=5,IF($C$152&lt;3,$C$152,IF($C$43&gt;0,$C$152,2)*(14-5*C131*E137)/$S$40+2*($S$40-(14-5*C131*E137))/$S$40),IF($C$43&gt;0,5,2)*(14-5*C131*E137)/$S$40+2*($S$40-(14-5*C131*E137))/$S$40)*$J$14*(1+$C$131*0.2)*(1+0.08*C120*D120)</f>
        <v>81131.696</v>
      </c>
      <c r="L74" s="196">
        <f>K74/IF($C$152&lt;=5,IF($C$152&lt;3,$C$152,IF($C$43&gt;0,$C$152,2)*(14-5*C131*E137)/$S$40+2*($S$40-(14-5*C131*E137))/$S$40),IF($C$43&gt;0,5,2)*(14-5*C131*E137)/$S$40+2*($S$40-(14-5*C131*E137))/$S$40)</f>
        <v>16226.3392</v>
      </c>
      <c r="M74" s="196">
        <f>K74*$L$12+IF($C$152&lt;=5,IF($C$152&lt;3,$C$152,IF($C$43&gt;0,$C$152,2)*(14-5*C131*E137)/$S$40+2*($S$40-(14-5*C131*E137))/$S$40),IF($C$43&gt;0,5,2)*(14-5*C131*E137)/$S$40+2*($S$40-(14-5*C131*E137))/$S$40)*$L$7*0.0025*$C$95+$L$7*0.02*$J$10</f>
        <v>58116.89597</v>
      </c>
      <c r="N74" s="194"/>
      <c r="O74" s="194"/>
      <c r="P74" s="194"/>
      <c r="Q74" s="194"/>
      <c r="R74" s="194"/>
      <c r="S74" s="194"/>
      <c r="T74" s="196">
        <f>C131*((T38*(8+C110*4))*T51+(1-T38*(8+C110*4))*((0.35+0.05*14/S40*E136)*T42+(E140*0.35*0.15)*T42))</f>
        <v>0.1922269492</v>
      </c>
      <c r="U74" s="194"/>
      <c r="V74" s="196">
        <f>(T74+(C131*T38*(8+C110*4))*C116/(9/(1/(0.5+(2/((L14+0.3*(1-(1-(T38*(8+C110*4)))*(1-IF(C127&gt;3,1,0)*(1-0.875^(8*(T40+T43+T51+T57+T63)))))))-1+IF(C152=1,0.5,0))/C152))+9/(1/(0.5+(2/((L14+0.3*(1-(1-(T38*(8+C110*4)))*(1-IF(C127&gt;3,1,0)*(1-0.875^(8*(T40+T43+T51+T57+T63)))))))-1+IF(C152=1,0.5,0))/C152))/2*((0.8/3^(C152-1))/(1-(0.8/3^(C152-1))))+6)+1.5*C131*F127*((T38*(8+C110*4))/(1-(1-(T38*(8+C110*4)))*(1-IF(C127&gt;3,1,0)*(1-0.875^(8*(T40+T43+T51+T57+T63)))))))*K74</f>
        <v>20561.87291</v>
      </c>
      <c r="W74" s="196">
        <f>(T74+(C131*T38*(8+C110*4))*C116/(9/(1/(0.5+(2/((L14+0.3*(1-(1-(T38*(8+C110*4)))*(1-IF(C127&gt;3,1,0)*(1-0.875^(8*(T40+T43+T51+T57+T63)))))))-1+IF(C152=1,0.5,0))/C152))+9/(1/(0.5+(2/((L14+0.3*(1-(1-(T38*(8+C110*4)))*(1-IF(C127&gt;3,1,0)*(1-0.875^(8*(T40+T43+T51+T57+T63)))))))-1+IF(C152=1,0.5,0))/C152))/2*((0.8/3^(C152-1))/(1-(0.8/3^(C152-1))))+6)+1.5*C131*F127*((T38*(8+C110*4))/(1-(1-(T38*(8+C110*4)))*(1-IF(C127&gt;3,1,0)*(1-0.875^(8*(T40+T43+T51+T57+T63)))))))*L74</f>
        <v>4112.374582</v>
      </c>
      <c r="X74" s="196">
        <f t="shared" si="68"/>
        <v>11171.63361</v>
      </c>
      <c r="Y74" s="196">
        <f t="shared" si="69"/>
        <v>8937.306885</v>
      </c>
      <c r="Z74" s="194"/>
      <c r="AA74" s="194"/>
      <c r="AB74" s="293"/>
    </row>
    <row r="75">
      <c r="A75" s="97"/>
      <c r="B75" s="276" t="s">
        <v>160</v>
      </c>
      <c r="C75" s="25">
        <f>Inputs!C77</f>
        <v>1</v>
      </c>
      <c r="D75" s="78"/>
      <c r="G75" s="276" t="s">
        <v>354</v>
      </c>
      <c r="H75" s="253">
        <f>1.766*1.2</f>
        <v>2.1192</v>
      </c>
      <c r="I75" s="204">
        <v>1.15</v>
      </c>
      <c r="J75" s="207">
        <f>($J$6*(1+$E$116)*(1+$D$157)+169*15/120*$C$24+$C$14*6)*H75*$J$10*$L$11*I75*(1+0.01*$E$25)</f>
        <v>15380.14846</v>
      </c>
      <c r="K75" s="196">
        <f>J75*($J$8+2)/2*(1+$C$152)*$J$14*(1+0.15*$B$19*(1+0.2*$C$63))*(H8*0.05/2+1)*(1+0.08*C120*D120)</f>
        <v>183004.0595</v>
      </c>
      <c r="L75" s="196">
        <f>K75*2/(1+$C$152)</f>
        <v>61001.35316</v>
      </c>
      <c r="M75" s="196">
        <f>K75*$L$12</f>
        <v>33855.751</v>
      </c>
      <c r="N75" s="194"/>
      <c r="O75" s="194"/>
      <c r="P75" s="194"/>
      <c r="Q75" s="194"/>
      <c r="R75" s="194"/>
      <c r="S75" s="194"/>
      <c r="T75" s="196">
        <f>T63</f>
        <v>0</v>
      </c>
      <c r="U75" s="293"/>
      <c r="V75" s="196">
        <f>T75*K75</f>
        <v>0</v>
      </c>
      <c r="W75" s="196">
        <f>T75*L75</f>
        <v>0</v>
      </c>
      <c r="X75" s="196">
        <f t="shared" si="68"/>
        <v>0</v>
      </c>
      <c r="Y75" s="196">
        <f t="shared" si="69"/>
        <v>0</v>
      </c>
      <c r="Z75" s="293"/>
      <c r="AA75" s="293"/>
      <c r="AB75" s="293"/>
    </row>
    <row r="76">
      <c r="A76" s="98"/>
      <c r="B76" s="276" t="s">
        <v>161</v>
      </c>
      <c r="C76" s="25">
        <f>Inputs!C78</f>
        <v>0</v>
      </c>
      <c r="D76" s="78"/>
      <c r="G76" s="281" t="s">
        <v>179</v>
      </c>
      <c r="H76" s="27"/>
      <c r="I76" s="194"/>
      <c r="J76" s="194"/>
      <c r="K76" s="194"/>
      <c r="L76" s="194"/>
      <c r="M76" s="194"/>
      <c r="N76" s="194"/>
      <c r="O76" s="194"/>
      <c r="P76" s="194"/>
      <c r="Q76" s="194"/>
      <c r="R76" s="295">
        <f>90</f>
        <v>90</v>
      </c>
      <c r="S76" s="287">
        <f>R76/(1-AA42/5*C122*((O42-5*IF(C42&gt;0,1,0))/O42))</f>
        <v>21.3736336</v>
      </c>
      <c r="T76" s="287">
        <f>1/S76*C89*C149</f>
        <v>0.04678661658</v>
      </c>
      <c r="U76" s="293"/>
      <c r="V76" s="293"/>
      <c r="W76" s="298"/>
      <c r="X76" s="298"/>
      <c r="Y76" s="293"/>
      <c r="Z76" s="293"/>
      <c r="AA76" s="293"/>
      <c r="AB76" s="293"/>
    </row>
    <row r="77">
      <c r="A77" s="329" t="s">
        <v>162</v>
      </c>
      <c r="B77" s="276" t="s">
        <v>163</v>
      </c>
      <c r="C77" s="25">
        <f>Inputs!C79</f>
        <v>2</v>
      </c>
      <c r="D77" s="78"/>
      <c r="T77" s="334" t="s">
        <v>230</v>
      </c>
      <c r="U77" s="300">
        <f t="shared" ref="U77:X77" si="70">sum(U19:U76)</f>
        <v>1</v>
      </c>
      <c r="V77" s="140">
        <f t="shared" si="70"/>
        <v>324430.9328</v>
      </c>
      <c r="W77" s="140">
        <f t="shared" si="70"/>
        <v>112067.4741</v>
      </c>
      <c r="X77" s="140">
        <f t="shared" si="70"/>
        <v>442139.1721</v>
      </c>
      <c r="Y77" s="140">
        <f>sum(Y19:Y76)+W78</f>
        <v>384445.5521</v>
      </c>
      <c r="Z77" s="140">
        <f t="shared" ref="Z77:AB77" si="71">sum(Z19:Z76)</f>
        <v>-0.4570809304</v>
      </c>
      <c r="AA77" s="140">
        <f t="shared" si="71"/>
        <v>0</v>
      </c>
      <c r="AB77" s="152">
        <f t="shared" si="71"/>
        <v>0.3269240909</v>
      </c>
    </row>
    <row r="78">
      <c r="A78" s="97"/>
      <c r="B78" s="276" t="s">
        <v>165</v>
      </c>
      <c r="C78" s="25">
        <f>Inputs!C80</f>
        <v>0</v>
      </c>
      <c r="D78" s="78"/>
      <c r="E78" s="2"/>
      <c r="I78" s="325"/>
    </row>
    <row r="79">
      <c r="A79" s="98"/>
      <c r="B79" s="276" t="s">
        <v>166</v>
      </c>
      <c r="C79" s="25">
        <f>Inputs!C81</f>
        <v>2</v>
      </c>
      <c r="D79" s="78"/>
      <c r="E79" s="2"/>
      <c r="V79" s="326">
        <f>8047*20*1.13/60*J8*J10*0.7</f>
        <v>3312.418059</v>
      </c>
      <c r="W79" s="326">
        <f>498629/150*J8*J10*(0.85+0.15*C152)</f>
        <v>8303.518747</v>
      </c>
      <c r="Y79" s="326">
        <f>-(1.13*(1-exp(-1*12/60)))*49872/12*J10*L10</f>
        <v>-937.1879001</v>
      </c>
    </row>
    <row r="80">
      <c r="A80" s="335" t="s">
        <v>168</v>
      </c>
      <c r="B80" s="276" t="s">
        <v>169</v>
      </c>
      <c r="C80" s="25">
        <f>Inputs!C82</f>
        <v>1</v>
      </c>
      <c r="D80" s="78"/>
      <c r="E80" s="2"/>
      <c r="S80" s="301"/>
      <c r="T80" s="301"/>
      <c r="V80" s="326">
        <f>(239640*0.7+129036)*1.13*0.92/60*J8*J10</f>
        <v>8028.074942</v>
      </c>
    </row>
    <row r="81">
      <c r="A81" s="122"/>
      <c r="B81" s="276" t="s">
        <v>171</v>
      </c>
      <c r="C81" s="25">
        <f>Inputs!C83</f>
        <v>0</v>
      </c>
      <c r="D81" s="78"/>
      <c r="E81" s="2"/>
      <c r="S81" s="62"/>
      <c r="T81" s="62"/>
      <c r="V81" s="326">
        <f>221688*0.85*1.13/60*J8*J10*J9*(0.85+0.15*C152)</f>
        <v>13514.90433</v>
      </c>
      <c r="W81" s="326">
        <f>(1.13*(1-exp(-2*10/60)))*8804*5/10*(0.85+0.15*C152)*J8*J10</f>
        <v>3522.163189</v>
      </c>
    </row>
    <row r="82">
      <c r="A82" s="122"/>
      <c r="B82" s="276" t="s">
        <v>172</v>
      </c>
      <c r="C82" s="25">
        <f>Inputs!C84</f>
        <v>1</v>
      </c>
      <c r="D82" s="78"/>
      <c r="E82" s="2"/>
      <c r="S82" s="301"/>
      <c r="T82" s="301"/>
      <c r="U82" s="336"/>
      <c r="V82" s="326">
        <f>150750*1.25*1.13/60*J8*J10*J9*(0.85+0.15*C152)</f>
        <v>13515.09798</v>
      </c>
    </row>
    <row r="83">
      <c r="A83" s="123"/>
      <c r="B83" s="276" t="s">
        <v>173</v>
      </c>
      <c r="C83" s="25">
        <f>Inputs!C85</f>
        <v>0</v>
      </c>
      <c r="D83" s="78"/>
      <c r="E83" s="2"/>
      <c r="V83" s="326">
        <f>124747/6*(1.13*(1-exp(-2*J9*6/60)))*J8*J10</f>
        <v>9639.658385</v>
      </c>
    </row>
    <row r="84">
      <c r="A84" s="2"/>
      <c r="B84" s="2"/>
      <c r="C84" s="2"/>
      <c r="D84" s="2"/>
      <c r="E84" s="2"/>
      <c r="R84" s="302"/>
      <c r="V84" s="326">
        <f>135322*4/150*J8*J10*(0.85+0.15*C152)</f>
        <v>9013.906242</v>
      </c>
    </row>
    <row r="85">
      <c r="A85" s="2"/>
      <c r="B85" s="321" t="s">
        <v>174</v>
      </c>
      <c r="C85" s="283" t="s">
        <v>106</v>
      </c>
      <c r="D85" s="283" t="s">
        <v>107</v>
      </c>
      <c r="E85" s="2"/>
      <c r="V85" s="326">
        <f>15233*1.5*1.13/60*J8*J10*5*5/3</f>
        <v>5598.588682</v>
      </c>
    </row>
    <row r="86">
      <c r="A86" s="337" t="s">
        <v>108</v>
      </c>
      <c r="B86" s="276" t="s">
        <v>175</v>
      </c>
      <c r="C86" s="25">
        <f>Inputs!C88</f>
        <v>1</v>
      </c>
      <c r="D86" s="78"/>
      <c r="E86" s="2"/>
      <c r="U86" s="326">
        <f>(20*0.793)*14698*J8*J10*0.7/60*1.375</f>
        <v>5838.03679</v>
      </c>
      <c r="V86" s="326">
        <f>(20+2/3*(C152*4-2-2/3))*14698*J8*J10*0.7/60*1.375</f>
        <v>11615.54188</v>
      </c>
    </row>
    <row r="87">
      <c r="A87" s="322" t="s">
        <v>112</v>
      </c>
      <c r="B87" s="276" t="s">
        <v>176</v>
      </c>
      <c r="C87" s="25">
        <f>Inputs!C89</f>
        <v>1</v>
      </c>
      <c r="D87" s="25">
        <f>Inputs!D89</f>
        <v>0</v>
      </c>
      <c r="V87" s="326">
        <f>156528*1.13/60*J8*J9*J10*1.5*(0.85+0.15*C152)</f>
        <v>16839.73139</v>
      </c>
    </row>
    <row r="88">
      <c r="A88" s="98"/>
      <c r="B88" s="276" t="s">
        <v>177</v>
      </c>
      <c r="C88" s="25">
        <f>Inputs!C90</f>
        <v>1</v>
      </c>
      <c r="D88" s="78"/>
      <c r="E88" s="2"/>
      <c r="V88" s="326">
        <f>91711*J8*J10/90*(0.85+0.15*C152)*5*0.79+2395/3*J10*J8*C152*0.8</f>
        <v>15039.70349</v>
      </c>
      <c r="W88" s="326">
        <f>80382*J8*J10/90*(0.85+0.15*C152)*5*0.79+2013/3*J10*J8*C152*0.8</f>
        <v>13002.53577</v>
      </c>
      <c r="X88" s="326">
        <f>(660181*J10*1.15*1.5-93582*5*J10*L10*0.79)/90*1.5-2395*J10*L10/3*0.8</f>
        <v>16817.8867</v>
      </c>
      <c r="Y88" s="326">
        <f>(578625*J10*1.15*1.5-82021*5*J10*L10*0.79)/90*1.5-2013*J10*L10/3*0.8</f>
        <v>14765.58097</v>
      </c>
    </row>
    <row r="89">
      <c r="A89" s="329" t="s">
        <v>117</v>
      </c>
      <c r="B89" s="276" t="s">
        <v>179</v>
      </c>
      <c r="C89" s="25">
        <f>Inputs!C91</f>
        <v>1</v>
      </c>
      <c r="D89" s="78"/>
      <c r="E89" s="2"/>
      <c r="U89" s="326">
        <f>205064/1.2^15</f>
        <v>13309.77561</v>
      </c>
      <c r="V89" s="4">
        <f>(304680/(1.2)^15)*3*1.13*1.2^15/60*J8*J9*J10*(127566/205064)*IF(C152&gt;1,1,1)*0.9</f>
        <v>22939.56121</v>
      </c>
      <c r="X89" s="326">
        <f>-V89/2*L10</f>
        <v>-9861.356279</v>
      </c>
    </row>
    <row r="90">
      <c r="A90" s="98"/>
      <c r="B90" s="276" t="s">
        <v>180</v>
      </c>
      <c r="C90" s="25">
        <f>Inputs!C92</f>
        <v>1</v>
      </c>
      <c r="D90" s="78"/>
      <c r="E90" s="2"/>
      <c r="U90" s="326">
        <f>9935*1.2^14</f>
        <v>127557.2995</v>
      </c>
      <c r="V90" s="326">
        <f>7848*1.5*5*1.13/60*J8*J9*J10</f>
        <v>2638.469874</v>
      </c>
      <c r="X90" s="326">
        <f>-1053*1.5*5*1.13/60*J9*J10*L10</f>
        <v>-249.6399937</v>
      </c>
    </row>
    <row r="91">
      <c r="A91" s="329" t="s">
        <v>129</v>
      </c>
      <c r="B91" s="276" t="s">
        <v>181</v>
      </c>
      <c r="C91" s="25">
        <f>Inputs!C93</f>
        <v>1</v>
      </c>
      <c r="D91" s="78"/>
      <c r="E91" s="2"/>
      <c r="V91" s="326">
        <f>V25/C152</f>
        <v>8174.443176</v>
      </c>
      <c r="X91" s="326">
        <f>258568*2*1.13/60*1.15*J9*J10</f>
        <v>21864.80466</v>
      </c>
    </row>
    <row r="92">
      <c r="A92" s="97"/>
      <c r="B92" s="276" t="s">
        <v>182</v>
      </c>
      <c r="C92" s="25">
        <f>Inputs!C94</f>
        <v>2</v>
      </c>
      <c r="D92" s="78"/>
      <c r="E92" s="2"/>
      <c r="V92" s="326">
        <f>69524/60*1.13*2*J9*J8*J10+44080*J9*J8*J10*2/60*0.7*1.13</f>
        <v>8999.307032</v>
      </c>
    </row>
    <row r="93">
      <c r="A93" s="97"/>
      <c r="B93" s="276" t="s">
        <v>184</v>
      </c>
      <c r="C93" s="25">
        <f>Inputs!C95</f>
        <v>0</v>
      </c>
      <c r="D93" s="78"/>
      <c r="X93" s="326">
        <f>1.13*1.21/60*(140745+93831*2)*1.15*J10</f>
        <v>11020.20898</v>
      </c>
    </row>
    <row r="94">
      <c r="A94" s="98"/>
      <c r="B94" s="276" t="s">
        <v>185</v>
      </c>
      <c r="C94" s="25">
        <f>Inputs!C96</f>
        <v>1</v>
      </c>
      <c r="D94" s="78"/>
      <c r="E94" s="2"/>
      <c r="V94" s="326">
        <f>64988*J8*J10/90*(0.85+0.15*C152)*1.31*5+2182/3*J10*J8*C152</f>
        <v>17491.82593</v>
      </c>
      <c r="X94" s="326">
        <f>(409961*J10*1.15-58027*5*(1-L5)*L10)/90*1.5-2396*J10*L10/3</f>
        <v>8154.273506</v>
      </c>
    </row>
    <row r="95">
      <c r="A95" s="329" t="s">
        <v>138</v>
      </c>
      <c r="B95" s="276" t="s">
        <v>186</v>
      </c>
      <c r="C95" s="25">
        <f>Inputs!C97</f>
        <v>0</v>
      </c>
      <c r="D95" s="78"/>
    </row>
    <row r="96">
      <c r="A96" s="97"/>
      <c r="B96" s="276" t="s">
        <v>187</v>
      </c>
      <c r="C96" s="25">
        <f>Inputs!C98</f>
        <v>1</v>
      </c>
      <c r="D96" s="78"/>
      <c r="U96" s="4" t="s">
        <v>368</v>
      </c>
    </row>
    <row r="97">
      <c r="A97" s="97"/>
      <c r="B97" s="276" t="s">
        <v>188</v>
      </c>
      <c r="C97" s="25">
        <f>Inputs!C99</f>
        <v>1</v>
      </c>
      <c r="D97" s="25">
        <f>Inputs!D99</f>
        <v>7</v>
      </c>
      <c r="E97" s="2"/>
      <c r="N97" s="328"/>
    </row>
    <row r="98">
      <c r="A98" s="97"/>
      <c r="B98" s="276" t="s">
        <v>189</v>
      </c>
      <c r="C98" s="25">
        <f>Inputs!C100</f>
        <v>1</v>
      </c>
      <c r="D98" s="78"/>
    </row>
    <row r="99">
      <c r="A99" s="97"/>
      <c r="B99" s="276" t="s">
        <v>190</v>
      </c>
      <c r="C99" s="25">
        <f>Inputs!C101</f>
        <v>1</v>
      </c>
      <c r="D99" s="78"/>
    </row>
    <row r="100">
      <c r="A100" s="97"/>
      <c r="B100" s="276" t="s">
        <v>191</v>
      </c>
      <c r="C100" s="25">
        <f>Inputs!C102</f>
        <v>0</v>
      </c>
      <c r="D100" s="25">
        <f>Inputs!D102</f>
        <v>0</v>
      </c>
      <c r="E100" s="2"/>
    </row>
    <row r="101">
      <c r="A101" s="98"/>
      <c r="B101" s="276" t="s">
        <v>193</v>
      </c>
      <c r="C101" s="25">
        <f>Inputs!C103</f>
        <v>0</v>
      </c>
      <c r="D101" s="25">
        <f>Inputs!D103</f>
        <v>10</v>
      </c>
    </row>
    <row r="102">
      <c r="A102" s="329" t="s">
        <v>144</v>
      </c>
      <c r="B102" s="276" t="s">
        <v>195</v>
      </c>
      <c r="C102" s="25">
        <f>Inputs!C104</f>
        <v>0</v>
      </c>
      <c r="D102" s="78"/>
      <c r="E102" s="2"/>
    </row>
    <row r="103">
      <c r="A103" s="97"/>
      <c r="B103" s="276" t="s">
        <v>196</v>
      </c>
      <c r="C103" s="25">
        <f>Inputs!C105</f>
        <v>1</v>
      </c>
      <c r="D103" s="25">
        <f>Inputs!D105</f>
        <v>0</v>
      </c>
      <c r="E103" s="2"/>
      <c r="Q103" s="326">
        <f>264000/1.1957</f>
        <v>220791.1684</v>
      </c>
    </row>
    <row r="104">
      <c r="A104" s="97"/>
      <c r="B104" s="276" t="s">
        <v>197</v>
      </c>
      <c r="C104" s="25">
        <f>Inputs!C106</f>
        <v>1</v>
      </c>
      <c r="D104" s="78"/>
    </row>
    <row r="105">
      <c r="A105" s="97"/>
      <c r="B105" s="276" t="s">
        <v>199</v>
      </c>
      <c r="C105" s="25">
        <f>Inputs!C107</f>
        <v>1</v>
      </c>
      <c r="D105" s="25">
        <f>Inputs!D107</f>
        <v>5</v>
      </c>
    </row>
    <row r="106">
      <c r="A106" s="97"/>
      <c r="B106" s="276" t="s">
        <v>201</v>
      </c>
      <c r="C106" s="25">
        <f>Inputs!C108</f>
        <v>1</v>
      </c>
      <c r="D106" s="78"/>
      <c r="E106" s="2"/>
    </row>
    <row r="107">
      <c r="A107" s="97"/>
      <c r="B107" s="276" t="s">
        <v>202</v>
      </c>
      <c r="C107" s="25">
        <f>Inputs!C109</f>
        <v>1</v>
      </c>
      <c r="D107" s="78"/>
    </row>
    <row r="108">
      <c r="A108" s="329" t="s">
        <v>152</v>
      </c>
      <c r="B108" s="276" t="s">
        <v>203</v>
      </c>
      <c r="C108" s="25">
        <f>Inputs!C110</f>
        <v>1</v>
      </c>
      <c r="D108" s="78"/>
    </row>
    <row r="109">
      <c r="A109" s="97"/>
      <c r="B109" s="276" t="s">
        <v>204</v>
      </c>
      <c r="C109" s="25">
        <f>Inputs!C111</f>
        <v>1</v>
      </c>
      <c r="D109" s="78"/>
      <c r="E109" s="2"/>
    </row>
    <row r="110">
      <c r="A110" s="97"/>
      <c r="B110" s="276" t="s">
        <v>205</v>
      </c>
      <c r="C110" s="25">
        <f>Inputs!C112</f>
        <v>1</v>
      </c>
      <c r="D110" s="78"/>
      <c r="E110" s="2"/>
    </row>
    <row r="111">
      <c r="A111" s="97"/>
      <c r="B111" s="276" t="s">
        <v>207</v>
      </c>
      <c r="C111" s="25">
        <f>Inputs!C113</f>
        <v>1</v>
      </c>
      <c r="D111" s="78"/>
      <c r="E111" s="2"/>
    </row>
    <row r="112">
      <c r="A112" s="97"/>
      <c r="B112" s="276" t="s">
        <v>208</v>
      </c>
      <c r="C112" s="25">
        <f>Inputs!C114</f>
        <v>0</v>
      </c>
      <c r="D112" s="78"/>
    </row>
    <row r="113">
      <c r="A113" s="329" t="s">
        <v>156</v>
      </c>
      <c r="B113" s="276" t="s">
        <v>209</v>
      </c>
      <c r="C113" s="25">
        <f>Inputs!C115</f>
        <v>0</v>
      </c>
      <c r="D113" s="78"/>
    </row>
    <row r="114">
      <c r="A114" s="97"/>
      <c r="B114" s="276" t="s">
        <v>211</v>
      </c>
      <c r="C114" s="25">
        <f>Inputs!C116</f>
        <v>0</v>
      </c>
      <c r="D114" s="78"/>
      <c r="E114" s="2"/>
    </row>
    <row r="115">
      <c r="A115" s="97"/>
      <c r="B115" s="276" t="s">
        <v>212</v>
      </c>
      <c r="C115" s="25">
        <f>Inputs!C117</f>
        <v>1</v>
      </c>
      <c r="D115" s="78"/>
    </row>
    <row r="116">
      <c r="A116" s="97"/>
      <c r="B116" s="276" t="s">
        <v>213</v>
      </c>
      <c r="C116" s="25">
        <f>Inputs!C118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0.04814081478</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0.004894802317</v>
      </c>
    </row>
    <row r="117">
      <c r="A117" s="97"/>
      <c r="B117" s="276" t="s">
        <v>214</v>
      </c>
      <c r="C117" s="25">
        <f>Inputs!C119</f>
        <v>1</v>
      </c>
      <c r="D117" s="25">
        <f>Inputs!D119</f>
        <v>0.8</v>
      </c>
    </row>
    <row r="118">
      <c r="A118" s="329" t="s">
        <v>162</v>
      </c>
      <c r="B118" s="276" t="s">
        <v>215</v>
      </c>
      <c r="C118" s="25">
        <f>Inputs!C120</f>
        <v>0</v>
      </c>
      <c r="D118" s="78"/>
    </row>
    <row r="119">
      <c r="A119" s="97"/>
      <c r="B119" s="276" t="s">
        <v>216</v>
      </c>
      <c r="C119" s="25">
        <f>Inputs!C121</f>
        <v>1</v>
      </c>
      <c r="D119" s="78"/>
    </row>
    <row r="120">
      <c r="A120" s="97"/>
      <c r="B120" s="276" t="s">
        <v>217</v>
      </c>
      <c r="C120" s="25">
        <f>Inputs!C122</f>
        <v>1</v>
      </c>
      <c r="D120" s="25">
        <f>Inputs!D122</f>
        <v>0.4</v>
      </c>
      <c r="E120" s="2"/>
    </row>
    <row r="121">
      <c r="A121" s="97"/>
      <c r="B121" s="276" t="s">
        <v>218</v>
      </c>
      <c r="C121" s="25">
        <f>Inputs!C123</f>
        <v>0</v>
      </c>
      <c r="D121" s="25">
        <f>Inputs!D123</f>
        <v>1</v>
      </c>
    </row>
    <row r="122">
      <c r="A122" s="97"/>
      <c r="B122" s="276" t="s">
        <v>219</v>
      </c>
      <c r="C122" s="25">
        <f>Inputs!C124</f>
        <v>1</v>
      </c>
      <c r="D122" s="78"/>
    </row>
    <row r="123">
      <c r="A123" s="329" t="s">
        <v>168</v>
      </c>
      <c r="B123" s="276" t="s">
        <v>220</v>
      </c>
      <c r="C123" s="25">
        <f>Inputs!C125</f>
        <v>0</v>
      </c>
      <c r="D123" s="78"/>
    </row>
    <row r="124">
      <c r="A124" s="97"/>
      <c r="B124" s="276" t="s">
        <v>221</v>
      </c>
      <c r="C124" s="25">
        <f>Inputs!C126</f>
        <v>1</v>
      </c>
      <c r="D124" s="78"/>
      <c r="E124" s="2"/>
    </row>
    <row r="125">
      <c r="A125" s="97"/>
      <c r="B125" s="276" t="s">
        <v>222</v>
      </c>
      <c r="C125" s="25">
        <f>Inputs!C127</f>
        <v>0</v>
      </c>
      <c r="D125" s="78"/>
    </row>
    <row r="126">
      <c r="A126" s="97"/>
      <c r="B126" s="276" t="s">
        <v>223</v>
      </c>
      <c r="C126" s="25">
        <f>Inputs!C128</f>
        <v>1</v>
      </c>
      <c r="D126" s="78"/>
      <c r="E126" s="2"/>
    </row>
    <row r="127">
      <c r="A127" s="329" t="s">
        <v>224</v>
      </c>
      <c r="B127" s="276" t="s">
        <v>225</v>
      </c>
      <c r="C127" s="25">
        <f>Inputs!C129</f>
        <v>4</v>
      </c>
      <c r="D127" s="78"/>
      <c r="E127" s="309">
        <f>T38*(8+C110*4)*(1+C110)+IF(C127&gt;3,1,0)*8*0.125*(T40+T43+T51+T57+T63)</f>
        <v>0.8266711512</v>
      </c>
      <c r="F127" s="309">
        <f>IF(C127=4,(1-(1-(1-(1-(T38*(8+C110*4)))*(1-IF(C127&gt;3,1,0)*(1-0.875^(8*(T40+T43-T46+MIN(($L$9+SUM(Z19:Z36,Z38:Z50)+SUM(Z52:Z76))/(-N51),MAX((1-SUM(U18:U24,U26:U41,U43:U50,U52:U76)+SUM(AA19:AA24,AA26:AA41,AA43:AA50,AA52:AA76)/O42*Q42)/Q51*(-O42/(O51-O42)),0))+2*T57+2*T63)))))))/(3+(2/(L13+0.3)-1+IF(C152=1,0.5,0))/C152),IF(C127&gt;0,1,0)*(1-(1-(T38*(8+C110*4))))/(3+(2/(L13+0.3)-1+IF(C152=1,0.5,0))/C152))</f>
        <v>0.1402974432</v>
      </c>
    </row>
    <row r="128">
      <c r="A128" s="2"/>
      <c r="B128" s="2"/>
      <c r="C128" s="2"/>
      <c r="D128" s="2"/>
      <c r="E128" s="2"/>
    </row>
    <row r="129">
      <c r="A129" s="2"/>
      <c r="B129" s="321" t="s">
        <v>229</v>
      </c>
      <c r="C129" s="2"/>
      <c r="D129" s="2"/>
      <c r="E129" s="2"/>
    </row>
    <row r="130">
      <c r="A130" s="2"/>
      <c r="B130" s="339" t="s">
        <v>231</v>
      </c>
      <c r="C130" s="25">
        <f>Inputs!C132</f>
        <v>0</v>
      </c>
      <c r="D130" s="264">
        <f>Inputs!D132</f>
        <v>0.6</v>
      </c>
      <c r="E130" s="2"/>
    </row>
    <row r="131">
      <c r="A131" s="2"/>
      <c r="B131" s="339" t="s">
        <v>233</v>
      </c>
      <c r="C131" s="25">
        <f>Inputs!C133</f>
        <v>1</v>
      </c>
      <c r="D131" s="264">
        <f>Inputs!D133</f>
        <v>0.85</v>
      </c>
      <c r="E131" s="2"/>
    </row>
    <row r="132">
      <c r="A132" s="2"/>
      <c r="B132" s="2"/>
      <c r="C132" s="2"/>
      <c r="D132" s="2"/>
      <c r="E132" s="2"/>
    </row>
    <row r="133">
      <c r="A133" s="2"/>
      <c r="B133" s="340" t="s">
        <v>234</v>
      </c>
      <c r="C133" s="341"/>
      <c r="D133" s="342" t="s">
        <v>235</v>
      </c>
      <c r="E133" s="342"/>
      <c r="G133" s="340" t="s">
        <v>355</v>
      </c>
      <c r="J133" s="340" t="s">
        <v>356</v>
      </c>
    </row>
    <row r="134">
      <c r="A134" s="2"/>
      <c r="B134" s="343" t="s">
        <v>236</v>
      </c>
      <c r="C134" s="150"/>
      <c r="D134" s="339" t="s">
        <v>237</v>
      </c>
      <c r="E134" s="150"/>
      <c r="G134" s="343" t="s">
        <v>357</v>
      </c>
      <c r="H134" s="311">
        <f>MIN(40,1+12*(2*(1+H8)*T25+T26+1/3*(2)*(1/(1-0.15*C107))+T35*2+T40*(11+2*C107)+T42*(2*C136)*(1+C136*H8)+T43+T38*2*(2*(1+H8))+T38*2*(2*(1+H8))+T62*(2*C136)*(1+C136*H8)+2*(2/12+(1+H8)/12)))</f>
        <v>40</v>
      </c>
      <c r="J134" s="343" t="s">
        <v>358</v>
      </c>
      <c r="K134" s="282">
        <f>C131*7*(1+2*T38*(8+C110*4))*D131</f>
        <v>7.522687225</v>
      </c>
    </row>
    <row r="135">
      <c r="A135" s="2"/>
      <c r="B135" s="343" t="s">
        <v>238</v>
      </c>
      <c r="C135" s="25">
        <f>Inputs!C137</f>
        <v>1</v>
      </c>
      <c r="D135" s="339" t="s">
        <v>239</v>
      </c>
      <c r="E135" s="150"/>
      <c r="G135" s="343" t="s">
        <v>359</v>
      </c>
      <c r="H135" s="312">
        <f>1+C130*(0.05*15+0.05*17*H8)*T75</f>
        <v>1</v>
      </c>
    </row>
    <row r="136">
      <c r="A136" s="2"/>
      <c r="B136" s="343" t="s">
        <v>240</v>
      </c>
      <c r="C136" s="25">
        <f>Inputs!C138</f>
        <v>1</v>
      </c>
      <c r="D136" s="339" t="s">
        <v>241</v>
      </c>
      <c r="E136" s="25">
        <f>Inputs!E138</f>
        <v>1</v>
      </c>
    </row>
    <row r="137">
      <c r="A137" s="2"/>
      <c r="B137" s="343" t="s">
        <v>242</v>
      </c>
      <c r="C137" s="25">
        <f>Inputs!C139</f>
        <v>0</v>
      </c>
      <c r="D137" s="339" t="s">
        <v>243</v>
      </c>
      <c r="E137" s="25">
        <f>Inputs!E139</f>
        <v>0</v>
      </c>
    </row>
    <row r="138">
      <c r="A138" s="2"/>
      <c r="B138" s="343" t="s">
        <v>244</v>
      </c>
      <c r="C138" s="25">
        <f>Inputs!C140</f>
        <v>1</v>
      </c>
      <c r="D138" s="339" t="s">
        <v>245</v>
      </c>
      <c r="E138" s="25">
        <f>Inputs!E140</f>
        <v>0</v>
      </c>
    </row>
    <row r="139">
      <c r="A139" s="2"/>
      <c r="B139" s="343" t="s">
        <v>246</v>
      </c>
      <c r="C139" s="150"/>
      <c r="D139" s="339" t="s">
        <v>247</v>
      </c>
      <c r="E139" s="25">
        <f>Inputs!E141</f>
        <v>1</v>
      </c>
    </row>
    <row r="140">
      <c r="A140" s="2"/>
      <c r="B140" s="2"/>
      <c r="C140" s="2"/>
      <c r="D140" s="339" t="s">
        <v>248</v>
      </c>
      <c r="E140" s="25">
        <f>Inputs!E142</f>
        <v>0</v>
      </c>
    </row>
    <row r="141">
      <c r="A141" s="2"/>
      <c r="B141" s="2"/>
      <c r="C141" s="2"/>
      <c r="D141" s="339" t="s">
        <v>249</v>
      </c>
      <c r="E141" s="25">
        <f>Inputs!E143</f>
        <v>1</v>
      </c>
    </row>
    <row r="142">
      <c r="A142" s="2"/>
      <c r="B142" s="2"/>
      <c r="C142" s="2"/>
      <c r="D142" s="2"/>
      <c r="E142" s="2"/>
    </row>
    <row r="143">
      <c r="A143" s="2"/>
      <c r="B143" s="294" t="s">
        <v>250</v>
      </c>
      <c r="C143" s="2"/>
      <c r="D143" s="2"/>
      <c r="E143" s="2"/>
    </row>
    <row r="144">
      <c r="A144" s="2"/>
      <c r="B144" s="281" t="s">
        <v>251</v>
      </c>
      <c r="C144" s="313">
        <f>Inputs!C146</f>
        <v>0.2</v>
      </c>
      <c r="D144" s="2"/>
      <c r="E144" s="2"/>
    </row>
    <row r="145">
      <c r="A145" s="2"/>
      <c r="B145" s="276" t="s">
        <v>252</v>
      </c>
      <c r="C145" s="25">
        <f>Inputs!C147</f>
        <v>400000</v>
      </c>
      <c r="D145" s="2"/>
      <c r="E145" s="2"/>
    </row>
    <row r="146">
      <c r="A146" s="2"/>
      <c r="B146" s="281" t="s">
        <v>254</v>
      </c>
      <c r="C146" s="313">
        <f>Inputs!C148</f>
        <v>0.2</v>
      </c>
      <c r="D146" s="2"/>
      <c r="E146" s="2"/>
    </row>
    <row r="147">
      <c r="A147" s="2"/>
      <c r="B147" s="281" t="s">
        <v>257</v>
      </c>
      <c r="C147" s="313">
        <f>Inputs!C149</f>
        <v>0</v>
      </c>
      <c r="D147" s="2"/>
      <c r="E147" s="2"/>
    </row>
    <row r="148">
      <c r="A148" s="2"/>
      <c r="B148" s="281" t="s">
        <v>258</v>
      </c>
      <c r="C148" s="313">
        <f>Inputs!C150</f>
        <v>0</v>
      </c>
      <c r="D148" s="2"/>
      <c r="E148" s="2"/>
    </row>
    <row r="149">
      <c r="A149" s="2"/>
      <c r="B149" s="281" t="s">
        <v>259</v>
      </c>
      <c r="C149" s="313">
        <f>Inputs!C151</f>
        <v>1</v>
      </c>
      <c r="D149" s="2"/>
      <c r="E149" s="2"/>
    </row>
    <row r="150">
      <c r="A150" s="2"/>
      <c r="B150" s="276" t="s">
        <v>260</v>
      </c>
      <c r="C150" s="313">
        <f>Inputs!C152</f>
        <v>0.4</v>
      </c>
      <c r="D150" s="2"/>
      <c r="E150" s="2"/>
    </row>
    <row r="151">
      <c r="A151" s="2"/>
      <c r="B151" s="276" t="s">
        <v>261</v>
      </c>
      <c r="C151" s="174">
        <f>Inputs!C153</f>
        <v>0.8</v>
      </c>
      <c r="D151" s="2"/>
      <c r="E151" s="2"/>
    </row>
    <row r="152">
      <c r="A152" s="2"/>
      <c r="B152" s="281" t="s">
        <v>262</v>
      </c>
      <c r="C152" s="25">
        <f>Inputs!C154</f>
        <v>5</v>
      </c>
      <c r="D152" s="2"/>
      <c r="E152" s="2"/>
      <c r="F152" s="2"/>
    </row>
    <row r="153">
      <c r="A153" s="2"/>
      <c r="B153" s="276" t="s">
        <v>263</v>
      </c>
      <c r="C153" s="25">
        <f>Inputs!C155</f>
        <v>90</v>
      </c>
      <c r="D153" s="2"/>
      <c r="E153" s="2"/>
      <c r="F153" s="2"/>
    </row>
    <row r="154">
      <c r="A154" s="2"/>
      <c r="B154" s="281" t="s">
        <v>265</v>
      </c>
      <c r="C154" s="174">
        <f>Inputs!C156</f>
        <v>3966.55</v>
      </c>
      <c r="D154" s="2"/>
      <c r="E154" s="2"/>
      <c r="F154" s="2"/>
    </row>
    <row r="155">
      <c r="A155" s="2"/>
      <c r="D155" s="2"/>
      <c r="E155" s="2"/>
      <c r="F155" s="2"/>
    </row>
    <row r="156">
      <c r="B156" s="344" t="s">
        <v>267</v>
      </c>
      <c r="C156" s="345" t="s">
        <v>268</v>
      </c>
      <c r="D156" s="2"/>
      <c r="E156" s="2"/>
      <c r="F156" s="2"/>
    </row>
    <row r="157">
      <c r="B157" s="346" t="s">
        <v>269</v>
      </c>
      <c r="C157" s="25">
        <f>Inputs!C159</f>
        <v>1</v>
      </c>
      <c r="D157" s="309">
        <f>C157*(0.025+0.1*T42)</f>
        <v>0.06513494365</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0.006610037601</v>
      </c>
      <c r="F157" s="2"/>
    </row>
    <row r="158">
      <c r="B158" s="346" t="s">
        <v>271</v>
      </c>
      <c r="C158" s="25">
        <f>Inputs!C160</f>
        <v>1</v>
      </c>
      <c r="D158" s="2"/>
      <c r="E158" s="2"/>
      <c r="F158" s="2"/>
      <c r="G158" s="2"/>
      <c r="H158" s="2"/>
    </row>
    <row r="159">
      <c r="D159" s="2"/>
      <c r="E159" s="2"/>
      <c r="F159" s="2"/>
      <c r="G159" s="2"/>
      <c r="H159" s="2"/>
    </row>
    <row r="160">
      <c r="B160" s="296" t="s">
        <v>274</v>
      </c>
      <c r="C160" s="2"/>
      <c r="D160" s="2"/>
      <c r="E160" s="2"/>
      <c r="F160" s="2"/>
      <c r="G160" s="2"/>
      <c r="H160" s="2"/>
    </row>
    <row r="161">
      <c r="B161" s="281" t="s">
        <v>275</v>
      </c>
      <c r="C161" s="347"/>
      <c r="D161" s="1"/>
      <c r="E161" s="1"/>
      <c r="F161" s="2"/>
      <c r="G161" s="2"/>
      <c r="H161" s="2"/>
    </row>
    <row r="162">
      <c r="B162" s="281" t="s">
        <v>276</v>
      </c>
      <c r="C162" s="173"/>
      <c r="D162" s="2"/>
      <c r="E162" s="1"/>
      <c r="F162" s="2"/>
      <c r="G162" s="2"/>
      <c r="H162" s="2"/>
    </row>
    <row r="163">
      <c r="B163" s="281" t="s">
        <v>361</v>
      </c>
      <c r="C163" s="315"/>
      <c r="D163" s="2"/>
      <c r="E163" s="2"/>
      <c r="F163" s="2"/>
      <c r="G163" s="2"/>
      <c r="H163" s="2"/>
    </row>
    <row r="164">
      <c r="B164" s="281" t="s">
        <v>362</v>
      </c>
      <c r="C164" s="235"/>
      <c r="D164" s="2"/>
      <c r="E164" s="2"/>
      <c r="G164" s="2"/>
      <c r="H164" s="2"/>
    </row>
    <row r="165">
      <c r="B165" s="281" t="s">
        <v>278</v>
      </c>
      <c r="C165" s="316"/>
      <c r="G165" s="2"/>
      <c r="H165" s="2"/>
    </row>
    <row r="166">
      <c r="B166" s="281" t="s">
        <v>280</v>
      </c>
      <c r="C166" s="27"/>
      <c r="G166" s="2"/>
      <c r="H166" s="2"/>
    </row>
    <row r="167">
      <c r="B167" s="281" t="s">
        <v>363</v>
      </c>
      <c r="C167" s="317"/>
      <c r="G167" s="2"/>
      <c r="H167" s="2"/>
    </row>
    <row r="168">
      <c r="B168" s="281" t="s">
        <v>364</v>
      </c>
      <c r="C168" s="236"/>
      <c r="D168" s="202"/>
      <c r="G168" s="2"/>
      <c r="H168" s="2"/>
    </row>
    <row r="169">
      <c r="B169" s="318"/>
      <c r="C169" s="202"/>
      <c r="D169" s="202"/>
      <c r="G169" s="2"/>
      <c r="H169" s="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row r="196">
      <c r="N196" s="4" t="s">
        <v>366</v>
      </c>
      <c r="O196" s="4">
        <v>3.0</v>
      </c>
      <c r="P196" s="326">
        <f>SUM(P167:Q167)</f>
        <v>0</v>
      </c>
    </row>
    <row r="197">
      <c r="O197" s="4">
        <v>4.0</v>
      </c>
      <c r="P197" s="326">
        <f>SUM(P167:Q167)</f>
        <v>0</v>
      </c>
    </row>
    <row r="198">
      <c r="O198" s="4">
        <v>5.0</v>
      </c>
      <c r="P198" s="326">
        <f>SUM(P167:Q167)</f>
        <v>0</v>
      </c>
    </row>
    <row r="199">
      <c r="O199" s="4">
        <v>6.0</v>
      </c>
      <c r="P199" s="326">
        <f>SUM(P167:X167)</f>
        <v>0</v>
      </c>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17.75"/>
    <col customWidth="1" min="9" max="9" width="23.25"/>
    <col customWidth="1" min="10" max="10" width="17.88"/>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2.5"/>
    <col customWidth="1" min="19" max="19" width="15.25"/>
    <col customWidth="1" min="20" max="20" width="15.88"/>
    <col customWidth="1" min="21" max="21" width="12.38"/>
    <col customWidth="1" min="22" max="22" width="11.75"/>
    <col customWidth="1" min="23" max="23" width="19.25"/>
    <col customWidth="1" min="24" max="24" width="19.13"/>
    <col customWidth="1" min="25" max="25" width="11.25"/>
    <col customWidth="1" min="26" max="26" width="15.0"/>
    <col customWidth="1" min="27" max="27" width="19.63"/>
    <col customWidth="1" min="28" max="28" width="19.13"/>
  </cols>
  <sheetData>
    <row r="2">
      <c r="B2" s="266" t="s">
        <v>367</v>
      </c>
    </row>
    <row r="4">
      <c r="B4" s="267" t="s">
        <v>1</v>
      </c>
      <c r="C4" s="268" t="s">
        <v>3</v>
      </c>
      <c r="D4" s="269" t="s">
        <v>5</v>
      </c>
      <c r="E4" s="269" t="s">
        <v>7</v>
      </c>
      <c r="G4" s="267" t="s">
        <v>9</v>
      </c>
      <c r="J4" s="229"/>
      <c r="N4" s="270" t="s">
        <v>10</v>
      </c>
    </row>
    <row r="5">
      <c r="B5" s="271" t="s">
        <v>12</v>
      </c>
      <c r="C5" s="231">
        <f>H5*(1+C21*0.05*(1+0.2*C63))</f>
        <v>3852</v>
      </c>
      <c r="D5" s="27"/>
      <c r="E5" s="27"/>
      <c r="G5" s="271" t="s">
        <v>21</v>
      </c>
      <c r="H5" s="277">
        <f>Baseline!H5</f>
        <v>3852</v>
      </c>
      <c r="I5" s="272" t="s">
        <v>31</v>
      </c>
      <c r="J5" s="49">
        <f>(C5*1.45+((J6*(1+E116)*(1+D157)*1.8)+IF(E28=3,1,0)*1.13*(1-exp(-1*$J$9*12/60))*($J$6*(1+E116)*(1+D157)*0.02*$J$10)))*(1+0.06*C75)</f>
        <v>12078.14474</v>
      </c>
      <c r="K5" s="272" t="s">
        <v>41</v>
      </c>
      <c r="L5" s="52">
        <f>(J5 / (J5 + C154))</f>
        <v>0.7527812112</v>
      </c>
      <c r="N5" s="273" t="s">
        <v>46</v>
      </c>
      <c r="O5" s="274" t="s">
        <v>47</v>
      </c>
      <c r="P5" s="274" t="s">
        <v>49</v>
      </c>
      <c r="Q5" s="275" t="s">
        <v>325</v>
      </c>
      <c r="R5" s="275" t="s">
        <v>53</v>
      </c>
      <c r="S5" s="275" t="s">
        <v>326</v>
      </c>
      <c r="T5" s="274" t="s">
        <v>56</v>
      </c>
      <c r="U5" s="275" t="s">
        <v>57</v>
      </c>
      <c r="V5" s="276" t="s">
        <v>59</v>
      </c>
      <c r="W5" s="269" t="s">
        <v>60</v>
      </c>
      <c r="X5" s="268" t="s">
        <v>63</v>
      </c>
    </row>
    <row r="6">
      <c r="B6" s="271" t="s">
        <v>36</v>
      </c>
      <c r="C6" s="231">
        <f>(H6+C34*33)*(1+C21*0.05*(1+0.2*C63))</f>
        <v>2672</v>
      </c>
      <c r="D6" s="27"/>
      <c r="E6" s="27"/>
      <c r="G6" s="271" t="s">
        <v>65</v>
      </c>
      <c r="H6" s="277">
        <f>Baseline!H6</f>
        <v>2672</v>
      </c>
      <c r="I6" s="271" t="s">
        <v>67</v>
      </c>
      <c r="J6" s="52">
        <f>(C6+E32*252*8/120+E34*50)*(1+B21*1.13*(1-exp(-3*J9*15/60))*0.15*(1+0.2*C63))*(1+0.03*C77*(1-(0.85)^(8*L9)))*(1+0.1*12*(1/S40)*C131*(1-IF(OR(D100=1,AND(C152&lt;4,C131=1)),0,1)*IF(D100=2,1-(1-(0.75)^((5+(H15/2))/H15))/(1+3*(1-(0.75)^((5+(H15/2))/H15))*C82),1)*IF(NOT(OR(OR(D100=1,AND(C152&lt;4,C131=1)),D100=2)),1-(1-(0.75)^((4+(H15/2))/H15)),1)))*(1+0.1*T69*8*IF(C152=1,1,0))</f>
        <v>2890.654188</v>
      </c>
      <c r="K6" s="271" t="s">
        <v>82</v>
      </c>
      <c r="L6" s="84">
        <f>(J6-622)/19130</f>
        <v>0.1185914369</v>
      </c>
      <c r="N6" s="276" t="s">
        <v>87</v>
      </c>
      <c r="O6" s="250">
        <f>Baseline!O6</f>
        <v>3608042.253</v>
      </c>
      <c r="P6" s="94">
        <f>(O6-E26*C152/2*C7*0.0003*30)*(1-$L$14)*(1-$L$5)*$L$10*(1-0.01*E32)*(1-0.2/C152*C74)*(1-C51*0.12/C152*1.13*(1-exp(-3*6/60*55/120)))*(1-$C$135*$C$130*$D$130*0.075)*(1-$C$131*E136*10/S40*0.08)*(1-F116)*(1-E157)*(1-IF(C127&gt;1,1)*0.06*E127)*(1-(0.04*10*(1/S40)*C100*(1-IF(OR(D100=1,AND(C152&lt;4,C131=1)),0,1)*IF(D100=2,1-(1-(0.75)^((5+(H15/2))/H15))/(1+3*(1-(0.75)^((5+(H15/2))/H15))*C82),1)*IF(NOT(OR(OR(D100=1,AND(C152&lt;4,C131=1)),D100=2)),1-(1-(0.75)^((4+(H15/2))/H15)),1))))*(1-C120*0.025)</f>
        <v>427659.7126</v>
      </c>
      <c r="Q6" s="99">
        <f>P6*(1-((1-(1-(T38*(8+C110*4)))*(1-IF(C127&gt;3,1,0)*(1-0.875^(8*(T40+T43+T51+T57+T63)))))*MIN(0.3/(1-$L$14),1)))</f>
        <v>328039.0677</v>
      </c>
      <c r="R6" s="94">
        <f>Q6*(1-($T$52*8)*(0.3+0.1*$E$139))</f>
        <v>319291.3592</v>
      </c>
      <c r="S6" s="102">
        <f t="shared" ref="S6:S7" si="1">R6*(1-($T$70*8)*0.1)*(1-($T$26*8)*0.1)</f>
        <v>319291.3592</v>
      </c>
      <c r="T6" s="94">
        <f t="shared" ref="T6:T9" si="2">S6</f>
        <v>319291.3592</v>
      </c>
      <c r="U6" s="107"/>
      <c r="V6" s="27"/>
      <c r="W6" s="27"/>
      <c r="X6" s="27"/>
    </row>
    <row r="7">
      <c r="B7" s="271" t="s">
        <v>40</v>
      </c>
      <c r="C7" s="231">
        <f>(H7+C26*99)*(1+C21*0.05*(1+0.2*C63))*1.05*(1+0.2*C55)*(1.4)</f>
        <v>77197</v>
      </c>
      <c r="D7" s="27"/>
      <c r="E7" s="27"/>
      <c r="G7" s="271" t="s">
        <v>121</v>
      </c>
      <c r="H7" s="277">
        <f>Baseline!H7</f>
        <v>43762.47166</v>
      </c>
      <c r="I7" s="280" t="s">
        <v>124</v>
      </c>
      <c r="J7" s="109">
        <f>C7*20</f>
        <v>1543940</v>
      </c>
      <c r="K7" s="280" t="s">
        <v>127</v>
      </c>
      <c r="L7" s="111">
        <f>(J7+IF(E28=3,1,0)*1.13*(1-exp(-1*$J$9*12/60))*($J$6*1.3*$J$10))*(1+0.01*C97*(D97+2*C104))</f>
        <v>1682894.6</v>
      </c>
      <c r="N7" s="281" t="s">
        <v>131</v>
      </c>
      <c r="O7" s="250">
        <f>Baseline!O7</f>
        <v>0</v>
      </c>
      <c r="P7" s="94">
        <f>O7*$J$13*(1-$L$5)*$L$10*(1-0.01*E32)*(1-C51*0.12/C152*1.13*(1-exp(-3*6/60*55/120)))*(1-$C$135*$C$130*$D$130*0.075)*(1-$C$131*E136*10/S40*0.08)*(1-IF(C127&gt;1,1)*0.06*E127)*(1-(0.04*10*(1/S40)*C100*(1-IF(OR(D100=1,AND(C152&lt;4,C131=1)),0,1)*IF(D100=2,1-(1-(0.75)^((5+(H15/2))/H15))/(1+3*(1-(0.75)^((5+(H15/2))/H15))*C82),1)*IF(NOT(OR(OR(D100=1,AND(C152&lt;4,C131=1)),D100=2)),1-(1-(0.75)^((4+(H15/2))/H15)),1))))*(1-C120*0.025)</f>
        <v>0</v>
      </c>
      <c r="Q7" s="27"/>
      <c r="R7" s="94">
        <f t="shared" ref="R7:R9" si="3">P7*(1-($T$52*8)*(0.3+0.1*$E$139))</f>
        <v>0</v>
      </c>
      <c r="S7" s="102">
        <f t="shared" si="1"/>
        <v>0</v>
      </c>
      <c r="T7" s="94">
        <f t="shared" si="2"/>
        <v>0</v>
      </c>
      <c r="U7" s="107"/>
      <c r="V7" s="27"/>
      <c r="W7" s="27"/>
      <c r="X7" s="27"/>
    </row>
    <row r="8">
      <c r="B8" s="271" t="s">
        <v>44</v>
      </c>
      <c r="C8" s="231">
        <f>Inputs!C10+10</f>
        <v>788.5</v>
      </c>
      <c r="D8" s="282">
        <f>(C8+225*15/2/120*IF(1&lt;(IF(C8&gt;C9,1,0)+IF(C8&gt;C10,1,0)+IF(C8&gt;C11,1,0)),E27,0))*(1+0.02*C30)/(1+0.02*Baseline!C30)</f>
        <v>788.5</v>
      </c>
      <c r="E8" s="282">
        <f>IF(D8&lt;=1380,D8,IF(D8&lt;=1840,1380+0.9*(D8-1380),IF(D8&lt;=2300,1794+0.8*(D8-1840),IF(D8&lt;=2760,2162+0.7*(D8-2300),IF(D8&lt;=3680,2484+0.6*(D8-2760),IF(D8&lt;=9200,3036+0.5*(D8-3680),5796))))))</f>
        <v>788.5</v>
      </c>
      <c r="F8" s="4"/>
      <c r="G8" s="271" t="s">
        <v>159</v>
      </c>
      <c r="H8" s="118">
        <f>E8/4600+0.05+(C28+C32+C35)*0.01+IF(E28=4,1,0)*1.13*(1-exp(-1*$J$9*12/60))*0.04</f>
        <v>0.2214130435</v>
      </c>
      <c r="I8" s="271" t="s">
        <v>164</v>
      </c>
      <c r="J8" s="119">
        <f>1+H8*(1+2*0.02*(C26+C31))</f>
        <v>1.221413043</v>
      </c>
      <c r="K8" s="271" t="s">
        <v>167</v>
      </c>
      <c r="L8" s="84">
        <f>E8/5200/(1+0.02*C30)</f>
        <v>0.1516346154</v>
      </c>
      <c r="N8" s="276" t="s">
        <v>170</v>
      </c>
      <c r="O8" s="250">
        <f>Baseline!O8</f>
        <v>112528.835</v>
      </c>
      <c r="P8" s="94">
        <f>O8*$L$10*(1-C51*0.12/C152*1.13*(1-exp(-3*6/60*55/120)))*(1-$C$135*$C$130*$D$130*0.075)*(1-0.08*$C$80)*(1-IF(C127&gt;1,1)*0.06*E127)*(1-(0.04*10*(1/S40)*C100*(1-IF(OR(D100=1,AND(C152&lt;4,C131=1)),0,1)*IF(D100=2,1-(1-(0.75)^((5+(H15/2))/H15))/(1+3*(1-(0.75)^((5+(H15/2))/H15))*C82),1)*IF(NOT(OR(OR(D100=1,AND(C152&lt;4,C131=1)),D100=2)),1-(1-(0.75)^((4+(H15/2))/H15)),1))))*(1-C120*0.025)</f>
        <v>82191.80947</v>
      </c>
      <c r="Q8" s="27"/>
      <c r="R8" s="94">
        <f t="shared" si="3"/>
        <v>80000.02789</v>
      </c>
      <c r="S8" s="102">
        <f t="shared" ref="S8:S9" si="4">R8*(1-($T$26*8)*0.1)</f>
        <v>80000.02789</v>
      </c>
      <c r="T8" s="94">
        <f t="shared" si="2"/>
        <v>80000.02789</v>
      </c>
      <c r="U8" s="94">
        <f>T8*(T20*(6+2*C67))*0.15</f>
        <v>0</v>
      </c>
      <c r="V8" s="99">
        <f>IF(T8-U8-$T$19*(($L$7*0.3*$J$10*(1+0.4*$C$68)*(1+0.15*$C$46)))&gt;0,$T$19*($L$7*0.3*$J$10*(1+0.4*$C$68)*(1+0.15*$C$46)),T8-U8)</f>
        <v>11765.66776</v>
      </c>
      <c r="W8" s="27"/>
      <c r="X8" s="27"/>
    </row>
    <row r="9">
      <c r="B9" s="271" t="s">
        <v>50</v>
      </c>
      <c r="C9" s="25">
        <f>Inputs!C11</f>
        <v>1053.5</v>
      </c>
      <c r="D9" s="282">
        <f>(C9+225*15/2/120*IF(1&lt;(IF(C9&gt;C8,1,0)+IF(C9&gt;C10,1,0)+IF(C9&gt;C11,1,0)),E27,0))*(1+0.02*C30)/(1+0.02*Baseline!C30)</f>
        <v>1053.5</v>
      </c>
      <c r="E9" s="282">
        <f>IF(D9&lt;=1320,D9,IF(D9&lt;=1760,1320+0.9*(D9-1320),IF(D9&lt;=2200,1716+0.8*(D9-1760),IF(D9&lt;=2640,2068+0.7*(D9-2200),IF(D9&lt;=3520,2376+0.6*(D9-2640),IF(D9&lt;=8800,2904+0.5*(D9-3520),5544))))))</f>
        <v>1053.5</v>
      </c>
      <c r="F9" s="4"/>
      <c r="G9" s="271" t="s">
        <v>192</v>
      </c>
      <c r="H9" s="118">
        <f>(1+(C29+C33)*0.01)*E9/4400+(C29+C33)*0.01</f>
        <v>0.2394318182</v>
      </c>
      <c r="I9" s="271" t="s">
        <v>194</v>
      </c>
      <c r="J9" s="132">
        <f>(1+H9)*(1+C27*0.15/18)*(1+0.1*C104)*(1+0.02*C49)*(1+0.01*K134)</f>
        <v>1.524574934</v>
      </c>
      <c r="K9" s="283" t="s">
        <v>198</v>
      </c>
      <c r="L9" s="133">
        <f>3/10*J9</f>
        <v>0.4573724803</v>
      </c>
      <c r="N9" s="284" t="s">
        <v>200</v>
      </c>
      <c r="O9" s="250">
        <f>Baseline!O9</f>
        <v>0</v>
      </c>
      <c r="P9" s="135">
        <f>O9*$J$13*$L$10*(1-C51*0.12/C152*1.13*(1-exp(-3*6/60*55/120)))*(1-$C$135*$C$130*$D$130*0.075)*(1-0.08*$C$80)*(1-IF(C127&gt;1,1)*0.06*E127)*(1-(0.04*10*(1/S40)*C100*(1-IF(OR(D100=1,AND(C152&lt;4,C131=1)),0,1)*IF(D100=2,1-(1-(0.75)^((5+(H15/2))/H15))/(1+3*(1-(0.75)^((5+(H15/2))/H15))*C82),1)*IF(NOT(OR(OR(D100=1,AND(C152&lt;4,C131=1)),D100=2)),1-(1-(0.75)^((4+(H15/2))/H15)),1))))*(1-C120*0.025)</f>
        <v>0</v>
      </c>
      <c r="Q9" s="136"/>
      <c r="R9" s="135">
        <f t="shared" si="3"/>
        <v>0</v>
      </c>
      <c r="S9" s="102">
        <f t="shared" si="4"/>
        <v>0</v>
      </c>
      <c r="T9" s="94">
        <f t="shared" si="2"/>
        <v>0</v>
      </c>
      <c r="U9" s="135">
        <f>T8*(T20*(6+2*C67))*0.15</f>
        <v>0</v>
      </c>
      <c r="V9" s="135">
        <f>IF(T8+T9-U8-U9-V8&gt;0,MIN($T$19*($L$7*0.3*$J$10*(1+0.4*$C$68)*(1+0.15*$C$46))-V8,T8+T9-U8-U9-V8),0)
</f>
        <v>0</v>
      </c>
      <c r="W9" s="136"/>
      <c r="X9" s="136"/>
    </row>
    <row r="10">
      <c r="B10" s="271" t="s">
        <v>55</v>
      </c>
      <c r="C10" s="25">
        <f>Inputs!C12</f>
        <v>1514.5</v>
      </c>
      <c r="D10" s="282">
        <f>(C10+65*E24+225*15/2/120*IF(1&lt;(IF(C10&gt;C8,1,0)+IF(C10&gt;C9,0)+IF(C10&gt;C11,1,0)),E27,0))*(1+0.02*C30)/(1+0.02*Baseline!C30)</f>
        <v>1514.5</v>
      </c>
      <c r="E10" s="282">
        <f>IF(D10&lt;=1620,D10,IF(D10&lt;=2160,1622+0.9*(D10-1620),IF(D10&lt;=2700,2106+0.8*(D10-2160),IF(D10&lt;=3240,2538+0.7*(D10-2700),IF(D10&lt;=4320,2916+0.6*(D10-3240),IF(D10&lt;=10800,3564+0.5*(D10-4320),6804))))))</f>
        <v>1514.5</v>
      </c>
      <c r="F10" s="4"/>
      <c r="G10" s="271" t="s">
        <v>210</v>
      </c>
      <c r="H10" s="118">
        <f>E10/5400+(E26+E33)*0.01</f>
        <v>0.280462963</v>
      </c>
      <c r="I10" s="281" t="s">
        <v>226</v>
      </c>
      <c r="J10" s="119">
        <f>1+H10</f>
        <v>1.280462963</v>
      </c>
      <c r="K10" s="281" t="s">
        <v>228</v>
      </c>
      <c r="L10" s="119">
        <f>1-H10/2</f>
        <v>0.8597685185</v>
      </c>
      <c r="N10" s="286" t="s">
        <v>230</v>
      </c>
      <c r="O10" s="140">
        <f t="shared" ref="O10:U10" si="5">SUM(O6:O9)</f>
        <v>3720571.088</v>
      </c>
      <c r="P10" s="140">
        <f t="shared" si="5"/>
        <v>509851.5221</v>
      </c>
      <c r="Q10" s="140">
        <f t="shared" si="5"/>
        <v>328039.0677</v>
      </c>
      <c r="R10" s="140">
        <f t="shared" si="5"/>
        <v>399291.3871</v>
      </c>
      <c r="S10" s="140">
        <f t="shared" si="5"/>
        <v>399291.3871</v>
      </c>
      <c r="T10" s="140">
        <f t="shared" si="5"/>
        <v>399291.3871</v>
      </c>
      <c r="U10" s="140">
        <f t="shared" si="5"/>
        <v>0</v>
      </c>
      <c r="V10" s="140">
        <f>sum(V6:V9)</f>
        <v>11765.66776</v>
      </c>
      <c r="W10" s="140">
        <f>(Y77+C27*0.0011*L7*(1-C144))</f>
        <v>384235.7537</v>
      </c>
      <c r="X10" s="152">
        <f>(MAX((T10-U10-V10-W10),0)*(1-$T$76*(10+2*C92))+MAX((T10-U10-V10-W10*(1.3+0.05*C92)),0)*($T$76*(10+2*C92))/(1.3+0.05*C92))/IF(D100=2,(1+0.06*(1-T40*(1-(0.75)^((5+(H15/2))/H15))/(1+3*(1-(0.75)^((5+(H15/2))/H15))*C82)/(1-(0.75)^((5+(H15/2))/H15)))),(1+0.02*C49))</f>
        <v>1091.321126</v>
      </c>
    </row>
    <row r="11">
      <c r="B11" s="271" t="s">
        <v>62</v>
      </c>
      <c r="C11" s="25">
        <f>Inputs!C13</f>
        <v>479.5</v>
      </c>
      <c r="D11" s="282">
        <f>(C11+225*15/2/120*IF(1&lt;(IF(C11&gt;C8,1,0)+IF(C11&gt;C10,1,0)+IF(C11&gt;C9,1,0)),E27,0))*(1+0.02*C30)/(1+0.02*Baseline!C30)</f>
        <v>479.5</v>
      </c>
      <c r="E11" s="282">
        <f>IF(D11&lt;=1380,D11,IF(D11&lt;=1840,1380+0.9*(D11-1380),IF(D11&lt;=2300,1794+0.8*(D11-1840),IF(D11&lt;=2760,2162+0.7*(D11-2300),IF(D11&lt;=3680,2484+0.6*(D11-2760),IF(D11&lt;=9200,3036+0.5*(D11-3680),5796))))))</f>
        <v>479.5</v>
      </c>
      <c r="F11" s="4"/>
      <c r="G11" s="271" t="s">
        <v>232</v>
      </c>
      <c r="H11" s="118">
        <f>0.16+E11/2300+0.002*(C131*K134)</f>
        <v>0.3835236353</v>
      </c>
      <c r="I11" s="283" t="s">
        <v>253</v>
      </c>
      <c r="J11" s="119">
        <f t="shared" ref="J11:J12" si="6">H11</f>
        <v>0.3835236353</v>
      </c>
      <c r="K11" s="271" t="s">
        <v>255</v>
      </c>
      <c r="L11" s="52">
        <f>1+H11/2</f>
        <v>1.191761818</v>
      </c>
    </row>
    <row r="12">
      <c r="B12" s="281" t="s">
        <v>64</v>
      </c>
      <c r="C12" s="25">
        <f>Inputs!C14</f>
        <v>0</v>
      </c>
      <c r="D12" s="115">
        <f t="shared" ref="D12:D13" si="7">C12</f>
        <v>0</v>
      </c>
      <c r="E12" s="115">
        <f>IF(D12&lt;=690,D12,IF(D12&lt;=1035,690+0.8*(D12-690),IF(D12&lt;=1380,966+0.6*(D12-1035),1173+0.4*(D12-1380))))</f>
        <v>0</v>
      </c>
      <c r="F12" s="4"/>
      <c r="G12" s="271" t="s">
        <v>256</v>
      </c>
      <c r="H12" s="159">
        <f>E12/6900+C71*0.03+C131*E138*0.02</f>
        <v>0.03</v>
      </c>
      <c r="I12" s="271" t="s">
        <v>264</v>
      </c>
      <c r="J12" s="119">
        <f t="shared" si="6"/>
        <v>0.03</v>
      </c>
      <c r="K12" s="271" t="s">
        <v>266</v>
      </c>
      <c r="L12" s="119">
        <f>J12+C111*0.15*MIN(8*T42,1)+0.06*(10+2*$C$72)*T54*(1+C131*E138)</f>
        <v>0.185</v>
      </c>
    </row>
    <row r="13">
      <c r="B13" s="281" t="s">
        <v>66</v>
      </c>
      <c r="C13" s="25">
        <f>Inputs!C15</f>
        <v>0</v>
      </c>
      <c r="D13" s="115">
        <f t="shared" si="7"/>
        <v>0</v>
      </c>
      <c r="E13" s="115">
        <f>IF(D13&lt;=368,D13,IF(D13&lt;=552,368+0.8*(D13-368),IF(D13&lt;=736,515.2+0.6*(D13-552),625.6+0.4*(D13-736))))</f>
        <v>0</v>
      </c>
      <c r="F13" s="4"/>
      <c r="G13" s="271" t="s">
        <v>270</v>
      </c>
      <c r="H13" s="159">
        <f>E13/3680+C70*0.03</f>
        <v>0</v>
      </c>
      <c r="I13" s="271" t="s">
        <v>272</v>
      </c>
      <c r="J13" s="119">
        <f>1-H13</f>
        <v>1</v>
      </c>
      <c r="K13" s="271" t="s">
        <v>273</v>
      </c>
      <c r="L13" s="84">
        <f>622/19130+0.03+(L6+L8)/((L6+L8)*1+1/0.94)+0.05*8*T28</f>
        <v>0.2650741515</v>
      </c>
      <c r="N13" s="290" t="s">
        <v>24</v>
      </c>
      <c r="V13" s="171"/>
    </row>
    <row r="14">
      <c r="B14" s="271" t="s">
        <v>68</v>
      </c>
      <c r="C14" s="174">
        <f>Inputs!C16</f>
        <v>151.4</v>
      </c>
      <c r="D14" s="27"/>
      <c r="E14" s="27"/>
      <c r="F14" s="4"/>
      <c r="G14" s="271" t="s">
        <v>277</v>
      </c>
      <c r="H14" s="159">
        <f>0.03+0.02*C32</f>
        <v>0.03</v>
      </c>
      <c r="I14" s="283" t="s">
        <v>279</v>
      </c>
      <c r="J14" s="133">
        <f>(1+E30*0.05*(1.13*(1-exp(-1*J9*15/60))))*(1+C57*0.06*(1-0.85^(5/(3/((1/(1-0.15*C107))*(1+C130))))))*(1+C117*0.05)*IF(D100=2,(1+0.06*C119*(1-T40*(1-(0.75)^((5+(H15/2))/H15))/(1+3*(1-(0.75)^((5+(H15/2))/H15))*C82)/(1-(0.75)^((5+(H15/2))/H15)))),(1+0.06*(14-5*C131*E137)*C119*(1/S40)))*(1+IF(C127&gt;2,2,IF(C127=2,1,0))*0.03*E127)</f>
        <v>1.187331555</v>
      </c>
      <c r="K14" s="283" t="s">
        <v>281</v>
      </c>
      <c r="L14" s="84">
        <f>MAX(L13-0.015*(C153-90),0)+MAX(H14-0.015*(C153-90),0)+MAX(0.03-0.015*(C153-90),0)</f>
        <v>0.3250741515</v>
      </c>
      <c r="N14" s="291" t="s">
        <v>71</v>
      </c>
      <c r="O14" s="291" t="s">
        <v>115</v>
      </c>
      <c r="P14" s="291" t="s">
        <v>150</v>
      </c>
      <c r="Q14" s="291" t="s">
        <v>282</v>
      </c>
      <c r="R14" s="291" t="s">
        <v>283</v>
      </c>
      <c r="S14" s="291" t="s">
        <v>284</v>
      </c>
    </row>
    <row r="15">
      <c r="B15" s="281" t="s">
        <v>69</v>
      </c>
      <c r="C15" s="174">
        <f>Inputs!C17</f>
        <v>3.6</v>
      </c>
      <c r="D15" s="27"/>
      <c r="E15" s="27"/>
      <c r="F15" s="4"/>
      <c r="G15" s="271" t="s">
        <v>285</v>
      </c>
      <c r="H15" s="178">
        <f>C15/(J9*(1+0.06*(3+1.5*C130*C136)*C59*D59))/((195.5+21.9*C152-0.673*C152^2)/195.5)</f>
        <v>1.378599312</v>
      </c>
      <c r="I15" s="291" t="s">
        <v>286</v>
      </c>
      <c r="J15" s="133">
        <f>(1+E30*0.05*(1.13*(1-exp(-1*J9*15/60))))*IF(D100=2,(1+0.06*C119*(1-T40*(1-(0.75)^((5+(H15/2))/H15))/(1+3*(1-(0.75)^((5+(H15/2))/H15))*C82)/(1-(0.75)^((5+(H15/2))/H15)))),(1+0.02*C49))*(1+C73*0.15*(5+2*C68)*(1/S19*C149*(1-C150)))*(1+0.01*E31)</f>
        <v>1.04</v>
      </c>
      <c r="K15" s="291" t="s">
        <v>288</v>
      </c>
      <c r="L15" s="133">
        <f>IF(C127=4,1/(2.5+(2/(1-(L14+0.3*(0.151+0.367*(J8)-0.0791*(J8)^2+0.0086*(J8)^3)))-1+IF(C152=1,0.5,0))/C152),1/(2.5+(2/(1-(L14+0.3*T38*(8+C110*4)))-1+IF(C152=1,0.5,0))/C152))</f>
        <v>0.3267253032</v>
      </c>
      <c r="N15" s="181">
        <f>IF(X10=0,"Self-Sufficient (+"&amp;Round(-((T10-U10-V10-W10)*(1-$T$76*(10+2*C92))+(T10-U10-V10-W10*(1.3+0.05*C92))*($T$76*(10+2*C92)))/O10%,2)&amp;"%)",($O$10-$X$10)/$O$10)</f>
        <v>0.9997066791</v>
      </c>
      <c r="O15" s="182">
        <f t="shared" ref="O15:P15" si="8">V77</f>
        <v>325061.0964</v>
      </c>
      <c r="P15" s="182">
        <f t="shared" si="8"/>
        <v>112279.5081</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9369582.946</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11517904.95</v>
      </c>
      <c r="S15" s="182">
        <f>$L$7*O10/T10*(0.7+0.3/(1-0.15*C79-0.05*IF(C79&gt;0,1,0)))*(1+($T$76*(10+2*C92))*0.3)</f>
        <v>21793400.66</v>
      </c>
    </row>
    <row r="17">
      <c r="A17" s="2"/>
      <c r="B17" s="294" t="s">
        <v>70</v>
      </c>
      <c r="C17" s="2"/>
      <c r="D17" s="2"/>
      <c r="E17" s="2"/>
      <c r="G17" s="296" t="s">
        <v>292</v>
      </c>
      <c r="H17" s="269" t="s">
        <v>255</v>
      </c>
      <c r="I17" s="268" t="s">
        <v>293</v>
      </c>
      <c r="J17" s="268" t="s">
        <v>294</v>
      </c>
      <c r="K17" s="269" t="s">
        <v>295</v>
      </c>
      <c r="L17" s="269" t="s">
        <v>296</v>
      </c>
      <c r="M17" s="268" t="s">
        <v>297</v>
      </c>
      <c r="N17" s="268" t="s">
        <v>298</v>
      </c>
      <c r="O17" s="268" t="s">
        <v>299</v>
      </c>
      <c r="P17" s="269" t="s">
        <v>300</v>
      </c>
      <c r="Q17" s="268" t="s">
        <v>301</v>
      </c>
      <c r="R17" s="268" t="s">
        <v>302</v>
      </c>
      <c r="S17" s="268" t="s">
        <v>303</v>
      </c>
      <c r="T17" s="268" t="s">
        <v>304</v>
      </c>
      <c r="U17" s="268" t="s">
        <v>305</v>
      </c>
      <c r="V17" s="269" t="s">
        <v>115</v>
      </c>
      <c r="W17" s="269" t="s">
        <v>150</v>
      </c>
      <c r="X17" s="268" t="s">
        <v>306</v>
      </c>
      <c r="Y17" s="269" t="s">
        <v>307</v>
      </c>
      <c r="Z17" s="268" t="s">
        <v>308</v>
      </c>
      <c r="AA17" s="268" t="s">
        <v>309</v>
      </c>
      <c r="AB17" s="269" t="s">
        <v>310</v>
      </c>
    </row>
    <row r="18">
      <c r="A18" s="2"/>
      <c r="B18" s="276" t="s">
        <v>72</v>
      </c>
      <c r="C18" s="276" t="s">
        <v>73</v>
      </c>
      <c r="D18" s="276" t="s">
        <v>74</v>
      </c>
      <c r="E18" s="276" t="s">
        <v>75</v>
      </c>
      <c r="G18" s="297" t="s">
        <v>195</v>
      </c>
      <c r="H18" s="194"/>
      <c r="I18" s="194"/>
      <c r="J18" s="194"/>
      <c r="K18" s="194"/>
      <c r="L18" s="194"/>
      <c r="M18" s="194"/>
      <c r="N18" s="194"/>
      <c r="O18" s="195"/>
      <c r="P18" s="194"/>
      <c r="Q18" s="196">
        <f>1.5/$J$9</f>
        <v>0.983880796</v>
      </c>
      <c r="R18" s="197">
        <v>120.0</v>
      </c>
      <c r="S18" s="198">
        <f>R18+$C$151</f>
        <v>120.8</v>
      </c>
      <c r="T18" s="196">
        <f>1/S18*C102*D102</f>
        <v>0</v>
      </c>
      <c r="U18" s="199">
        <f>T18*Q18</f>
        <v>0</v>
      </c>
      <c r="V18" s="194"/>
      <c r="W18" s="194"/>
      <c r="X18" s="194"/>
      <c r="Y18" s="194"/>
      <c r="Z18" s="194"/>
      <c r="AA18" s="195"/>
      <c r="AB18" s="194"/>
    </row>
    <row r="19">
      <c r="A19" s="2"/>
      <c r="B19" s="174" t="str">
        <f>Inputs!B21</f>
        <v/>
      </c>
      <c r="C19" s="174">
        <f>Inputs!C21</f>
        <v>1</v>
      </c>
      <c r="D19" s="79"/>
      <c r="E19" s="79"/>
      <c r="G19" s="281" t="s">
        <v>311</v>
      </c>
      <c r="H19" s="201"/>
      <c r="I19" s="194"/>
      <c r="J19" s="203"/>
      <c r="K19" s="195"/>
      <c r="L19" s="195"/>
      <c r="M19" s="195"/>
      <c r="N19" s="194"/>
      <c r="O19" s="196">
        <f>AA19/T19</f>
        <v>58.26106481</v>
      </c>
      <c r="P19" s="194"/>
      <c r="Q19" s="194"/>
      <c r="R19" s="197">
        <v>60.0</v>
      </c>
      <c r="S19" s="196">
        <f>(R19-20*C68+20*C81)</f>
        <v>40</v>
      </c>
      <c r="T19" s="196">
        <f>1/S19*C149*C150</f>
        <v>0.01</v>
      </c>
      <c r="U19" s="195"/>
      <c r="V19" s="195"/>
      <c r="W19" s="195"/>
      <c r="X19" s="195"/>
      <c r="Y19" s="194"/>
      <c r="Z19" s="194"/>
      <c r="AA19" s="196">
        <f>T19*$J$10*(1+0.4*$C$68)*(1+0.15*$C$46)*25</f>
        <v>0.5826106481</v>
      </c>
      <c r="AB19" s="194"/>
    </row>
    <row r="20">
      <c r="A20" s="2"/>
      <c r="B20" s="276" t="s">
        <v>76</v>
      </c>
      <c r="C20" s="276" t="s">
        <v>77</v>
      </c>
      <c r="D20" s="276" t="s">
        <v>78</v>
      </c>
      <c r="G20" s="276" t="s">
        <v>141</v>
      </c>
      <c r="H20" s="27"/>
      <c r="I20" s="194"/>
      <c r="J20" s="194"/>
      <c r="K20" s="194"/>
      <c r="L20" s="194"/>
      <c r="M20" s="194"/>
      <c r="N20" s="194"/>
      <c r="O20" s="194"/>
      <c r="P20" s="194"/>
      <c r="Q20" s="196">
        <f t="shared" ref="Q20:Q22" si="9">1.5/$J$9</f>
        <v>0.983880796</v>
      </c>
      <c r="R20" s="204">
        <v>240.0</v>
      </c>
      <c r="S20" s="205">
        <f>240-60*C67</f>
        <v>180</v>
      </c>
      <c r="T20" s="196">
        <f>1/S20*C61*D61</f>
        <v>0</v>
      </c>
      <c r="U20" s="199">
        <f t="shared" ref="U20:U22" si="10">T20*Q20</f>
        <v>0</v>
      </c>
      <c r="V20" s="194"/>
      <c r="W20" s="195"/>
      <c r="X20" s="195"/>
      <c r="Y20" s="194"/>
      <c r="Z20" s="194"/>
      <c r="AA20" s="194"/>
      <c r="AB20" s="194"/>
    </row>
    <row r="21">
      <c r="A21" s="2"/>
      <c r="B21" s="25" t="str">
        <f>Inputs!B23</f>
        <v/>
      </c>
      <c r="C21" s="25" t="str">
        <f>Inputs!C23</f>
        <v/>
      </c>
      <c r="D21" s="78"/>
      <c r="G21" s="276" t="s">
        <v>313</v>
      </c>
      <c r="H21" s="206">
        <v>1.5</v>
      </c>
      <c r="I21" s="194"/>
      <c r="J21" s="207">
        <f>($J$6*(1+$E$116)*(1+$D$157)+$C$14*6)*H21*$J$10*$L$11*(1+0.01*E25)</f>
        <v>9466.578733</v>
      </c>
      <c r="K21" s="196">
        <f>J21*$J$8*$C$152*$J$14*(1+0.08*C120*D120)
</f>
        <v>70839.79834</v>
      </c>
      <c r="L21" s="209">
        <f>K21/$C$152</f>
        <v>14167.95967</v>
      </c>
      <c r="M21" s="209">
        <f>K21*$L$12</f>
        <v>13105.36269</v>
      </c>
      <c r="N21" s="194"/>
      <c r="O21" s="194"/>
      <c r="P21" s="194"/>
      <c r="Q21" s="196">
        <f t="shared" si="9"/>
        <v>0.983880796</v>
      </c>
      <c r="R21" s="197">
        <v>180.0</v>
      </c>
      <c r="S21" s="198">
        <f t="shared" ref="S21:S22" si="11">R21+$C$151</f>
        <v>180.8</v>
      </c>
      <c r="T21" s="196">
        <f>1/S21*E25</f>
        <v>0</v>
      </c>
      <c r="U21" s="199">
        <f t="shared" si="10"/>
        <v>0</v>
      </c>
      <c r="V21" s="196">
        <f>T21*K21</f>
        <v>0</v>
      </c>
      <c r="W21" s="196">
        <f>T21*L21</f>
        <v>0</v>
      </c>
      <c r="X21" s="196">
        <f>T21*M21</f>
        <v>0</v>
      </c>
      <c r="Y21" s="196">
        <f>X21*(1-$C$144)</f>
        <v>0</v>
      </c>
      <c r="Z21" s="194"/>
      <c r="AA21" s="194"/>
      <c r="AB21" s="194"/>
    </row>
    <row r="22">
      <c r="A22" s="2"/>
      <c r="B22" s="2"/>
      <c r="E22" s="2"/>
      <c r="G22" s="281" t="s">
        <v>314</v>
      </c>
      <c r="H22" s="201"/>
      <c r="I22" s="194"/>
      <c r="J22" s="203"/>
      <c r="K22" s="195"/>
      <c r="L22" s="195"/>
      <c r="M22" s="195"/>
      <c r="N22" s="194"/>
      <c r="O22" s="211">
        <f>20</f>
        <v>20</v>
      </c>
      <c r="P22" s="194"/>
      <c r="Q22" s="196">
        <f t="shared" si="9"/>
        <v>0.983880796</v>
      </c>
      <c r="R22" s="197">
        <v>120.0</v>
      </c>
      <c r="S22" s="198">
        <f t="shared" si="11"/>
        <v>120.8</v>
      </c>
      <c r="T22" s="196">
        <f>1/S22*C28</f>
        <v>0</v>
      </c>
      <c r="U22" s="199">
        <f t="shared" si="10"/>
        <v>0</v>
      </c>
      <c r="V22" s="195"/>
      <c r="W22" s="195"/>
      <c r="X22" s="195"/>
      <c r="Y22" s="194"/>
      <c r="Z22" s="194"/>
      <c r="AA22" s="196">
        <f>T22*O22</f>
        <v>0</v>
      </c>
      <c r="AB22" s="194"/>
    </row>
    <row r="23">
      <c r="A23" s="2"/>
      <c r="B23" s="294" t="s">
        <v>79</v>
      </c>
      <c r="C23" s="2"/>
      <c r="D23" s="2"/>
      <c r="E23" s="2"/>
      <c r="G23" s="281" t="s">
        <v>315</v>
      </c>
      <c r="H23" s="212">
        <f>5*C15/12*1.25*1.2</f>
        <v>2.25</v>
      </c>
      <c r="I23" s="194"/>
      <c r="J23" s="207">
        <f>($J$6*(1+$E$116)*(1+$D$157)+169*15/120*$C$24+$C$14*6)*H23*$J$10*$L$11</f>
        <v>14199.8681</v>
      </c>
      <c r="K23" s="196">
        <f>J23*$J$8*0.7*$J$14*(1+0.08*C120*D120)
</f>
        <v>14876.35765</v>
      </c>
      <c r="L23" s="209">
        <f>K23</f>
        <v>14876.35765</v>
      </c>
      <c r="M23" s="209">
        <f>K23*$L$12</f>
        <v>2752.126165</v>
      </c>
      <c r="N23" s="215"/>
      <c r="O23" s="194"/>
      <c r="P23" s="194"/>
      <c r="Q23" s="195"/>
      <c r="R23" s="216">
        <f>C15</f>
        <v>3.6</v>
      </c>
      <c r="S23" s="209">
        <f>H15</f>
        <v>1.378599312</v>
      </c>
      <c r="T23" s="209">
        <f>1/S23</f>
        <v>0.7253739295</v>
      </c>
      <c r="U23" s="217"/>
      <c r="V23" s="196">
        <f t="shared" ref="V23:V24" si="12">T23*K23</f>
        <v>10790.92201</v>
      </c>
      <c r="W23" s="196">
        <f t="shared" ref="W23:W24" si="13">T23*L23</f>
        <v>10790.92201</v>
      </c>
      <c r="X23" s="196">
        <f t="shared" ref="X23:X24" si="14">T23*M23</f>
        <v>1996.320571</v>
      </c>
      <c r="Y23" s="196">
        <f t="shared" ref="Y23:Y29" si="15">X23*(1-$C$144)</f>
        <v>1597.056457</v>
      </c>
      <c r="Z23" s="194"/>
      <c r="AA23" s="194"/>
      <c r="AB23" s="194"/>
    </row>
    <row r="24">
      <c r="A24" s="2"/>
      <c r="B24" s="281" t="s">
        <v>80</v>
      </c>
      <c r="C24" s="25">
        <f>Inputs!C26</f>
        <v>0</v>
      </c>
      <c r="D24" s="308" t="s">
        <v>81</v>
      </c>
      <c r="E24" s="25">
        <f>Inputs!E26</f>
        <v>0</v>
      </c>
      <c r="G24" s="276" t="s">
        <v>316</v>
      </c>
      <c r="H24" s="218">
        <f>0.1115*1.4/6*1.36*1.075*15</f>
        <v>0.5705455</v>
      </c>
      <c r="I24" s="204">
        <v>1.15</v>
      </c>
      <c r="J24" s="219">
        <f>($J$6*(1+$E$116)*(1+$D$157)+169*15/120*$C$24+$C$14*6)*H24*$J$10*$L$11*I24*(1+0.01*C24)</f>
        <v>4140.853987</v>
      </c>
      <c r="K24" s="196">
        <f>(J24*$J$8*INT($J$9*10/1+1)*0.7*$J$14+J24*7.875*1.25*$J$8*$C$152/SQRT(MAX(1,$C$152/8))*$J$14)*(1+0.15*$C$152/SQRT(MAX(1,$C$152/8))*(1+$C$131*0.05*MIN(1,5/$C$152))*J10)</f>
        <v>728683.2226</v>
      </c>
      <c r="L24" s="196">
        <f>(J24*$J$8*INT($J$9*10/1+1)*0.7*$J$14+J24*7.875*1.25*$J$8/SQRT(MAX(1,$C$152/8))*$J$14)+(K24/(1+0.15*$C$152/SQRT(MAX(1,$C$152/8))*(1+$C$131*0.05*MIN(1,5/$C$152))*J10))*(0.15*1/SQRT(MAX(1,$C$152/8))*(1+$C$131*0.05)*J10)</f>
        <v>199542.8654</v>
      </c>
      <c r="M24" s="196">
        <f>K24/((1+$C$131*0.05*MIN(1,5/$C$152)))/$C$152</f>
        <v>138796.8043</v>
      </c>
      <c r="N24" s="194"/>
      <c r="O24" s="194"/>
      <c r="P24" s="194"/>
      <c r="Q24" s="195"/>
      <c r="R24" s="195"/>
      <c r="S24" s="196">
        <f>S38</f>
        <v>90.8</v>
      </c>
      <c r="T24" s="196">
        <f>1/S24*C131</f>
        <v>0.01101321586</v>
      </c>
      <c r="U24" s="222"/>
      <c r="V24" s="196">
        <f t="shared" si="12"/>
        <v>8025.145624</v>
      </c>
      <c r="W24" s="196">
        <f t="shared" si="13"/>
        <v>2197.608649</v>
      </c>
      <c r="X24" s="196">
        <f t="shared" si="14"/>
        <v>1528.599166</v>
      </c>
      <c r="Y24" s="196">
        <f t="shared" si="15"/>
        <v>1222.879333</v>
      </c>
      <c r="Z24" s="194"/>
      <c r="AA24" s="194"/>
      <c r="AB24" s="194"/>
    </row>
    <row r="25">
      <c r="A25" s="2"/>
      <c r="B25" s="281" t="s">
        <v>83</v>
      </c>
      <c r="C25" s="25">
        <f>Inputs!C27</f>
        <v>0</v>
      </c>
      <c r="D25" s="308" t="s">
        <v>84</v>
      </c>
      <c r="E25" s="25">
        <f>Inputs!E27</f>
        <v>0</v>
      </c>
      <c r="G25" s="281" t="s">
        <v>177</v>
      </c>
      <c r="H25" s="206">
        <f>1.4256*1.15</f>
        <v>1.63944</v>
      </c>
      <c r="I25" s="204">
        <v>1.15</v>
      </c>
      <c r="J25" s="207">
        <f>($J$6*(1+$E$116)*(1+$D$157)+169*15/120*$C$24+$C$14*6)*H25*$J$10*$L$11*I25*(1+0.01*$E$25)*(1+0.3*C130)</f>
        <v>11898.58068</v>
      </c>
      <c r="K25" s="196">
        <f>J25*$J$8*$C$152*$J$14*(1+C130*0.15*$B$19*(1+0.2*$C$63))*(1+$C$131*0.05*MIN(1,5/$C$152))*$H$135*(1+0.08*C120*D120)
</f>
        <v>93490.76719</v>
      </c>
      <c r="L25" s="209">
        <f t="shared" ref="L25:L26" si="16">K25/$C$152</f>
        <v>18698.15344</v>
      </c>
      <c r="M25" s="209">
        <f>K25*$L$12</f>
        <v>17295.79193</v>
      </c>
      <c r="N25" s="194"/>
      <c r="O25" s="194"/>
      <c r="P25" s="195"/>
      <c r="Q25" s="196">
        <f>1.5/$J$9</f>
        <v>0.983880796</v>
      </c>
      <c r="R25" s="197">
        <v>7.5</v>
      </c>
      <c r="S25" s="196">
        <f>1/((1/(R25/J9))+(C113/((R25/J9)/((1/(1-0.15*C107))/3*(1+C130)*(1-(1-H8)^C152)*0.25))))</f>
        <v>4.91940398</v>
      </c>
      <c r="T25" s="196">
        <f>MIN(1/S25,MAX((1-SUM(U19:U23,U29:U41,U43:U50,U52:U76)-($L$9+SUM(Z19:Z50,Z52:Z76))*Q51/(-N51)+(SUM(AA19:AA24,AA26:AA41,AA43:AA50,AA52:AA76)+(($L$9+SUM(Z19:Z50)+SUM(Z52:Z76))*O51/(-N51)))/O42*Q42)/Q25*(-O42/(O25-O42)),(1+C130)/24-T47*C130*0.5))</f>
        <v>0.04166666667</v>
      </c>
      <c r="U25" s="199">
        <f>T25*Q25</f>
        <v>0.04099503317</v>
      </c>
      <c r="V25" s="196">
        <f>(T25+C108*T51*(1-(1-0.15)*(1-0.15*MAX(4,C152-1)))*1.5)*K25</f>
        <v>40951.74217</v>
      </c>
      <c r="W25" s="196">
        <f>(T25+C108*T51*(1-(1-0.15)*(1-0.15*MAX(4,C152-1)))*1.5)*L25</f>
        <v>8190.348434</v>
      </c>
      <c r="X25" s="196">
        <f>(T25+C108*T51*0.15*1.5)*M25</f>
        <v>2278.706703</v>
      </c>
      <c r="Y25" s="196">
        <f t="shared" si="15"/>
        <v>1822.965362</v>
      </c>
      <c r="Z25" s="194"/>
      <c r="AA25" s="195"/>
      <c r="AB25" s="195"/>
    </row>
    <row r="26">
      <c r="A26" s="2"/>
      <c r="B26" s="281" t="s">
        <v>85</v>
      </c>
      <c r="C26" s="25">
        <f>Inputs!C28</f>
        <v>0</v>
      </c>
      <c r="D26" s="308" t="s">
        <v>86</v>
      </c>
      <c r="E26" s="25">
        <f>Inputs!E28</f>
        <v>0</v>
      </c>
      <c r="G26" s="276" t="s">
        <v>161</v>
      </c>
      <c r="H26" s="218">
        <v>1.2</v>
      </c>
      <c r="I26" s="204">
        <v>1.15</v>
      </c>
      <c r="J26" s="207">
        <f>($J$6*(1+$E$116)*(1+$D$157)+169*15/120*$C$24+$C$14*6)*H26*$J$10*$L$11*I26*(1+0.01*$E$25)</f>
        <v>8709.252434</v>
      </c>
      <c r="K26" s="196">
        <f>J26*$J$8*$C$152*$J$14*(1+$C$131*0.05*MIN(1,5/$C$152))*(1+0.08*C120*D120)
</f>
        <v>68431.24519</v>
      </c>
      <c r="L26" s="196">
        <f t="shared" si="16"/>
        <v>13686.24904</v>
      </c>
      <c r="M26" s="196">
        <f>K26*(1+$L$12)*1.25</f>
        <v>101363.7819</v>
      </c>
      <c r="N26" s="194"/>
      <c r="O26" s="194"/>
      <c r="P26" s="194"/>
      <c r="Q26" s="195"/>
      <c r="R26" s="204">
        <v>120.0</v>
      </c>
      <c r="S26" s="204">
        <v>120.0</v>
      </c>
      <c r="T26" s="196">
        <f>1/S26*C76</f>
        <v>0</v>
      </c>
      <c r="U26" s="222"/>
      <c r="V26" s="196">
        <f>T26*K26</f>
        <v>0</v>
      </c>
      <c r="W26" s="196">
        <f>T26*L26</f>
        <v>0</v>
      </c>
      <c r="X26" s="196">
        <f t="shared" ref="X26:X28" si="17">T26*M26</f>
        <v>0</v>
      </c>
      <c r="Y26" s="196">
        <f t="shared" si="15"/>
        <v>0</v>
      </c>
      <c r="Z26" s="195"/>
      <c r="AA26" s="195"/>
      <c r="AB26" s="194"/>
    </row>
    <row r="27">
      <c r="A27" s="2"/>
      <c r="B27" s="281" t="s">
        <v>88</v>
      </c>
      <c r="C27" s="25">
        <f>Inputs!C29</f>
        <v>0</v>
      </c>
      <c r="D27" s="308" t="s">
        <v>89</v>
      </c>
      <c r="E27" s="25">
        <f>Inputs!E29</f>
        <v>0</v>
      </c>
      <c r="G27" s="276" t="s">
        <v>208</v>
      </c>
      <c r="H27" s="224"/>
      <c r="I27" s="194"/>
      <c r="J27" s="194"/>
      <c r="K27" s="194"/>
      <c r="L27" s="194"/>
      <c r="M27" s="196">
        <f>V10/T19</f>
        <v>1176566.776</v>
      </c>
      <c r="N27" s="194"/>
      <c r="O27" s="194"/>
      <c r="P27" s="194"/>
      <c r="Q27" s="195"/>
      <c r="R27" s="194"/>
      <c r="S27" s="194"/>
      <c r="T27" s="196">
        <f>T19*C112</f>
        <v>0</v>
      </c>
      <c r="U27" s="222"/>
      <c r="V27" s="222"/>
      <c r="W27" s="222"/>
      <c r="X27" s="196">
        <f t="shared" si="17"/>
        <v>0</v>
      </c>
      <c r="Y27" s="196">
        <f t="shared" si="15"/>
        <v>0</v>
      </c>
      <c r="Z27" s="195"/>
      <c r="AA27" s="194"/>
      <c r="AB27" s="194"/>
    </row>
    <row r="28">
      <c r="A28" s="2"/>
      <c r="B28" s="281" t="s">
        <v>90</v>
      </c>
      <c r="C28" s="25">
        <f>Inputs!C30</f>
        <v>0</v>
      </c>
      <c r="D28" s="308" t="s">
        <v>91</v>
      </c>
      <c r="E28" s="25">
        <f>Inputs!E30</f>
        <v>0</v>
      </c>
      <c r="G28" s="276" t="s">
        <v>215</v>
      </c>
      <c r="H28" s="206">
        <v>0.64</v>
      </c>
      <c r="I28" s="204">
        <v>1.15</v>
      </c>
      <c r="J28" s="207">
        <f>($J$6*(1+$E$116)*(1+$D$157)+169*15/120*$C$24+$C$14*6)*H28*$J$10*$L$11*I28*(1+0.01*E25)</f>
        <v>4644.934632</v>
      </c>
      <c r="K28" s="196">
        <f>J28*$J$8*$C$152/SQRT(MAX(1,$C$152/8))*$J$14*9*(1+0.08*C120*D120)*(1+$C$131*0.05*MIN(1,5/$C$152))</f>
        <v>328469.9769</v>
      </c>
      <c r="L28" s="196">
        <f t="shared" ref="L28:L29" si="18">K28/$C$152</f>
        <v>65693.99539</v>
      </c>
      <c r="M28" s="209">
        <f>K28*$L$12</f>
        <v>60766.94573</v>
      </c>
      <c r="N28" s="194"/>
      <c r="O28" s="219">
        <f>MIN(C152,5)*2*9</f>
        <v>90</v>
      </c>
      <c r="P28" s="194"/>
      <c r="Q28" s="195"/>
      <c r="R28" s="194"/>
      <c r="S28" s="194"/>
      <c r="T28" s="196">
        <f>T38*C118</f>
        <v>0</v>
      </c>
      <c r="U28" s="222"/>
      <c r="V28" s="196">
        <f>T28*K28</f>
        <v>0</v>
      </c>
      <c r="W28" s="196">
        <f>T28*L28</f>
        <v>0</v>
      </c>
      <c r="X28" s="196">
        <f t="shared" si="17"/>
        <v>0</v>
      </c>
      <c r="Y28" s="196">
        <f t="shared" si="15"/>
        <v>0</v>
      </c>
      <c r="Z28" s="195"/>
      <c r="AA28" s="196">
        <f>T28*O28</f>
        <v>0</v>
      </c>
      <c r="AB28" s="194"/>
    </row>
    <row r="29">
      <c r="A29" s="2"/>
      <c r="B29" s="281" t="s">
        <v>92</v>
      </c>
      <c r="C29" s="25">
        <f>Inputs!C31</f>
        <v>0</v>
      </c>
      <c r="D29" s="308" t="s">
        <v>93</v>
      </c>
      <c r="E29" s="25">
        <f>Inputs!E31</f>
        <v>0</v>
      </c>
      <c r="G29" s="281" t="s">
        <v>321</v>
      </c>
      <c r="H29" s="237">
        <f>0.3348*24/3*(1/(1-0.15*C107))</f>
        <v>3.151058824</v>
      </c>
      <c r="I29" s="204">
        <v>1.15</v>
      </c>
      <c r="J29" s="207">
        <f>($J$6*(1+$E$116)*(1+$D$157)+169*15/120*$C$24+$C$14*6)*H29*$J$10*$L$11*I29*(1+0.01*E25)</f>
        <v>22869.47227</v>
      </c>
      <c r="K29" s="196">
        <f>J29*$J$8*$C$152*$J$14*(1+0.4*C117*D117)*(1+$C$131*0.05*MIN(1,5/$C$152))*(1+0.08*C120*D120)*(1+0.15*C131)/(1+0.05*C117)
</f>
        <v>259783.8685</v>
      </c>
      <c r="L29" s="196">
        <f t="shared" si="18"/>
        <v>51956.7737</v>
      </c>
      <c r="M29" s="196">
        <f>K29*(1+0.85*$C$107+$L$12)*1.25</f>
        <v>660825.2154</v>
      </c>
      <c r="N29" s="194"/>
      <c r="O29" s="194"/>
      <c r="P29" s="194"/>
      <c r="Q29" s="195"/>
      <c r="R29" s="194"/>
      <c r="S29" s="194"/>
      <c r="T29" s="195"/>
      <c r="U29" s="222"/>
      <c r="V29" s="196">
        <f>K29/24*(1+C130)</f>
        <v>10824.32785</v>
      </c>
      <c r="W29" s="196">
        <f>L29/24*(1+C130)</f>
        <v>2164.865571</v>
      </c>
      <c r="X29" s="196">
        <f>M29/24*(1+C130)</f>
        <v>27534.38398</v>
      </c>
      <c r="Y29" s="196">
        <f t="shared" si="15"/>
        <v>22027.50718</v>
      </c>
      <c r="Z29" s="195"/>
      <c r="AA29" s="195"/>
      <c r="AB29" s="194"/>
    </row>
    <row r="30">
      <c r="A30" s="2"/>
      <c r="B30" s="276" t="s">
        <v>94</v>
      </c>
      <c r="C30" s="25">
        <f>Inputs!C32</f>
        <v>0</v>
      </c>
      <c r="D30" s="276" t="s">
        <v>95</v>
      </c>
      <c r="E30" s="25">
        <f>Inputs!E32</f>
        <v>0</v>
      </c>
      <c r="G30" s="276" t="s">
        <v>327</v>
      </c>
      <c r="H30" s="224"/>
      <c r="I30" s="194"/>
      <c r="J30" s="194"/>
      <c r="K30" s="194"/>
      <c r="L30" s="194"/>
      <c r="M30" s="209">
        <f>MIN(J11*(MAX(5*0.2*T10*(1+0.05*C111),7/100*L7)*(1+0.15*C42))*$J$10*(1+0.15*C46)*(1+0.2*C115),(0.5+0.15*C114)*L7*MAX(1,T42/0.2)/(1+($T$76*(10+2*C92))*(0.3+0.05*C92)))</f>
        <v>369369.3325</v>
      </c>
      <c r="N30" s="194"/>
      <c r="O30" s="194"/>
      <c r="P30" s="194"/>
      <c r="Q30" s="194"/>
      <c r="R30" s="194"/>
      <c r="S30" s="194"/>
      <c r="T30" s="196">
        <f>T42</f>
        <v>0.4013549584</v>
      </c>
      <c r="U30" s="222"/>
      <c r="V30" s="222"/>
      <c r="W30" s="222"/>
      <c r="X30" s="196">
        <f>MIN(T30,0.2)*M30</f>
        <v>73873.8665</v>
      </c>
      <c r="Y30" s="196">
        <f t="shared" ref="Y30:Y33" si="19">X30</f>
        <v>73873.8665</v>
      </c>
      <c r="Z30" s="195"/>
      <c r="AA30" s="195"/>
      <c r="AB30" s="194"/>
    </row>
    <row r="31">
      <c r="A31" s="2"/>
      <c r="B31" s="276" t="s">
        <v>96</v>
      </c>
      <c r="C31" s="25">
        <f>Inputs!C33</f>
        <v>0</v>
      </c>
      <c r="D31" s="276" t="s">
        <v>97</v>
      </c>
      <c r="E31" s="25">
        <f>Inputs!E33</f>
        <v>0</v>
      </c>
      <c r="G31" s="276" t="s">
        <v>328</v>
      </c>
      <c r="H31" s="218">
        <v>9.0</v>
      </c>
      <c r="I31" s="194"/>
      <c r="J31" s="219">
        <f>($J$6*(1+$E$116)*(1+$D$157)+169*15/120*$C$24+$C$14*6)*H31*$J$10*$L$11*(1+0.01*E25)</f>
        <v>56799.4724</v>
      </c>
      <c r="K31" s="196">
        <f>J31*$J$8*(2*$C$152/3+1/3)*(1+$C$131*0.05*MIN(1,5.5/($C$152+0.5)))*$H$135
</f>
        <v>267096.1233</v>
      </c>
      <c r="L31" s="196">
        <f>K31/(2*$C$152/3+1/3)</f>
        <v>72844.39727</v>
      </c>
      <c r="M31" s="209">
        <f>K31*$L$12</f>
        <v>49412.78282</v>
      </c>
      <c r="N31" s="194"/>
      <c r="O31" s="194"/>
      <c r="P31" s="194"/>
      <c r="Q31" s="195"/>
      <c r="R31" s="195"/>
      <c r="S31" s="195"/>
      <c r="T31" s="196">
        <f>T42/10*C158</f>
        <v>0.04013549584</v>
      </c>
      <c r="U31" s="222"/>
      <c r="V31" s="196">
        <f t="shared" ref="V31:V33" si="20">T31*K31</f>
        <v>10720.03535</v>
      </c>
      <c r="W31" s="196">
        <f t="shared" ref="W31:W33" si="21">T31*L31</f>
        <v>2923.646004</v>
      </c>
      <c r="X31" s="196">
        <f t="shared" ref="X31:X33" si="22">T31*M31</f>
        <v>1983.206539</v>
      </c>
      <c r="Y31" s="196">
        <f t="shared" si="19"/>
        <v>1983.206539</v>
      </c>
      <c r="Z31" s="194"/>
      <c r="AA31" s="194"/>
      <c r="AB31" s="194"/>
    </row>
    <row r="32">
      <c r="A32" s="2"/>
      <c r="B32" s="276" t="s">
        <v>98</v>
      </c>
      <c r="C32" s="25">
        <f>Inputs!C34</f>
        <v>0</v>
      </c>
      <c r="D32" s="276" t="s">
        <v>99</v>
      </c>
      <c r="E32" s="25">
        <f>Inputs!E34</f>
        <v>0</v>
      </c>
      <c r="G32" s="281" t="s">
        <v>193</v>
      </c>
      <c r="H32" s="206">
        <f>0.235*1.4/6*1.075</f>
        <v>0.05894583333</v>
      </c>
      <c r="I32" s="204">
        <v>1.0</v>
      </c>
      <c r="J32" s="219">
        <f>($J$6*(1+$E$116)*(1+$D$157)+169*15/120*$C$24+$C$14*6)*H32*$J$10*$L$11*I32*(1+0.01*C24)</f>
        <v>372.0102482</v>
      </c>
      <c r="K32" s="196">
        <f>J32*$J$8*INT($J$9*D101/1.4+1)*0.7*$J$14</f>
        <v>4154.131045</v>
      </c>
      <c r="L32" s="196">
        <f>K32</f>
        <v>4154.131045</v>
      </c>
      <c r="M32" s="196">
        <f>L7*0.5*0.15</f>
        <v>126217.095</v>
      </c>
      <c r="N32" s="194"/>
      <c r="O32" s="194"/>
      <c r="P32" s="194"/>
      <c r="Q32" s="195"/>
      <c r="R32" s="197">
        <f>60/5</f>
        <v>12</v>
      </c>
      <c r="S32" s="196">
        <f>R32/1.13</f>
        <v>10.61946903</v>
      </c>
      <c r="T32" s="196">
        <f>1/S32*C101</f>
        <v>0</v>
      </c>
      <c r="U32" s="222"/>
      <c r="V32" s="196">
        <f t="shared" si="20"/>
        <v>0</v>
      </c>
      <c r="W32" s="196">
        <f t="shared" si="21"/>
        <v>0</v>
      </c>
      <c r="X32" s="196">
        <f t="shared" si="22"/>
        <v>0</v>
      </c>
      <c r="Y32" s="196">
        <f t="shared" si="19"/>
        <v>0</v>
      </c>
      <c r="Z32" s="194"/>
      <c r="AA32" s="194"/>
      <c r="AB32" s="194"/>
    </row>
    <row r="33">
      <c r="A33" s="2"/>
      <c r="B33" s="276" t="s">
        <v>100</v>
      </c>
      <c r="C33" s="25">
        <f>Inputs!C35</f>
        <v>0</v>
      </c>
      <c r="D33" s="276" t="s">
        <v>101</v>
      </c>
      <c r="E33" s="25">
        <f>Inputs!E35</f>
        <v>0</v>
      </c>
      <c r="G33" s="276" t="s">
        <v>211</v>
      </c>
      <c r="H33" s="218">
        <v>1.1</v>
      </c>
      <c r="I33" s="204">
        <v>1.15</v>
      </c>
      <c r="J33" s="207">
        <f>($J$6*(1+$E$116)*(1+$D$157)+169*15/120*$C$24+$C$14*6)*H33*$J$10*$L$11*I33*(1+0.01*$E$25)</f>
        <v>7983.481398</v>
      </c>
      <c r="K33" s="196">
        <f>J33*$J$8*$J$14*(1+$C$131*0.05*MIN(1,5/$C$152))*$H$135*(1+0.08*C127)
</f>
        <v>16046.86176</v>
      </c>
      <c r="L33" s="196">
        <f>K33/C$152</f>
        <v>3209.372352</v>
      </c>
      <c r="M33" s="209">
        <f>K33*$L$12</f>
        <v>2968.669426</v>
      </c>
      <c r="N33" s="194"/>
      <c r="O33" s="194"/>
      <c r="P33" s="194"/>
      <c r="Q33" s="203"/>
      <c r="R33" s="204">
        <v>0.5</v>
      </c>
      <c r="S33" s="196">
        <f>1/T42</f>
        <v>2.491560099</v>
      </c>
      <c r="T33" s="196">
        <f>1/S33*C114</f>
        <v>0</v>
      </c>
      <c r="U33" s="203"/>
      <c r="V33" s="196">
        <f t="shared" si="20"/>
        <v>0</v>
      </c>
      <c r="W33" s="196">
        <f t="shared" si="21"/>
        <v>0</v>
      </c>
      <c r="X33" s="196">
        <f t="shared" si="22"/>
        <v>0</v>
      </c>
      <c r="Y33" s="196">
        <f t="shared" si="19"/>
        <v>0</v>
      </c>
      <c r="Z33" s="194"/>
      <c r="AA33" s="194"/>
      <c r="AB33" s="194"/>
    </row>
    <row r="34">
      <c r="A34" s="2"/>
      <c r="B34" s="276" t="s">
        <v>102</v>
      </c>
      <c r="C34" s="25">
        <f>Inputs!C36</f>
        <v>0</v>
      </c>
      <c r="D34" s="276" t="s">
        <v>103</v>
      </c>
      <c r="E34" s="25">
        <f>Inputs!E36</f>
        <v>0</v>
      </c>
      <c r="G34" s="276" t="s">
        <v>329</v>
      </c>
      <c r="H34" s="252"/>
      <c r="I34" s="203"/>
      <c r="J34" s="203"/>
      <c r="K34" s="203"/>
      <c r="L34" s="203"/>
      <c r="M34" s="203"/>
      <c r="N34" s="194"/>
      <c r="O34" s="194"/>
      <c r="P34" s="194"/>
      <c r="Q34" s="203"/>
      <c r="R34" s="203"/>
      <c r="S34" s="203"/>
      <c r="T34" s="203"/>
      <c r="U34" s="203"/>
      <c r="V34" s="203"/>
      <c r="W34" s="203"/>
      <c r="X34" s="196">
        <f>T10*0.02*E33</f>
        <v>0</v>
      </c>
      <c r="Y34" s="196">
        <f t="shared" ref="Y34:Y36" si="23">X34*(1-$C$144)</f>
        <v>0</v>
      </c>
      <c r="Z34" s="194"/>
      <c r="AA34" s="194"/>
      <c r="AB34" s="194"/>
    </row>
    <row r="35">
      <c r="A35" s="2"/>
      <c r="B35" s="276" t="s">
        <v>104</v>
      </c>
      <c r="C35" s="25">
        <f>Inputs!C37</f>
        <v>0</v>
      </c>
      <c r="D35" s="276"/>
      <c r="E35" s="25" t="str">
        <f>Inputs!E37</f>
        <v/>
      </c>
      <c r="G35" s="281" t="s">
        <v>218</v>
      </c>
      <c r="H35" s="218">
        <f>4.8084*1.3</f>
        <v>6.25092</v>
      </c>
      <c r="I35" s="204">
        <v>1.15</v>
      </c>
      <c r="J35" s="207">
        <f>($J$6*(1+$E$116)*(1+$D$157)+169*15/120*$C$24+$C$14*6)*H35*$J$10*$L$11*I35*(1+0.01*$E$25)</f>
        <v>45367.36686</v>
      </c>
      <c r="K35" s="196">
        <f>J35*$J$8*$C$152/SQRT(MAX(1,$C$152/8))*$J$14*(1+$C$131*0.05*MIN(1,5/$C$152))*(1+0.08*C120*D120)+24/(1+C130)*V29*D121*0.25*(1+0.08*C120*D120)</f>
        <v>423489.4374</v>
      </c>
      <c r="L35" s="196">
        <f>K35/$C$152</f>
        <v>84697.88748</v>
      </c>
      <c r="M35" s="196">
        <f>K35*$L$12+24/(1+C130)*V29*D121*0.25*(1+0.08*C120*D120)*(1+0.5*$C$107+$L$12)*1.25+K35*C125*1.5*J11*J10*(1+0.15*C46)*(1+0.2*C115)/(1-$C$144)</f>
        <v>219515.3474</v>
      </c>
      <c r="N35" s="194"/>
      <c r="O35" s="194"/>
      <c r="P35" s="194"/>
      <c r="Q35" s="196">
        <f>(1+0.5*D121)/$J$9</f>
        <v>0.983880796</v>
      </c>
      <c r="R35" s="204">
        <v>45.0</v>
      </c>
      <c r="S35" s="198">
        <f>(R35/(1+$C$125*22.5*1.1/60*1.13*$J$9))+$C$151</f>
        <v>45.8</v>
      </c>
      <c r="T35" s="196">
        <f>1/S35*C121</f>
        <v>0</v>
      </c>
      <c r="U35" s="199">
        <f t="shared" ref="U35:U36" si="24">T35*Q35</f>
        <v>0</v>
      </c>
      <c r="V35" s="196">
        <f t="shared" ref="V35:V36" si="25">T35*K35</f>
        <v>0</v>
      </c>
      <c r="W35" s="196">
        <f t="shared" ref="W35:W36" si="26">T35*L35</f>
        <v>0</v>
      </c>
      <c r="X35" s="196">
        <f t="shared" ref="X35:X36" si="27">T35*M35</f>
        <v>0</v>
      </c>
      <c r="Y35" s="196">
        <f t="shared" si="23"/>
        <v>0</v>
      </c>
      <c r="Z35" s="194"/>
      <c r="AA35" s="194"/>
      <c r="AB35" s="194"/>
    </row>
    <row r="36">
      <c r="A36" s="2"/>
      <c r="B36" s="2"/>
      <c r="C36" s="2"/>
      <c r="D36" s="2"/>
      <c r="E36" s="2"/>
      <c r="G36" s="276" t="s">
        <v>330</v>
      </c>
      <c r="H36" s="253">
        <v>2.52</v>
      </c>
      <c r="I36" s="203"/>
      <c r="J36" s="207">
        <f>($J$6*(1+$E$116)*(1+$D$157)+$C$14*6)*H36*$J$10*$L$11</f>
        <v>15903.85227</v>
      </c>
      <c r="K36" s="196">
        <f>J36*$J$8*$J$14*(1+0.08*C120*D120)</f>
        <v>23802.17224</v>
      </c>
      <c r="L36" s="196">
        <f>K36</f>
        <v>23802.17224</v>
      </c>
      <c r="M36" s="194"/>
      <c r="N36" s="194"/>
      <c r="O36" s="194"/>
      <c r="P36" s="194"/>
      <c r="Q36" s="196">
        <f>1.5/$J$9</f>
        <v>0.983880796</v>
      </c>
      <c r="R36" s="197">
        <v>90.0</v>
      </c>
      <c r="S36" s="198">
        <f>R36+$C$151</f>
        <v>90.8</v>
      </c>
      <c r="T36" s="196">
        <f>1/S36*IF($E$29=1,1,0)</f>
        <v>0</v>
      </c>
      <c r="U36" s="199">
        <f t="shared" si="24"/>
        <v>0</v>
      </c>
      <c r="V36" s="196">
        <f t="shared" si="25"/>
        <v>0</v>
      </c>
      <c r="W36" s="196">
        <f t="shared" si="26"/>
        <v>0</v>
      </c>
      <c r="X36" s="196">
        <f t="shared" si="27"/>
        <v>0</v>
      </c>
      <c r="Y36" s="196">
        <f t="shared" si="23"/>
        <v>0</v>
      </c>
      <c r="Z36" s="194"/>
      <c r="AA36" s="194"/>
      <c r="AB36" s="194"/>
    </row>
    <row r="37">
      <c r="A37" s="2"/>
      <c r="B37" s="321" t="s">
        <v>105</v>
      </c>
      <c r="C37" s="283" t="s">
        <v>106</v>
      </c>
      <c r="D37" s="283" t="s">
        <v>107</v>
      </c>
      <c r="E37" s="2"/>
      <c r="G37" s="276" t="s">
        <v>331</v>
      </c>
      <c r="H37" s="254"/>
      <c r="I37" s="255"/>
      <c r="J37" s="255"/>
      <c r="K37" s="255"/>
      <c r="L37" s="255"/>
      <c r="M37" s="194"/>
      <c r="N37" s="204">
        <v>1.0</v>
      </c>
      <c r="O37" s="194"/>
      <c r="P37" s="255"/>
      <c r="Q37" s="255"/>
      <c r="R37" s="255"/>
      <c r="S37" s="255"/>
      <c r="T37" s="196">
        <f>F127</f>
        <v>0.1403552379</v>
      </c>
      <c r="U37" s="195"/>
      <c r="V37" s="195"/>
      <c r="W37" s="195"/>
      <c r="X37" s="195"/>
      <c r="Y37" s="194"/>
      <c r="Z37" s="196">
        <f>T37*N37</f>
        <v>0.1403552379</v>
      </c>
      <c r="AA37" s="194"/>
      <c r="AB37" s="194"/>
    </row>
    <row r="38">
      <c r="A38" s="322" t="s">
        <v>108</v>
      </c>
      <c r="B38" s="276" t="s">
        <v>109</v>
      </c>
      <c r="C38" s="25">
        <f>Inputs!C40</f>
        <v>1</v>
      </c>
      <c r="D38" s="78"/>
      <c r="E38" s="2"/>
      <c r="G38" s="281"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2070055.055</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642940.6454</v>
      </c>
      <c r="M38" s="194"/>
      <c r="N38" s="194"/>
      <c r="O38" s="194"/>
      <c r="P38" s="256">
        <f>D105*C105</f>
        <v>5</v>
      </c>
      <c r="Q38" s="196">
        <f>1.5/$J$9</f>
        <v>0.983880796</v>
      </c>
      <c r="R38" s="197">
        <v>120.0</v>
      </c>
      <c r="S38" s="196">
        <f>120-30*C105+$C$151</f>
        <v>90.8</v>
      </c>
      <c r="T38" s="196">
        <f>1/S38*C98*C149</f>
        <v>0.01101321586</v>
      </c>
      <c r="U38" s="199">
        <f>T38*Q38</f>
        <v>0.01083569159</v>
      </c>
      <c r="V38" s="196">
        <f t="shared" ref="V38:V40" si="28">T38*K38</f>
        <v>22797.96316</v>
      </c>
      <c r="W38" s="196">
        <f t="shared" ref="W38:W40" si="29">T38*L38</f>
        <v>7080.844112</v>
      </c>
      <c r="X38" s="195"/>
      <c r="Y38" s="194"/>
      <c r="Z38" s="194"/>
      <c r="AA38" s="194"/>
      <c r="AB38" s="196">
        <f>P38*T38</f>
        <v>0.0550660793</v>
      </c>
    </row>
    <row r="39">
      <c r="A39" s="97"/>
      <c r="B39" s="276" t="s">
        <v>110</v>
      </c>
      <c r="C39" s="25">
        <f>Inputs!C41</f>
        <v>1</v>
      </c>
      <c r="D39" s="78"/>
      <c r="E39" s="2"/>
      <c r="G39" s="276"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453700.5912</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179854.7975</v>
      </c>
      <c r="M39" s="194"/>
      <c r="N39" s="255"/>
      <c r="O39" s="255"/>
      <c r="P39" s="194"/>
      <c r="Q39" s="255"/>
      <c r="R39" s="255"/>
      <c r="S39" s="255">
        <f>IF(OR(D100=1,AND(C152&lt;4,C131=1)),MAX((10-5*C131*E137+H15*3.5+C151),12),0)+IF(NOT(OR(D100=1,AND(C152&lt;4,C131=1))),15-5*C131*E137-C82,0)</f>
        <v>14</v>
      </c>
      <c r="T39" s="196">
        <f>IF(C127&gt;3,1,0)*0.1*(T40+T43+T51+T57+T63)</f>
        <v>0.05623484487</v>
      </c>
      <c r="U39" s="195"/>
      <c r="V39" s="196">
        <f t="shared" si="28"/>
        <v>25513.78236</v>
      </c>
      <c r="W39" s="196">
        <f t="shared" si="29"/>
        <v>10114.10664</v>
      </c>
      <c r="X39" s="195"/>
      <c r="Y39" s="194"/>
      <c r="Z39" s="194"/>
      <c r="AA39" s="194"/>
      <c r="AB39" s="195"/>
    </row>
    <row r="40">
      <c r="A40" s="98"/>
      <c r="B40" s="276" t="s">
        <v>111</v>
      </c>
      <c r="C40" s="25">
        <f>Inputs!C42</f>
        <v>1</v>
      </c>
      <c r="D40" s="78"/>
      <c r="E40" s="2"/>
      <c r="G40" s="281" t="s">
        <v>333</v>
      </c>
      <c r="H40" s="237">
        <f>0.083*(11+2*C107)*1.3*1.25</f>
        <v>1.753375</v>
      </c>
      <c r="I40" s="204">
        <f>1.48*1.15</f>
        <v>1.702</v>
      </c>
      <c r="J40" s="207">
        <f>($J$6*(1+$E$116)*(1+$D$157)+169*15/120*$C$24+$C$14*6)*H40*$J$10*$L$11*I40*(1+0.01*E25)</f>
        <v>18833.7221</v>
      </c>
      <c r="K40" s="196">
        <f>J40*$J$8*$C$152*$J$14*(1+$C$131*0.05*MIN(1,5/$C$152))*(1+0.08*C120*D120)
</f>
        <v>147982.2826</v>
      </c>
      <c r="L40" s="196">
        <f>K40/$C$152</f>
        <v>29596.45652</v>
      </c>
      <c r="M40" s="196">
        <f>K40*$L$12+($J$6*(1+$E$116)*(1+$D$157)+4925*15/120*C24+$C$14*6)*0.375*(D97+2*C104)*$J$10*$J$8*$L$11*C94*(1-IF(OR(D100=1,AND(C152&lt;4,C131=1)),0,1)*IF(D100=2,1-(1-(0.75)^((5+(H15/2))/H15))/(1+3*(1-(0.75)^((5+(H15/2))/H15))*C82),1)*IF(NOT(OR(OR(D100=1,AND(C152&lt;4,C131=1)),D100=2)),1-(1-(0.75)^((4+(H15/2))/H15)),1))</f>
        <v>43614.36428</v>
      </c>
      <c r="N40" s="196">
        <f>-1*IF(OR(D100=1,AND(C152&lt;4,C131=1)),0,1)*IF(D100=2,1-(1-(0.75)^((5+(H15/2))/H15))/(1+3*(1-(0.75)^((5+(H15/2))/H15))*C82),1)*IF(NOT(OR(OR(D100=1,AND(C152&lt;4,C131=1)),D100=2)),1-(1-(0.75)^((4+(H15/2))/H15)),1)</f>
        <v>-0.3758559437</v>
      </c>
      <c r="O40" s="196">
        <f>10*IF(OR(D100=1,AND(C152&lt;4,C131=1)),C94,1)*IF(D100=2,IF(C94&gt;0,1,1-(1-(0.75)^((5+(H15/2))/H15))/(1+3*(1-(0.75)^((5+(H15/2))/H15))*C82)),1)*IF(NOT(OR(OR(D100=1,AND(C152&lt;4,C131=1)),D100=2)),IF(C94&gt;0,1,1-(1-(0.75)^((4+(H15/2))/H15))),1)</f>
        <v>10</v>
      </c>
      <c r="P40" s="194"/>
      <c r="Q40" s="196">
        <f>1.5/$J$9</f>
        <v>0.983880796</v>
      </c>
      <c r="R40" s="197">
        <v>15.0</v>
      </c>
      <c r="S40" s="196">
        <f>IF(OR(D100=1,AND(C152&lt;4,C131=1)),MAX((10-5*C131*E137+H15*3.5+C151),12),0)+IF(NOT(OR(D100=1,AND(C152&lt;4,C131=1))),15-5*C131*E137-C82,0)</f>
        <v>14</v>
      </c>
      <c r="T40" s="196">
        <f>1/S40</f>
        <v>0.07142857143</v>
      </c>
      <c r="U40" s="199">
        <f>T40*Q40</f>
        <v>0.07027719971</v>
      </c>
      <c r="V40" s="196">
        <f t="shared" si="28"/>
        <v>10570.16304</v>
      </c>
      <c r="W40" s="196">
        <f t="shared" si="29"/>
        <v>2114.032609</v>
      </c>
      <c r="X40" s="196">
        <f t="shared" ref="X40:X41" si="30">T40*M40</f>
        <v>3115.311734</v>
      </c>
      <c r="Y40" s="196">
        <f>X40*(1-$C$144)</f>
        <v>2492.249387</v>
      </c>
      <c r="Z40" s="196">
        <f>T40*N40</f>
        <v>-0.02684685312</v>
      </c>
      <c r="AA40" s="196">
        <f>T40*O40</f>
        <v>0.7142857143</v>
      </c>
      <c r="AB40" s="194"/>
    </row>
    <row r="41">
      <c r="A41" s="322" t="s">
        <v>112</v>
      </c>
      <c r="B41" s="276" t="s">
        <v>113</v>
      </c>
      <c r="C41" s="25">
        <f>Inputs!C43</f>
        <v>1</v>
      </c>
      <c r="D41" s="78"/>
      <c r="E41" s="2"/>
      <c r="G41" s="276" t="s">
        <v>135</v>
      </c>
      <c r="H41" s="254"/>
      <c r="I41" s="194"/>
      <c r="J41" s="194"/>
      <c r="K41" s="255"/>
      <c r="L41" s="255"/>
      <c r="M41" s="196">
        <f>$L$7*(0.2+0.1*C62)*$J$10</f>
        <v>430976.8412</v>
      </c>
      <c r="N41" s="194"/>
      <c r="O41" s="194"/>
      <c r="P41" s="194"/>
      <c r="Q41" s="194"/>
      <c r="R41" s="197">
        <v>120.0</v>
      </c>
      <c r="S41" s="198">
        <f>R41-30*C62+$C$151</f>
        <v>120.8</v>
      </c>
      <c r="T41" s="196">
        <f>1/S41*C56</f>
        <v>0</v>
      </c>
      <c r="U41" s="222"/>
      <c r="V41" s="222"/>
      <c r="W41" s="222"/>
      <c r="X41" s="196">
        <f t="shared" si="30"/>
        <v>0</v>
      </c>
      <c r="Y41" s="196">
        <f>X41</f>
        <v>0</v>
      </c>
      <c r="Z41" s="194"/>
      <c r="AA41" s="194"/>
      <c r="AB41" s="194"/>
    </row>
    <row r="42">
      <c r="A42" s="97"/>
      <c r="B42" s="276" t="s">
        <v>114</v>
      </c>
      <c r="C42" s="25">
        <f>Inputs!C44</f>
        <v>1</v>
      </c>
      <c r="D42" s="78"/>
      <c r="G42" s="323" t="s">
        <v>110</v>
      </c>
      <c r="H42" s="260">
        <f>1.5312*1.2*1.12</f>
        <v>2.0579328</v>
      </c>
      <c r="I42" s="204">
        <f>2.3</f>
        <v>2.3</v>
      </c>
      <c r="J42" s="207">
        <f>($J$6*(1+$E$116)*(1+$D$157)+169*15/120*$C$24+$C$14*6)*H42*$J$10*$L$11*I42*(1+0.12*C130)</f>
        <v>29871.76041</v>
      </c>
      <c r="K42" s="196">
        <f>J42*$J$8*0.7*(1+C99*0.08*MIN((T25+C108*T51*(1-(1-0.15)*(1-0.15*MAX(4,C152-1))))/T42*C152,5))*(1+0.6*C19*(1+0.2*C63))*$J$14*(1+0.08*C120)*(1+0.05*K134)*MAX((1+0.2*C63*C19),MIN((1+0.2*C63*C19)+C106*0.75*(C152-1),(1+0.2*C63*C19)+C106*1.5))</f>
        <v>273111.1787</v>
      </c>
      <c r="L42" s="196">
        <f>K42*(1+0.2*C63*C19)/MAX((1+0.2*C63*C19),MIN((1+0.2*C63*C19)+C106*0.75*(C152-1),(1+0.2*C63*C19)+C106*1.5))</f>
        <v>121382.7461</v>
      </c>
      <c r="M42" s="196">
        <f>K42*$L$12+MAX(5*0.2*T10*(1+0.05*C111),7/100*L7)*(1+C99*0.08*MIN((T25+C108*T51*(1-(1-0.15)*(1-0.15*MAX(4,C152-1))))/T42*C152,5))*$J$10*$J$15*(1+0.15*C42)</f>
        <v>888337.7919</v>
      </c>
      <c r="N42" s="194"/>
      <c r="O42" s="196">
        <f>(-45)+5*C91+IF(C42&gt;0,5,0)+10*8*T26</f>
        <v>-35</v>
      </c>
      <c r="P42" s="194"/>
      <c r="Q42" s="196">
        <f t="shared" ref="Q42:Q43" si="31">1.5/$J$9</f>
        <v>0.983880796</v>
      </c>
      <c r="R42" s="194"/>
      <c r="S42" s="194"/>
      <c r="T42" s="196">
        <f>-(SUM(AA19:AA41,AA43:AA76))/O42</f>
        <v>0.4013549584</v>
      </c>
      <c r="U42" s="199">
        <f t="shared" ref="U42:U43" si="32">T42*Q42</f>
        <v>0.394885436</v>
      </c>
      <c r="V42" s="196">
        <f t="shared" ref="V42:V44" si="33">T42*K42</f>
        <v>109614.5258</v>
      </c>
      <c r="W42" s="196">
        <f t="shared" ref="W42:W44" si="34">T42*L42</f>
        <v>48717.56701</v>
      </c>
      <c r="X42" s="196">
        <f>MIN(T42,0.2)*M42</f>
        <v>177667.5584</v>
      </c>
      <c r="Y42" s="196">
        <f t="shared" ref="Y42:Y48" si="35">X42*(1-$C$144)</f>
        <v>142134.0467</v>
      </c>
      <c r="Z42" s="194"/>
      <c r="AA42" s="196">
        <f t="shared" ref="AA42:AA43" si="36">T42*O42</f>
        <v>-14.04742355</v>
      </c>
      <c r="AB42" s="194"/>
    </row>
    <row r="43">
      <c r="A43" s="98"/>
      <c r="B43" s="276" t="s">
        <v>116</v>
      </c>
      <c r="C43" s="25">
        <f>Inputs!C45</f>
        <v>1</v>
      </c>
      <c r="D43" s="78"/>
      <c r="E43" s="2"/>
      <c r="G43" s="281" t="s">
        <v>334</v>
      </c>
      <c r="H43" s="263">
        <f>0.4374</f>
        <v>0.4374</v>
      </c>
      <c r="I43" s="204">
        <v>1.15</v>
      </c>
      <c r="J43" s="207">
        <f>($J$6*(1+$E$116)*(1+$D$157)+169*15/120*$C$24+$C$14*6)*H43*$J$10*$L$11*I43*(1+0.01*E25)</f>
        <v>3174.522512</v>
      </c>
      <c r="K43" s="196">
        <f>J43*$J$8*$J$14*(1+$C$131*0.05)*(1+0.08*C120*D120)</f>
        <v>4988.637775</v>
      </c>
      <c r="L43" s="209">
        <f t="shared" ref="L43:L46" si="37">K43</f>
        <v>4988.637775</v>
      </c>
      <c r="M43" s="209">
        <f>K43*$L$12</f>
        <v>922.8979883</v>
      </c>
      <c r="N43" s="197">
        <v>-1.0</v>
      </c>
      <c r="O43" s="211">
        <v>10.0</v>
      </c>
      <c r="P43" s="204">
        <v>2.0</v>
      </c>
      <c r="Q43" s="196">
        <f t="shared" si="31"/>
        <v>0.983880796</v>
      </c>
      <c r="R43" s="204">
        <v>6.0</v>
      </c>
      <c r="S43" s="198">
        <f>IF(4*Q43&gt;=R43,4*Q43,(IF(5*Q43&gt;=R43,5*Q43,(IF(6*Q43&gt;=R43,6*Q43,(IF(7*Q43&gt;=R43,7*Q43,(8*Q43))))))))</f>
        <v>6.887165572</v>
      </c>
      <c r="T43" s="196">
        <f>MIN(1/S43,(L15-SUM(AB19:AB42)-SUM(AB44:AB56)-SUM(AB61:AB76))/2)*D87</f>
        <v>0</v>
      </c>
      <c r="U43" s="199">
        <f t="shared" si="32"/>
        <v>0</v>
      </c>
      <c r="V43" s="196">
        <f t="shared" si="33"/>
        <v>0</v>
      </c>
      <c r="W43" s="196">
        <f t="shared" si="34"/>
        <v>0</v>
      </c>
      <c r="X43" s="196">
        <f t="shared" ref="X43:X44" si="38">T43*M43</f>
        <v>0</v>
      </c>
      <c r="Y43" s="196">
        <f t="shared" si="35"/>
        <v>0</v>
      </c>
      <c r="Z43" s="196">
        <f>T43*N43</f>
        <v>0</v>
      </c>
      <c r="AA43" s="196">
        <f t="shared" si="36"/>
        <v>0</v>
      </c>
      <c r="AB43" s="196">
        <f>P43*T43</f>
        <v>0</v>
      </c>
    </row>
    <row r="44">
      <c r="A44" s="322" t="s">
        <v>117</v>
      </c>
      <c r="B44" s="276" t="s">
        <v>118</v>
      </c>
      <c r="C44" s="25">
        <f>Inputs!C46</f>
        <v>1</v>
      </c>
      <c r="D44" s="264">
        <f>Inputs!D46</f>
        <v>0</v>
      </c>
      <c r="G44" s="276" t="s">
        <v>335</v>
      </c>
      <c r="H44" s="263">
        <f>0.22</f>
        <v>0.22</v>
      </c>
      <c r="I44" s="255"/>
      <c r="J44" s="207">
        <f t="shared" ref="J44:J45" si="39">($J$6*(1+$E$116)*(1+$D$157)+$C$14*6)*H44*$J$10*$L$11</f>
        <v>1388.431547</v>
      </c>
      <c r="K44" s="196">
        <f>J44*$J$8*$J$14*(1+0.08*C120*D120)</f>
        <v>2077.967418</v>
      </c>
      <c r="L44" s="196">
        <f t="shared" si="37"/>
        <v>2077.967418</v>
      </c>
      <c r="M44" s="196">
        <f>K44*(1+$L$12)</f>
        <v>2462.39139</v>
      </c>
      <c r="N44" s="255"/>
      <c r="O44" s="255"/>
      <c r="P44" s="194"/>
      <c r="Q44" s="255"/>
      <c r="R44" s="197">
        <f>60/3</f>
        <v>20</v>
      </c>
      <c r="S44" s="196">
        <f>R44/1.13/$J$9</f>
        <v>11.60921293</v>
      </c>
      <c r="T44" s="196">
        <f>1/S44*IF($E$28=1,1,0)</f>
        <v>0</v>
      </c>
      <c r="U44" s="194"/>
      <c r="V44" s="196">
        <f t="shared" si="33"/>
        <v>0</v>
      </c>
      <c r="W44" s="196">
        <f t="shared" si="34"/>
        <v>0</v>
      </c>
      <c r="X44" s="196">
        <f t="shared" si="38"/>
        <v>0</v>
      </c>
      <c r="Y44" s="196">
        <f t="shared" si="35"/>
        <v>0</v>
      </c>
      <c r="Z44" s="194"/>
      <c r="AA44" s="194"/>
      <c r="AB44" s="194"/>
    </row>
    <row r="45">
      <c r="A45" s="97"/>
      <c r="B45" s="276" t="s">
        <v>119</v>
      </c>
      <c r="C45" s="25">
        <f>Inputs!C47</f>
        <v>1</v>
      </c>
      <c r="D45" s="78"/>
      <c r="G45" s="276" t="s">
        <v>336</v>
      </c>
      <c r="H45" s="253">
        <v>0.075</v>
      </c>
      <c r="I45" s="255"/>
      <c r="J45" s="207">
        <f t="shared" si="39"/>
        <v>473.3289366</v>
      </c>
      <c r="K45" s="209">
        <f>J45*$J$8*$J$14*(1+0.08*C120*D120)</f>
        <v>708.3979834</v>
      </c>
      <c r="L45" s="196">
        <f t="shared" si="37"/>
        <v>708.3979834</v>
      </c>
      <c r="M45" s="196">
        <f t="shared" ref="M45:M47" si="40">K45*$L$12</f>
        <v>131.0536269</v>
      </c>
      <c r="N45" s="255"/>
      <c r="O45" s="255"/>
      <c r="P45" s="194"/>
      <c r="Q45" s="255"/>
      <c r="R45" s="194"/>
      <c r="S45" s="194"/>
      <c r="T45" s="194"/>
      <c r="U45" s="194"/>
      <c r="V45" s="209">
        <f>IF(IF($E$28=2,1,0),1.13*(exp(6*12*J9/60)-1)*(1-(1-exp(-6*12*J9/60))^3)*K45/6,0)</f>
        <v>0</v>
      </c>
      <c r="W45" s="196">
        <f>V45</f>
        <v>0</v>
      </c>
      <c r="X45" s="196">
        <f>V45*$L$12</f>
        <v>0</v>
      </c>
      <c r="Y45" s="196">
        <f t="shared" si="35"/>
        <v>0</v>
      </c>
      <c r="Z45" s="194"/>
      <c r="AA45" s="194"/>
      <c r="AB45" s="194"/>
    </row>
    <row r="46">
      <c r="A46" s="97"/>
      <c r="B46" s="276" t="s">
        <v>120</v>
      </c>
      <c r="C46" s="25">
        <f>Inputs!C48</f>
        <v>2</v>
      </c>
      <c r="D46" s="78"/>
      <c r="G46" s="276" t="s">
        <v>337</v>
      </c>
      <c r="H46" s="253">
        <f>7.1545*1.2*1.2</f>
        <v>10.30248</v>
      </c>
      <c r="I46" s="204">
        <v>1.15</v>
      </c>
      <c r="J46" s="207">
        <f t="shared" ref="J46:J47" si="41">($J$6*(1+$E$116)*(1+$D$157)+169*15/120*$C$24+$C$14*6)*H46*$J$10*$L$11*I46*(1+0.01*$E$25)</f>
        <v>74772.41585</v>
      </c>
      <c r="K46" s="196">
        <f>J46*$J$8*$J$14*(1+C130*0.15*$B$19*(1+0.2*$C$63))*$H$135*(1+0.08*C120*D120)
</f>
        <v>111906.5929</v>
      </c>
      <c r="L46" s="196">
        <f t="shared" si="37"/>
        <v>111906.5929</v>
      </c>
      <c r="M46" s="196">
        <f t="shared" si="40"/>
        <v>20702.71968</v>
      </c>
      <c r="N46" s="194"/>
      <c r="O46" s="194"/>
      <c r="P46" s="194"/>
      <c r="Q46" s="194"/>
      <c r="R46" s="194"/>
      <c r="S46" s="194"/>
      <c r="T46" s="196">
        <f>T64*(3-C137)+T38</f>
        <v>0.01101321586</v>
      </c>
      <c r="U46" s="194"/>
      <c r="V46" s="196">
        <f t="shared" ref="V46:V47" si="42">T46*K46</f>
        <v>1232.451463</v>
      </c>
      <c r="W46" s="196">
        <f t="shared" ref="W46:W47" si="43">T46*L46</f>
        <v>1232.451463</v>
      </c>
      <c r="X46" s="196">
        <f t="shared" ref="X46:X48" si="44">T46*M46</f>
        <v>228.0035207</v>
      </c>
      <c r="Y46" s="196">
        <f t="shared" si="35"/>
        <v>182.4028166</v>
      </c>
      <c r="Z46" s="194"/>
      <c r="AA46" s="194"/>
      <c r="AB46" s="194"/>
    </row>
    <row r="47">
      <c r="A47" s="97"/>
      <c r="B47" s="276" t="s">
        <v>122</v>
      </c>
      <c r="C47" s="25">
        <f>Inputs!C49</f>
        <v>0</v>
      </c>
      <c r="D47" s="78"/>
      <c r="G47" s="276" t="s">
        <v>338</v>
      </c>
      <c r="H47" s="253">
        <f>3.91*1.2</f>
        <v>4.692</v>
      </c>
      <c r="I47" s="204">
        <v>1.15</v>
      </c>
      <c r="J47" s="207">
        <f t="shared" si="41"/>
        <v>34053.17702</v>
      </c>
      <c r="K47" s="196">
        <f>J47*$J$8*$C$152/SQRT(MAX(1,$C$152/8))*$J$14*(1+C130*0.15*$B$19*(1+0.2*$C$63))*$H$135*(1+0.08*C120*D120)
</f>
        <v>254824.9226</v>
      </c>
      <c r="L47" s="209">
        <f>K47/$C$152</f>
        <v>50964.98452</v>
      </c>
      <c r="M47" s="209">
        <f t="shared" si="40"/>
        <v>47142.61068</v>
      </c>
      <c r="N47" s="194"/>
      <c r="O47" s="194"/>
      <c r="P47" s="194"/>
      <c r="Q47" s="194"/>
      <c r="R47" s="194"/>
      <c r="S47" s="194"/>
      <c r="T47" s="196">
        <f>T64*(3-C137)+T38</f>
        <v>0.01101321586</v>
      </c>
      <c r="U47" s="194"/>
      <c r="V47" s="196">
        <f t="shared" si="42"/>
        <v>2806.441879</v>
      </c>
      <c r="W47" s="196">
        <f t="shared" si="43"/>
        <v>561.2883757</v>
      </c>
      <c r="X47" s="196">
        <f t="shared" si="44"/>
        <v>519.1917476</v>
      </c>
      <c r="Y47" s="196">
        <f t="shared" si="35"/>
        <v>415.353398</v>
      </c>
      <c r="Z47" s="194"/>
      <c r="AA47" s="194"/>
      <c r="AB47" s="194"/>
    </row>
    <row r="48">
      <c r="A48" s="97"/>
      <c r="B48" s="276" t="s">
        <v>123</v>
      </c>
      <c r="C48" s="25">
        <f>Inputs!C50</f>
        <v>0</v>
      </c>
      <c r="D48" s="78"/>
      <c r="G48" s="276" t="s">
        <v>339</v>
      </c>
      <c r="H48" s="252"/>
      <c r="I48" s="203"/>
      <c r="J48" s="203"/>
      <c r="K48" s="255"/>
      <c r="L48" s="203"/>
      <c r="M48" s="196">
        <f>L7*0.2</f>
        <v>336578.92</v>
      </c>
      <c r="N48" s="194"/>
      <c r="O48" s="194"/>
      <c r="P48" s="194"/>
      <c r="Q48" s="194"/>
      <c r="R48" s="204">
        <v>120.0</v>
      </c>
      <c r="S48" s="198">
        <f t="shared" ref="S48:S50" si="45">R48+$C$151</f>
        <v>120.8</v>
      </c>
      <c r="T48" s="196">
        <f>1/S48*C34</f>
        <v>0</v>
      </c>
      <c r="U48" s="194"/>
      <c r="V48" s="194"/>
      <c r="W48" s="194"/>
      <c r="X48" s="196">
        <f t="shared" si="44"/>
        <v>0</v>
      </c>
      <c r="Y48" s="196">
        <f t="shared" si="35"/>
        <v>0</v>
      </c>
      <c r="Z48" s="194"/>
      <c r="AA48" s="194"/>
      <c r="AB48" s="194"/>
    </row>
    <row r="49">
      <c r="A49" s="97"/>
      <c r="B49" s="276" t="s">
        <v>125</v>
      </c>
      <c r="C49" s="25">
        <f>Inputs!C51</f>
        <v>2</v>
      </c>
      <c r="D49" s="78"/>
      <c r="G49" s="276" t="s">
        <v>196</v>
      </c>
      <c r="H49" s="252"/>
      <c r="I49" s="203"/>
      <c r="J49" s="203"/>
      <c r="K49" s="255"/>
      <c r="L49" s="203"/>
      <c r="M49" s="203"/>
      <c r="N49" s="194"/>
      <c r="O49" s="194"/>
      <c r="P49" s="256">
        <f>MIN(C90*C152,6)</f>
        <v>5</v>
      </c>
      <c r="Q49" s="196">
        <f t="shared" ref="Q49:Q51" si="46">1.5/$J$9</f>
        <v>0.983880796</v>
      </c>
      <c r="R49" s="204">
        <v>90.0</v>
      </c>
      <c r="S49" s="198">
        <f t="shared" si="45"/>
        <v>90.8</v>
      </c>
      <c r="T49" s="196">
        <f>1/S49*C103*D103</f>
        <v>0</v>
      </c>
      <c r="U49" s="199">
        <f t="shared" ref="U49:U51" si="47">T49*Q49</f>
        <v>0</v>
      </c>
      <c r="V49" s="194"/>
      <c r="W49" s="194"/>
      <c r="X49" s="194"/>
      <c r="Y49" s="194"/>
      <c r="Z49" s="194"/>
      <c r="AA49" s="194"/>
      <c r="AB49" s="196">
        <f>P49*T49</f>
        <v>0</v>
      </c>
    </row>
    <row r="50">
      <c r="A50" s="97"/>
      <c r="B50" s="276" t="s">
        <v>126</v>
      </c>
      <c r="C50" s="25">
        <f>Inputs!C52</f>
        <v>0</v>
      </c>
      <c r="D50" s="78"/>
      <c r="G50" s="276" t="s">
        <v>340</v>
      </c>
      <c r="H50" s="253">
        <v>3.78</v>
      </c>
      <c r="I50" s="203"/>
      <c r="J50" s="207">
        <f>($J$6*(1+$E$116)*(1+$D$157)+$C$14*6)*H50*$J$10*$L$11</f>
        <v>23855.77841</v>
      </c>
      <c r="K50" s="255"/>
      <c r="L50" s="203"/>
      <c r="M50" s="196">
        <f>J50*$J$8*$J$15</f>
        <v>30303.26926</v>
      </c>
      <c r="N50" s="194"/>
      <c r="O50" s="194"/>
      <c r="P50" s="194"/>
      <c r="Q50" s="196">
        <f t="shared" si="46"/>
        <v>0.983880796</v>
      </c>
      <c r="R50" s="197">
        <v>90.0</v>
      </c>
      <c r="S50" s="198">
        <f t="shared" si="45"/>
        <v>90.8</v>
      </c>
      <c r="T50" s="196">
        <f>1/S50*IF($E$29=2,1,0)</f>
        <v>0</v>
      </c>
      <c r="U50" s="199">
        <f t="shared" si="47"/>
        <v>0</v>
      </c>
      <c r="V50" s="194"/>
      <c r="W50" s="194"/>
      <c r="X50" s="196">
        <f>T50*M50</f>
        <v>0</v>
      </c>
      <c r="Y50" s="196">
        <f t="shared" ref="Y50:Y51" si="48">X50*(1-$C$144)</f>
        <v>0</v>
      </c>
      <c r="Z50" s="194"/>
      <c r="AA50" s="194"/>
      <c r="AB50" s="194"/>
    </row>
    <row r="51">
      <c r="A51" s="98"/>
      <c r="B51" s="276" t="s">
        <v>128</v>
      </c>
      <c r="C51" s="25">
        <f>Inputs!C53</f>
        <v>1</v>
      </c>
      <c r="D51" s="78"/>
      <c r="E51" s="2"/>
      <c r="G51" s="281" t="s">
        <v>175</v>
      </c>
      <c r="H51" s="253">
        <f>1.31112*1.2*1.25</f>
        <v>1.96668</v>
      </c>
      <c r="I51" s="204">
        <v>1.15</v>
      </c>
      <c r="J51" s="207">
        <f>($J$6*(1+$E$116)*(1+$D$157)+169*15/120*$C$24+$C$14*6)*H51*$J$10*$L$11*I51*(1+0.15*C93)</f>
        <v>14273.59381</v>
      </c>
      <c r="K51" s="196">
        <f>J51*$J$8*0.7*IF($C$152&lt;=5,IF($C$152&lt;3,$C$152,2+IF($C$43&gt;0,$C$152-2,0)*((14-5*C131*E137)/S40)),2+IF($C$43&gt;0,3,0)*((14-5*C131*E137)/S40))*$J$14*(1+0.08*C120*D120)</f>
        <v>74767.9785</v>
      </c>
      <c r="L51" s="196">
        <f>K51/IF($C$152&lt;=5,IF($C$152&lt;3,$C$152,2+IF($C$43&gt;0,$C$152-2,0)*((14-5*C131*E137)/S40)),2+IF($C$43&gt;0,3,0)*((14-5*C131*E137)/S40))</f>
        <v>14953.5957</v>
      </c>
      <c r="M51" s="196">
        <f>K51*$L$12+IF($C$152&lt;=5,IF($C$152&lt;3,$C$152,2+IF($C$43&gt;0,$C$152-2,0)*((14-5*C131*E137)/S40)),2+IF($C$43&gt;0,3,0)*((14-5*C131*E137)/S40))*$L$7*0.0025*$C$95</f>
        <v>13832.07602</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6"/>
        <v>0.983880796</v>
      </c>
      <c r="R51" s="194"/>
      <c r="S51" s="194"/>
      <c r="T51" s="196">
        <f>MIN(($L$9+SUM(Z19:Z50)+SUM(Z52:Z76))/(-N51),MAX((1-SUM(U18:U41,U43:U50,U52:U76)+SUM(AA19:AA41,AA43:AA50,AA52:AA76)/O42*Q42)/Q51*(-O42/(O51-O42)),0))</f>
        <v>0.4003668026</v>
      </c>
      <c r="U51" s="199">
        <f t="shared" si="47"/>
        <v>0.3939132084</v>
      </c>
      <c r="V51" s="196">
        <f>(T51-T74+3*(1-C131*T38*(8+C110*4))*C116/(9/(1/(0.5+(2/((L14+0.3*(1-(1-(T38*(8+C110*4)))*(1-IF(C127&gt;3,1,0)*(1-0.875^(8*(T40+T43+T51+T57+T63)))))))-1+IF(C152=1,0.5,0))/C152))+9/(1/(0.5+(2/((L14+0.3*(1-(1-(T38*(8+C110*4)))*(1-IF(C127&gt;3,1,0)*(1-0.875^(8*(T40+T43+T51+T57+T63)))))))-1+IF(C152=1,0.5,0))/C152))/2*((0.8/3^(C152-1))/(1-(0.8/3^(C152-1))))+6)+1.5*(1-C131*(T38*(8+C110*4))/(1-(1-(T38*(8+C110*4)))*(1-IF(C127&gt;3,1,0)*(1-0.875^(8*(T40+T43+T51+T57+T63))))))*F127)*K51</f>
        <v>39337.91515</v>
      </c>
      <c r="W51" s="196">
        <f>(T51-T74+3*(1-C131*T38*(8+C110*4))*C116/(9/(1/(0.5+(2/((L14+0.3*(1-(1-(T38*(8+C110*4)))*(1-IF(C127&gt;3,1,0)*(1-0.875^(8*(T40+T43+T51+T57+T63)))))))-1+IF(C152=1,0.5,0))/C152))+9/(1/(0.5+(2/((L14+0.3*(1-(1-(T38*(8+C110*4)))*(1-IF(C127&gt;3,1,0)*(1-0.875^(8*(T40+T43+T51+T57+T63)))))))-1+IF(C152=1,0.5,0))/C152))/2*((0.8/3^(C152-1))/(1-(0.8/3^(C152-1))))+6)+1.5*(1-C131*(T38*(8+C110*4))/(1-(1-(T38*(8+C110*4)))*(1-IF(C127&gt;3,1,0)*(1-0.875^(8*(T40+T43+T51+T57+T63))))))*F127)*L51</f>
        <v>7867.583029</v>
      </c>
      <c r="X51" s="196">
        <f>(T51-T74)*M51</f>
        <v>2878.868727</v>
      </c>
      <c r="Y51" s="196">
        <f t="shared" si="48"/>
        <v>2303.094981</v>
      </c>
      <c r="Z51" s="196">
        <f>T51*N51</f>
        <v>-0.4003668026</v>
      </c>
      <c r="AA51" s="196">
        <f>T51*O51</f>
        <v>10.00917007</v>
      </c>
      <c r="AB51" s="194"/>
    </row>
    <row r="52">
      <c r="A52" s="329" t="s">
        <v>129</v>
      </c>
      <c r="B52" s="276" t="s">
        <v>130</v>
      </c>
      <c r="C52" s="25">
        <f>Inputs!C54</f>
        <v>1</v>
      </c>
      <c r="D52" s="78"/>
      <c r="G52" s="281"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276" t="s">
        <v>132</v>
      </c>
      <c r="C53" s="25">
        <f>Inputs!C55</f>
        <v>0</v>
      </c>
      <c r="D53" s="78"/>
      <c r="G53" s="276" t="s">
        <v>342</v>
      </c>
      <c r="H53" s="27"/>
      <c r="I53" s="194"/>
      <c r="J53" s="207">
        <f>J29*0.2</f>
        <v>4573.894455</v>
      </c>
      <c r="K53" s="196">
        <f>J53*$J$8*IF($C$152&lt;=5,IF($C$152&lt;3,$C$152,IF($C$43&gt;0,$C$152,2)*(14-5*C131*E137)/$S$40+2*($S$40-(14-5*C131*E137))/$S$40),IF($C$43&gt;0,5,2)*(14-5*C131*E137)/$S$40+2*($S$40-(14-5*C131*E137))/$S$40)*$J$14*(1+$C$131*0.05)*(1+0.08*C120*D120)</f>
        <v>35938.47983</v>
      </c>
      <c r="L53" s="196">
        <f>K53/IF($C$152&lt;=5,IF($C$152&lt;3,$C$152,IF($C$43&gt;0,$C$152,2)*(14-5*C131*E137)/$S$40+2*($S$40-(14-5*C131*E137))/$S$40),IF($C$43&gt;0,5,2)*(14-5*C131*E137)/$S$40+2*($S$40-(14-5*C131*E137))/$S$40)</f>
        <v>7187.695966</v>
      </c>
      <c r="M53" s="209">
        <f>K53*$L$12</f>
        <v>6648.618768</v>
      </c>
      <c r="N53" s="194"/>
      <c r="O53" s="194"/>
      <c r="P53" s="194"/>
      <c r="Q53" s="194"/>
      <c r="R53" s="194"/>
      <c r="S53" s="194"/>
      <c r="T53" s="196">
        <f>C131*T74</f>
        <v>0.1922368934</v>
      </c>
      <c r="U53" s="194"/>
      <c r="V53" s="196">
        <f>T53*K53*C131</f>
        <v>6908.701716</v>
      </c>
      <c r="W53" s="196">
        <f>T53*L53*C131</f>
        <v>1381.740343</v>
      </c>
      <c r="X53" s="196">
        <f>T53*M53*C131</f>
        <v>1278.109817</v>
      </c>
      <c r="Y53" s="196">
        <f>X53*(1-$C$144)</f>
        <v>1022.487854</v>
      </c>
      <c r="Z53" s="195"/>
      <c r="AA53" s="195"/>
      <c r="AB53" s="194"/>
    </row>
    <row r="54">
      <c r="A54" s="97"/>
      <c r="B54" s="276" t="s">
        <v>133</v>
      </c>
      <c r="C54" s="25">
        <f>Inputs!C56</f>
        <v>1</v>
      </c>
      <c r="D54" s="78"/>
      <c r="G54" s="276"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276" t="s">
        <v>134</v>
      </c>
      <c r="C55" s="25">
        <f>Inputs!C57</f>
        <v>1</v>
      </c>
      <c r="D55" s="78"/>
      <c r="G55" s="276" t="s">
        <v>204</v>
      </c>
      <c r="H55" s="27"/>
      <c r="I55" s="194"/>
      <c r="J55" s="194"/>
      <c r="K55" s="194"/>
      <c r="L55" s="255"/>
      <c r="M55" s="196">
        <f>M42*0.2/(1+C99*0.08*MIN((T25+C108*T51*(1-(1-0.15)*(1-0.15*MAX(4,C152-1))))/T42*C152,5))</f>
        <v>136156.6582</v>
      </c>
      <c r="N55" s="194"/>
      <c r="O55" s="194"/>
      <c r="P55" s="194"/>
      <c r="Q55" s="194"/>
      <c r="R55" s="194"/>
      <c r="S55" s="194"/>
      <c r="T55" s="196">
        <f>T42*C109</f>
        <v>0.4013549584</v>
      </c>
      <c r="U55" s="194"/>
      <c r="V55" s="255"/>
      <c r="W55" s="255"/>
      <c r="X55" s="196">
        <f t="shared" ref="X55:X57" si="49">T55*M55</f>
        <v>54647.14991</v>
      </c>
      <c r="Y55" s="196">
        <f t="shared" ref="Y55:Y57" si="50">X55*(1-$C$144)</f>
        <v>43717.71993</v>
      </c>
      <c r="Z55" s="195"/>
      <c r="AA55" s="195"/>
      <c r="AB55" s="194"/>
    </row>
    <row r="56">
      <c r="A56" s="97"/>
      <c r="B56" s="276" t="s">
        <v>135</v>
      </c>
      <c r="C56" s="25">
        <f>Inputs!C58</f>
        <v>0</v>
      </c>
      <c r="D56" s="78"/>
      <c r="G56" s="276" t="s">
        <v>344</v>
      </c>
      <c r="H56" s="253">
        <v>4.2</v>
      </c>
      <c r="I56" s="194"/>
      <c r="J56" s="207">
        <f>($J$6*(1+$E$116)*(1+$D$157)+$C$14*6)*H56*$J$10*$L$11</f>
        <v>26506.42045</v>
      </c>
      <c r="K56" s="196">
        <f>J56*$J$8*$C$152/SQRT(MAX(1,$C$152/8))*$J$14*(1+0.08*C120*D120)
</f>
        <v>198351.4353</v>
      </c>
      <c r="L56" s="196">
        <f>K56/$C$152</f>
        <v>39670.28707</v>
      </c>
      <c r="M56" s="196">
        <f t="shared" ref="M56:M57" si="51">K56*$L$12</f>
        <v>36695.01554</v>
      </c>
      <c r="N56" s="194"/>
      <c r="O56" s="194"/>
      <c r="P56" s="194"/>
      <c r="Q56" s="196">
        <f t="shared" ref="Q56:Q57" si="52">1.5/$J$9</f>
        <v>0.983880796</v>
      </c>
      <c r="R56" s="204">
        <v>150.0</v>
      </c>
      <c r="S56" s="198">
        <f>R56+$C$151</f>
        <v>150.8</v>
      </c>
      <c r="T56" s="196">
        <f>1/S56*E31</f>
        <v>0</v>
      </c>
      <c r="U56" s="199">
        <f t="shared" ref="U56:U57" si="53">T56*Q56</f>
        <v>0</v>
      </c>
      <c r="V56" s="196">
        <f t="shared" ref="V56:V57" si="54">T56*K56</f>
        <v>0</v>
      </c>
      <c r="W56" s="196">
        <f t="shared" ref="W56:W57" si="55">T56*L56</f>
        <v>0</v>
      </c>
      <c r="X56" s="196">
        <f t="shared" si="49"/>
        <v>0</v>
      </c>
      <c r="Y56" s="196">
        <f t="shared" si="50"/>
        <v>0</v>
      </c>
      <c r="Z56" s="195"/>
      <c r="AA56" s="195"/>
      <c r="AB56" s="194"/>
    </row>
    <row r="57">
      <c r="A57" s="97"/>
      <c r="B57" s="276" t="s">
        <v>136</v>
      </c>
      <c r="C57" s="25">
        <f>Inputs!C59</f>
        <v>1</v>
      </c>
      <c r="D57" s="78"/>
      <c r="G57" s="281" t="s">
        <v>176</v>
      </c>
      <c r="H57" s="253">
        <f>1.471*1.5</f>
        <v>2.2065</v>
      </c>
      <c r="I57" s="204">
        <v>1.15</v>
      </c>
      <c r="J57" s="207">
        <f>($J$6*(1+$E$116)*(1+$D$157)+169*15/120*$C$24+$C$14*6)*H57*$J$10*$L$11*I57</f>
        <v>16014.13791</v>
      </c>
      <c r="K57" s="196">
        <f>J57*$J$8*0.7*$J$14*(1+0.08*C120*D120)
</f>
        <v>16777.06028</v>
      </c>
      <c r="L57" s="196">
        <f>K57</f>
        <v>16777.06028</v>
      </c>
      <c r="M57" s="196">
        <f t="shared" si="51"/>
        <v>3103.756152</v>
      </c>
      <c r="N57" s="197">
        <v>-2.0</v>
      </c>
      <c r="O57" s="211">
        <f>20</f>
        <v>20</v>
      </c>
      <c r="P57" s="204">
        <v>3.0</v>
      </c>
      <c r="Q57" s="196">
        <f t="shared" si="52"/>
        <v>0.983880796</v>
      </c>
      <c r="R57" s="194"/>
      <c r="S57" s="194"/>
      <c r="T57" s="196">
        <f>MAX((L15-SUM(AB19:AB56)-SUM(AB58:AB76))/3,T47)</f>
        <v>0.09055307462</v>
      </c>
      <c r="U57" s="199">
        <f t="shared" si="53"/>
        <v>0.08909343113</v>
      </c>
      <c r="V57" s="196">
        <f t="shared" si="54"/>
        <v>1519.214391</v>
      </c>
      <c r="W57" s="196">
        <f t="shared" si="55"/>
        <v>1519.214391</v>
      </c>
      <c r="X57" s="196">
        <f t="shared" si="49"/>
        <v>281.0546624</v>
      </c>
      <c r="Y57" s="196">
        <f t="shared" si="50"/>
        <v>224.8437299</v>
      </c>
      <c r="Z57" s="196">
        <f>(T57-T47/(2))*N57</f>
        <v>-0.1700929334</v>
      </c>
      <c r="AA57" s="196">
        <f t="shared" ref="AA57:AA58" si="56">T57*O57</f>
        <v>1.811061492</v>
      </c>
      <c r="AB57" s="196">
        <f>P57*T57</f>
        <v>0.2716592239</v>
      </c>
    </row>
    <row r="58">
      <c r="A58" s="97"/>
      <c r="B58" s="276" t="s">
        <v>137</v>
      </c>
      <c r="C58" s="25">
        <f>Inputs!C60</f>
        <v>0</v>
      </c>
      <c r="D58" s="78"/>
      <c r="G58" s="276"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6"/>
        <v>0</v>
      </c>
      <c r="AB58" s="194"/>
    </row>
    <row r="59">
      <c r="A59" s="329" t="s">
        <v>138</v>
      </c>
      <c r="B59" s="276" t="s">
        <v>139</v>
      </c>
      <c r="C59" s="25">
        <f>Inputs!C61</f>
        <v>1</v>
      </c>
      <c r="D59" s="264">
        <f>Inputs!D61</f>
        <v>0.9</v>
      </c>
      <c r="E59" s="2"/>
      <c r="G59" s="276" t="s">
        <v>249</v>
      </c>
      <c r="H59" s="27"/>
      <c r="I59" s="278"/>
      <c r="J59" s="194"/>
      <c r="K59" s="256">
        <f>SUM(V25,V26,K28/10*C118,V29,V35,V40,V43,V53,K68/10*C123,IF(C131=1,V74*T51/T74,0))*10*0.15*0.15*$C$152/SQRT(MAX(1,$C$152/8))*(1+$C$131*0.05*MIN(1,5/$C$152))*J10*(1+0.08*C120*D120)</f>
        <v>175080.6601</v>
      </c>
      <c r="L59" s="209">
        <f>K59/$C$152</f>
        <v>35016.13202</v>
      </c>
      <c r="M59" s="196">
        <f>K59/((1+$C$131*0.05*MIN(1,5/$C$152)))/$C$152</f>
        <v>33348.69716</v>
      </c>
      <c r="N59" s="195"/>
      <c r="O59" s="195"/>
      <c r="P59" s="194"/>
      <c r="Q59" s="194"/>
      <c r="R59" s="194"/>
      <c r="S59" s="194"/>
      <c r="T59" s="196">
        <f>T24*C131*E141</f>
        <v>0.01101321586</v>
      </c>
      <c r="U59" s="278"/>
      <c r="V59" s="196">
        <f>T59*K59</f>
        <v>1928.201103</v>
      </c>
      <c r="W59" s="196">
        <f>T59*L59</f>
        <v>385.6402205</v>
      </c>
      <c r="X59" s="196">
        <f>T59*M59</f>
        <v>367.2764005</v>
      </c>
      <c r="Y59" s="196">
        <f>X59*(1-$C$144)</f>
        <v>293.8211204</v>
      </c>
      <c r="Z59" s="194"/>
      <c r="AA59" s="194"/>
      <c r="AB59" s="194"/>
    </row>
    <row r="60">
      <c r="A60" s="97"/>
      <c r="B60" s="276" t="s">
        <v>140</v>
      </c>
      <c r="C60" s="25">
        <f>Inputs!C62</f>
        <v>1</v>
      </c>
      <c r="D60" s="78"/>
      <c r="G60" s="276" t="s">
        <v>133</v>
      </c>
      <c r="H60" s="27"/>
      <c r="I60" s="278"/>
      <c r="J60" s="194"/>
      <c r="K60" s="194"/>
      <c r="L60" s="195"/>
      <c r="M60" s="196">
        <f>K23*0.5*(1+0.15*C46)*(1+C130)</f>
        <v>9669.632473</v>
      </c>
      <c r="N60" s="195"/>
      <c r="O60" s="195"/>
      <c r="P60" s="194"/>
      <c r="Q60" s="194"/>
      <c r="R60" s="194"/>
      <c r="S60" s="194"/>
      <c r="T60" s="196">
        <f>T23*C54</f>
        <v>0.7253739295</v>
      </c>
      <c r="U60" s="278"/>
      <c r="V60" s="194"/>
      <c r="W60" s="194"/>
      <c r="X60" s="196">
        <f>T60*M60+C130*T47*(K46+K47)*0.1*(1+0.15*C46)*C54</f>
        <v>7014.099304</v>
      </c>
      <c r="Y60" s="196">
        <f>X60</f>
        <v>7014.099304</v>
      </c>
      <c r="Z60" s="194"/>
      <c r="AA60" s="194"/>
      <c r="AB60" s="194"/>
    </row>
    <row r="61">
      <c r="A61" s="97"/>
      <c r="B61" s="276" t="s">
        <v>141</v>
      </c>
      <c r="C61" s="25">
        <f>Inputs!C63</f>
        <v>1</v>
      </c>
      <c r="D61" s="264">
        <f>Inputs!D63</f>
        <v>0</v>
      </c>
      <c r="G61" s="276" t="s">
        <v>111</v>
      </c>
      <c r="H61" s="218">
        <f>0.5875*2/6*1.075</f>
        <v>0.2105208333</v>
      </c>
      <c r="I61" s="204">
        <v>1.0</v>
      </c>
      <c r="J61" s="219">
        <f>($J$6*(1+$E$116)*(1+$D$157)+169*15/120*$C$24+$C$14*6)*H61*$J$10*$L$11*I61*(1+0.01*C24)</f>
        <v>1328.608029</v>
      </c>
      <c r="K61" s="196">
        <f>J61*$J$8*0.7*(INT($J$9*60/2+1)+(60*$J$9*10+25)/40*1.35)*$J$14*(1+$C$131*0.05)</f>
        <v>110060.4813</v>
      </c>
      <c r="L61" s="196">
        <f t="shared" ref="L61:L65" si="57">K61</f>
        <v>110060.4813</v>
      </c>
      <c r="M61" s="195"/>
      <c r="N61" s="195"/>
      <c r="O61" s="195"/>
      <c r="P61" s="194"/>
      <c r="Q61" s="194"/>
      <c r="R61" s="197">
        <v>120.0</v>
      </c>
      <c r="S61" s="256">
        <f>120-30*C130*C138</f>
        <v>120</v>
      </c>
      <c r="T61" s="196">
        <f>1/S61*C40</f>
        <v>0.008333333333</v>
      </c>
      <c r="U61" s="194"/>
      <c r="V61" s="196">
        <f t="shared" ref="V61:V65" si="58">T61*K61</f>
        <v>917.1706774</v>
      </c>
      <c r="W61" s="196">
        <f t="shared" ref="W61:W65" si="59">T61*L61</f>
        <v>917.1706774</v>
      </c>
      <c r="X61" s="194"/>
      <c r="Y61" s="194"/>
      <c r="Z61" s="194"/>
      <c r="AA61" s="194"/>
      <c r="AB61" s="194"/>
    </row>
    <row r="62">
      <c r="A62" s="97"/>
      <c r="B62" s="276" t="s">
        <v>142</v>
      </c>
      <c r="C62" s="25">
        <f>Inputs!C64</f>
        <v>0</v>
      </c>
      <c r="D62" s="78"/>
      <c r="G62" s="276" t="s">
        <v>72</v>
      </c>
      <c r="H62" s="253">
        <v>0.01127</v>
      </c>
      <c r="I62" s="204">
        <v>1.15</v>
      </c>
      <c r="J62" s="207">
        <f>($J$6*(1+$E$116)*(1+$D$157)+169*15/120*$C$24+$C$14*6)*H62*$J$10*$L$11*I62*(1+0.01*E25)</f>
        <v>81.79439578</v>
      </c>
      <c r="K62" s="209">
        <f>J62*$J$8*$J$14*(1+0.2*C63)*(1+0.08*C120*D120)*(1+0.15*$B$19*(1+0.2*$C$63))</f>
        <v>146.899073</v>
      </c>
      <c r="L62" s="196">
        <f t="shared" si="57"/>
        <v>146.899073</v>
      </c>
      <c r="M62" s="196">
        <f t="shared" ref="M62:M65" si="60">K62*$L$12</f>
        <v>27.17632851</v>
      </c>
      <c r="N62" s="194"/>
      <c r="O62" s="194"/>
      <c r="P62" s="194"/>
      <c r="Q62" s="194"/>
      <c r="R62" s="194"/>
      <c r="S62" s="194"/>
      <c r="T62" s="196">
        <f>$B$19*(T23+T35*$C$152+T42*MIN((C152-1)*C106+1,2*C106+1)+T51*IF($C$152&lt;=5,IF($C$152&lt;3,$C$152,2+IF(C43&gt;0,$C$152-2,0)*10/S40+2*(S40-10)/S40),2+IF(C43&gt;0,3,0)*10/S40+2*(S40-10)/S40)+T57)</f>
        <v>0</v>
      </c>
      <c r="U62" s="194"/>
      <c r="V62" s="196">
        <f t="shared" si="58"/>
        <v>0</v>
      </c>
      <c r="W62" s="196">
        <f t="shared" si="59"/>
        <v>0</v>
      </c>
      <c r="X62" s="196">
        <f t="shared" ref="X62:X66" si="61">T62*M62</f>
        <v>0</v>
      </c>
      <c r="Y62" s="196">
        <f t="shared" ref="Y62:Y66" si="62">X62*(1-$C$144)</f>
        <v>0</v>
      </c>
      <c r="Z62" s="194"/>
      <c r="AA62" s="194"/>
      <c r="AB62" s="194"/>
    </row>
    <row r="63">
      <c r="A63" s="97"/>
      <c r="B63" s="276" t="s">
        <v>143</v>
      </c>
      <c r="C63" s="25">
        <f>Inputs!C65</f>
        <v>1</v>
      </c>
      <c r="D63" s="78"/>
      <c r="G63" s="276" t="s">
        <v>345</v>
      </c>
      <c r="H63" s="253">
        <f>3.07125*1.2*1.2</f>
        <v>4.4226</v>
      </c>
      <c r="I63" s="204">
        <v>1.15</v>
      </c>
      <c r="J63" s="207">
        <f>($J$6*(1+$E$116)*(1+$D$157)+169*15/120*$C$24+$C$14*6)*H63*$J$10*$L$11*I63*(1+0.01*E25)*1.05</f>
        <v>33702.84734</v>
      </c>
      <c r="K63" s="196">
        <f>J63*$J$8*$J$14*(1+0.15*$B$19*(1+0.2*$C$63))*(1+0.08*C120*D120)</f>
        <v>50440.67083</v>
      </c>
      <c r="L63" s="196">
        <f t="shared" si="57"/>
        <v>50440.67083</v>
      </c>
      <c r="M63" s="196">
        <f t="shared" si="60"/>
        <v>9331.524104</v>
      </c>
      <c r="N63" s="197">
        <v>-2.0</v>
      </c>
      <c r="O63" s="211">
        <f>20</f>
        <v>20</v>
      </c>
      <c r="P63" s="204">
        <f>3</f>
        <v>3</v>
      </c>
      <c r="Q63" s="196">
        <f>1.5/$J$9</f>
        <v>0.983880796</v>
      </c>
      <c r="R63" s="204">
        <v>45.0</v>
      </c>
      <c r="S63" s="198">
        <f>2*R63/(2+C137)+$C$151</f>
        <v>45.8</v>
      </c>
      <c r="T63" s="196">
        <f>1/S63*C130</f>
        <v>0</v>
      </c>
      <c r="U63" s="199">
        <f>T63*Q63</f>
        <v>0</v>
      </c>
      <c r="V63" s="196">
        <f t="shared" si="58"/>
        <v>0</v>
      </c>
      <c r="W63" s="196">
        <f t="shared" si="59"/>
        <v>0</v>
      </c>
      <c r="X63" s="196">
        <f t="shared" si="61"/>
        <v>0</v>
      </c>
      <c r="Y63" s="196">
        <f t="shared" si="62"/>
        <v>0</v>
      </c>
      <c r="Z63" s="196">
        <f>T63*N63</f>
        <v>0</v>
      </c>
      <c r="AA63" s="196">
        <f>T63*O63</f>
        <v>0</v>
      </c>
      <c r="AB63" s="196">
        <f>P63*T63</f>
        <v>0</v>
      </c>
    </row>
    <row r="64">
      <c r="A64" s="329" t="s">
        <v>144</v>
      </c>
      <c r="B64" s="276" t="s">
        <v>145</v>
      </c>
      <c r="C64" s="25">
        <f>Inputs!C66</f>
        <v>0</v>
      </c>
      <c r="D64" s="78"/>
      <c r="G64" s="276" t="s">
        <v>346</v>
      </c>
      <c r="H64" s="253">
        <f>0.3779*1.2</f>
        <v>0.45348</v>
      </c>
      <c r="I64" s="204">
        <v>1.15</v>
      </c>
      <c r="J64" s="207">
        <f>($J$6*(1+$E$116)*(1+$D$157)+169*15/120*$C$24+$C$14*6)*H64*$J$10*$L$11*I64*(1+0.01*E25)*1.05</f>
        <v>3455.78782</v>
      </c>
      <c r="K64" s="196">
        <f>J64*$J$8*$J$14*(1+0.15*$B$19*(1+0.2*$C$63))*$H$134*(1+0.15)*(1+0.05*(1+H8))*(1+0.08*C120*D120)</f>
        <v>252443.0767</v>
      </c>
      <c r="L64" s="196">
        <f t="shared" si="57"/>
        <v>252443.0767</v>
      </c>
      <c r="M64" s="196">
        <f t="shared" si="60"/>
        <v>46701.96919</v>
      </c>
      <c r="N64" s="194"/>
      <c r="O64" s="194"/>
      <c r="P64" s="194"/>
      <c r="Q64" s="194"/>
      <c r="R64" s="194"/>
      <c r="S64" s="194"/>
      <c r="T64" s="196">
        <f>T63</f>
        <v>0</v>
      </c>
      <c r="U64" s="194"/>
      <c r="V64" s="196">
        <f t="shared" si="58"/>
        <v>0</v>
      </c>
      <c r="W64" s="196">
        <f t="shared" si="59"/>
        <v>0</v>
      </c>
      <c r="X64" s="196">
        <f t="shared" si="61"/>
        <v>0</v>
      </c>
      <c r="Y64" s="196">
        <f t="shared" si="62"/>
        <v>0</v>
      </c>
      <c r="Z64" s="194"/>
      <c r="AA64" s="194"/>
      <c r="AB64" s="194"/>
    </row>
    <row r="65">
      <c r="A65" s="97"/>
      <c r="B65" s="276" t="s">
        <v>146</v>
      </c>
      <c r="C65" s="25">
        <f>Inputs!C67</f>
        <v>0</v>
      </c>
      <c r="D65" s="78"/>
      <c r="G65" s="281" t="s">
        <v>347</v>
      </c>
      <c r="H65" s="263">
        <v>0.5</v>
      </c>
      <c r="I65" s="194"/>
      <c r="J65" s="219">
        <f>(360+343*0.429/0.5*(1+0.05*C21)+$J$6*(1+$E$116)*(1+$D$157)+$C$14*6)*H65*$J$10*$L$11</f>
        <v>3654.754813</v>
      </c>
      <c r="K65" s="209">
        <f>J65*$J$8*$J$14*(1+0.08*C120*D120)</f>
        <v>5469.813356</v>
      </c>
      <c r="L65" s="196">
        <f t="shared" si="57"/>
        <v>5469.813356</v>
      </c>
      <c r="M65" s="196">
        <f t="shared" si="60"/>
        <v>1011.915471</v>
      </c>
      <c r="N65" s="194"/>
      <c r="O65" s="194"/>
      <c r="P65" s="194"/>
      <c r="Q65" s="196">
        <f>1.5/$J$9</f>
        <v>0.983880796</v>
      </c>
      <c r="R65" s="197">
        <v>90.0</v>
      </c>
      <c r="S65" s="198">
        <f>R65+$C$151</f>
        <v>90.8</v>
      </c>
      <c r="T65" s="196">
        <f>1/S65*C29</f>
        <v>0</v>
      </c>
      <c r="U65" s="199">
        <f>T65*Q65</f>
        <v>0</v>
      </c>
      <c r="V65" s="196">
        <f t="shared" si="58"/>
        <v>0</v>
      </c>
      <c r="W65" s="196">
        <f t="shared" si="59"/>
        <v>0</v>
      </c>
      <c r="X65" s="196">
        <f t="shared" si="61"/>
        <v>0</v>
      </c>
      <c r="Y65" s="196">
        <f t="shared" si="62"/>
        <v>0</v>
      </c>
      <c r="Z65" s="194"/>
      <c r="AA65" s="194"/>
      <c r="AB65" s="194"/>
    </row>
    <row r="66">
      <c r="A66" s="97"/>
      <c r="B66" s="276" t="s">
        <v>147</v>
      </c>
      <c r="C66" s="25">
        <f>Inputs!C68</f>
        <v>1</v>
      </c>
      <c r="D66" s="78"/>
      <c r="E66" s="2"/>
      <c r="G66" s="276" t="s">
        <v>348</v>
      </c>
      <c r="H66" s="27"/>
      <c r="I66" s="194"/>
      <c r="J66" s="194"/>
      <c r="K66" s="194"/>
      <c r="L66" s="194"/>
      <c r="M66" s="196">
        <f>$L$7*0.48*(1+0.2*C63)</f>
        <v>969347.2896</v>
      </c>
      <c r="N66" s="194"/>
      <c r="O66" s="194"/>
      <c r="P66" s="194"/>
      <c r="Q66" s="194"/>
      <c r="R66" s="204">
        <v>360.0</v>
      </c>
      <c r="S66" s="204">
        <v>360.0</v>
      </c>
      <c r="T66" s="196">
        <f>1/S66*C19</f>
        <v>0.002777777778</v>
      </c>
      <c r="U66" s="194"/>
      <c r="V66" s="194"/>
      <c r="W66" s="194"/>
      <c r="X66" s="196">
        <f t="shared" si="61"/>
        <v>2692.63136</v>
      </c>
      <c r="Y66" s="196">
        <f t="shared" si="62"/>
        <v>2154.105088</v>
      </c>
      <c r="Z66" s="194"/>
      <c r="AA66" s="194"/>
      <c r="AB66" s="194"/>
    </row>
    <row r="67">
      <c r="A67" s="97"/>
      <c r="B67" s="276" t="s">
        <v>148</v>
      </c>
      <c r="C67" s="25">
        <f>Inputs!C69</f>
        <v>1</v>
      </c>
      <c r="D67" s="78"/>
      <c r="E67" s="2"/>
      <c r="G67" s="276" t="s">
        <v>113</v>
      </c>
      <c r="H67" s="27"/>
      <c r="I67" s="194"/>
      <c r="J67" s="194"/>
      <c r="K67" s="194"/>
      <c r="L67" s="194"/>
      <c r="M67" s="194"/>
      <c r="N67" s="194"/>
      <c r="O67" s="211">
        <v>3.0</v>
      </c>
      <c r="P67" s="194"/>
      <c r="Q67" s="194"/>
      <c r="R67" s="285">
        <f>60/10.8</f>
        <v>5.555555556</v>
      </c>
      <c r="S67" s="198">
        <f>1/(10.8*J9*1.13/60)</f>
        <v>3.22478137</v>
      </c>
      <c r="T67" s="196">
        <f>1/S67*C41</f>
        <v>0.3100985417</v>
      </c>
      <c r="U67" s="194"/>
      <c r="V67" s="194"/>
      <c r="W67" s="194"/>
      <c r="X67" s="194"/>
      <c r="Y67" s="194"/>
      <c r="Z67" s="194"/>
      <c r="AA67" s="196">
        <f>T67*O67</f>
        <v>0.930295625</v>
      </c>
      <c r="AB67" s="194"/>
    </row>
    <row r="68">
      <c r="A68" s="97"/>
      <c r="B68" s="276" t="s">
        <v>149</v>
      </c>
      <c r="C68" s="25">
        <f>Inputs!C70</f>
        <v>1</v>
      </c>
      <c r="D68" s="78"/>
      <c r="G68" s="276" t="s">
        <v>220</v>
      </c>
      <c r="H68" s="253">
        <v>2.76</v>
      </c>
      <c r="I68" s="194"/>
      <c r="J68" s="207">
        <f>($J$6*(1+$E$116)*(1+$D$157)+169*15/120*$C$24+$C$14*6)*H68*$J$10*$L$11*(1+0.01*$E$25)</f>
        <v>17418.50487</v>
      </c>
      <c r="K68" s="196">
        <f>J68*$J$8*$J$14*(1+$C$131*0.05*MIN(1,5/$C$152))*$C$152/SQRT(MAX(1,$C$152/8))*(1+0.02*-AA42*8*((O42-5*IF(C42&gt;0,1,0))/O42))*(1+0.08*C120*D120)</f>
        <v>488417.3009</v>
      </c>
      <c r="L68" s="209">
        <f t="shared" ref="L68:L69" si="63">K68/$C$152</f>
        <v>97683.46018</v>
      </c>
      <c r="M68" s="196">
        <f>K68*(0.18+$L$12)</f>
        <v>178272.3148</v>
      </c>
      <c r="N68" s="194"/>
      <c r="O68" s="194"/>
      <c r="P68" s="194"/>
      <c r="Q68" s="194"/>
      <c r="R68" s="194"/>
      <c r="S68" s="194"/>
      <c r="T68" s="196">
        <f>T28*C123</f>
        <v>0</v>
      </c>
      <c r="U68" s="194"/>
      <c r="V68" s="196">
        <f t="shared" ref="V68:V69" si="64">T68*K68</f>
        <v>0</v>
      </c>
      <c r="W68" s="196">
        <f t="shared" ref="W68:W69" si="65">T68*L68</f>
        <v>0</v>
      </c>
      <c r="X68" s="196">
        <f t="shared" ref="X68:X69" si="66">T68*M68</f>
        <v>0</v>
      </c>
      <c r="Y68" s="196">
        <f t="shared" ref="Y68:Y69" si="67">X68*(1-$C$144)</f>
        <v>0</v>
      </c>
      <c r="Z68" s="194"/>
      <c r="AA68" s="194"/>
      <c r="AB68" s="194"/>
    </row>
    <row r="69">
      <c r="A69" s="97"/>
      <c r="B69" s="276" t="s">
        <v>151</v>
      </c>
      <c r="C69" s="25">
        <f>Inputs!C71</f>
        <v>1</v>
      </c>
      <c r="D69" s="78"/>
      <c r="G69" s="276" t="s">
        <v>349</v>
      </c>
      <c r="H69" s="27"/>
      <c r="I69" s="204">
        <v>1.15</v>
      </c>
      <c r="J69" s="194"/>
      <c r="K69" s="196">
        <f>K64*1/10*($C$152-1)*$I$69*1.05*IF(D100=2,(1+0.06*C119*(1-T40*(1-(0.75)^((5+(H15/2))/H15))/(1+3*(1-(0.75)^((5+(H15/2))/H15))*C82)/(1-(0.75)^((5+(H15/2))/H15)))),(1+0.06*(14-5*C131*E137)*C119*(1/S40)))</f>
        <v>129245.8064</v>
      </c>
      <c r="L69" s="196">
        <f t="shared" si="63"/>
        <v>25849.16128</v>
      </c>
      <c r="M69" s="196">
        <f>K69*$L$12</f>
        <v>23910.47418</v>
      </c>
      <c r="N69" s="194"/>
      <c r="O69" s="194"/>
      <c r="P69" s="194"/>
      <c r="Q69" s="194"/>
      <c r="R69" s="194"/>
      <c r="S69" s="194"/>
      <c r="T69" s="196">
        <f>T64</f>
        <v>0</v>
      </c>
      <c r="U69" s="194"/>
      <c r="V69" s="196">
        <f t="shared" si="64"/>
        <v>0</v>
      </c>
      <c r="W69" s="196">
        <f t="shared" si="65"/>
        <v>0</v>
      </c>
      <c r="X69" s="196">
        <f t="shared" si="66"/>
        <v>0</v>
      </c>
      <c r="Y69" s="196">
        <f t="shared" si="67"/>
        <v>0</v>
      </c>
      <c r="Z69" s="194"/>
      <c r="AA69" s="194"/>
      <c r="AB69" s="194"/>
    </row>
    <row r="70">
      <c r="A70" s="329" t="s">
        <v>152</v>
      </c>
      <c r="B70" s="276" t="s">
        <v>153</v>
      </c>
      <c r="C70" s="25">
        <f>Inputs!C72</f>
        <v>0</v>
      </c>
      <c r="D70" s="78"/>
      <c r="E70" s="2"/>
      <c r="G70" s="276"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276" t="s">
        <v>154</v>
      </c>
      <c r="C71" s="25">
        <f>Inputs!C73</f>
        <v>1</v>
      </c>
      <c r="D71" s="78"/>
      <c r="G71" s="281" t="s">
        <v>351</v>
      </c>
      <c r="H71" s="263">
        <f>1.25*0.25</f>
        <v>0.3125</v>
      </c>
      <c r="I71" s="194"/>
      <c r="J71" s="207">
        <f>($J$6*(1+$E$116)*(1+$D$157)+$C$14*6)*H71*$J$10*$L$11</f>
        <v>1972.203903</v>
      </c>
      <c r="K71" s="196">
        <f>J71*$J$8*$J$14*(1+0.08*C120*D120)*(1+$C$131*0.05*MIN(1,5/$C$152))</f>
        <v>3099.241177</v>
      </c>
      <c r="L71" s="196">
        <f>K71</f>
        <v>3099.241177</v>
      </c>
      <c r="M71" s="196">
        <f>K71*(1+$L$12)</f>
        <v>3672.600795</v>
      </c>
      <c r="N71" s="194"/>
      <c r="O71" s="194"/>
      <c r="P71" s="194"/>
      <c r="Q71" s="195"/>
      <c r="R71" s="197">
        <v>15.0</v>
      </c>
      <c r="S71" s="288">
        <f>15</f>
        <v>15</v>
      </c>
      <c r="T71" s="196">
        <f>1/S71*C25</f>
        <v>0</v>
      </c>
      <c r="U71" s="222"/>
      <c r="V71" s="196">
        <f>T71*K71</f>
        <v>0</v>
      </c>
      <c r="W71" s="196">
        <f>T71*L71</f>
        <v>0</v>
      </c>
      <c r="X71" s="196">
        <f t="shared" ref="X71:X75" si="68">T71*M71</f>
        <v>0</v>
      </c>
      <c r="Y71" s="196">
        <f>X71*(1-$C$144)</f>
        <v>0</v>
      </c>
      <c r="Z71" s="194"/>
      <c r="AA71" s="194"/>
      <c r="AB71" s="194"/>
    </row>
    <row r="72">
      <c r="A72" s="98"/>
      <c r="B72" s="276" t="s">
        <v>155</v>
      </c>
      <c r="C72" s="25">
        <f>Inputs!C74</f>
        <v>0</v>
      </c>
      <c r="D72" s="78"/>
      <c r="E72" s="2"/>
      <c r="G72" s="276" t="s">
        <v>223</v>
      </c>
      <c r="H72" s="27"/>
      <c r="I72" s="194"/>
      <c r="J72" s="194"/>
      <c r="K72" s="194"/>
      <c r="L72" s="194"/>
      <c r="M72" s="196">
        <f>MIN(L7,V29*(10+2*C92)*6)*J10*(1+0.15*C46)</f>
        <v>1513528.48</v>
      </c>
      <c r="N72" s="194"/>
      <c r="O72" s="194"/>
      <c r="P72" s="194"/>
      <c r="Q72" s="194"/>
      <c r="R72" s="194"/>
      <c r="S72" s="194"/>
      <c r="T72" s="196">
        <f>T76*C126</f>
        <v>0.04678710742</v>
      </c>
      <c r="U72" s="194"/>
      <c r="V72" s="194"/>
      <c r="W72" s="194"/>
      <c r="X72" s="196">
        <f t="shared" si="68"/>
        <v>70813.61957</v>
      </c>
      <c r="Y72" s="196">
        <f>X72</f>
        <v>70813.61957</v>
      </c>
      <c r="Z72" s="194"/>
      <c r="AA72" s="194"/>
      <c r="AB72" s="194"/>
    </row>
    <row r="73">
      <c r="A73" s="329" t="s">
        <v>156</v>
      </c>
      <c r="B73" s="276" t="s">
        <v>157</v>
      </c>
      <c r="C73" s="25">
        <f>Inputs!C75</f>
        <v>0</v>
      </c>
      <c r="D73" s="78"/>
      <c r="G73" s="281" t="s">
        <v>352</v>
      </c>
      <c r="H73" s="27"/>
      <c r="I73" s="194"/>
      <c r="J73" s="194"/>
      <c r="K73" s="194"/>
      <c r="L73" s="194"/>
      <c r="M73" s="196">
        <f>$L$7*0.04*(1+0.2*C63)</f>
        <v>80778.9408</v>
      </c>
      <c r="N73" s="194"/>
      <c r="O73" s="194"/>
      <c r="P73" s="194"/>
      <c r="Q73" s="194"/>
      <c r="R73" s="197">
        <f>60/3</f>
        <v>20</v>
      </c>
      <c r="S73" s="196">
        <f>R73/1.13/$J$9</f>
        <v>11.60921293</v>
      </c>
      <c r="T73" s="196">
        <f>1/S73*B21</f>
        <v>0</v>
      </c>
      <c r="U73" s="194"/>
      <c r="V73" s="194"/>
      <c r="W73" s="194"/>
      <c r="X73" s="196">
        <f t="shared" si="68"/>
        <v>0</v>
      </c>
      <c r="Y73" s="196">
        <f t="shared" ref="Y73:Y75" si="69">X73*(1-$C$144)</f>
        <v>0</v>
      </c>
      <c r="Z73" s="194"/>
      <c r="AA73" s="194"/>
      <c r="AB73" s="194"/>
    </row>
    <row r="74">
      <c r="A74" s="97"/>
      <c r="B74" s="276" t="s">
        <v>158</v>
      </c>
      <c r="C74" s="25">
        <f>Inputs!C76</f>
        <v>1</v>
      </c>
      <c r="D74" s="78"/>
      <c r="G74" s="276" t="s">
        <v>353</v>
      </c>
      <c r="H74" s="289">
        <f>0.907*1.25</f>
        <v>1.13375</v>
      </c>
      <c r="I74" s="204">
        <v>1.15</v>
      </c>
      <c r="J74" s="207">
        <f>($J$6*(1+$E$116)*(1+$D$157)+169*15/120*$C$24+$C$14*6)*H74*$J$10*$L$11*I74*(1+0.15*C93)*(1+0.01*$E$25)*(1+0.1*C43)</f>
        <v>9051.272035</v>
      </c>
      <c r="K74" s="196">
        <f>J74*$J$8*IF($C$152&lt;=5,IF($C$152&lt;3,$C$152,IF($C$43&gt;0,$C$152,2)*(14-5*C131*E137)/$S$40+2*($S$40-(14-5*C131*E137))/$S$40),IF($C$43&gt;0,5,2)*(14-5*C131*E137)/$S$40+2*($S$40-(14-5*C131*E137))/$S$40)*$J$14*(1+$C$131*0.2)*(1+0.08*C120*D120)</f>
        <v>81278.39682</v>
      </c>
      <c r="L74" s="196">
        <f>K74/IF($C$152&lt;=5,IF($C$152&lt;3,$C$152,IF($C$43&gt;0,$C$152,2)*(14-5*C131*E137)/$S$40+2*($S$40-(14-5*C131*E137))/$S$40),IF($C$43&gt;0,5,2)*(14-5*C131*E137)/$S$40+2*($S$40-(14-5*C131*E137))/$S$40)</f>
        <v>16255.67936</v>
      </c>
      <c r="M74" s="196">
        <f>K74*$L$12+IF($C$152&lt;=5,IF($C$152&lt;3,$C$152,IF($C$43&gt;0,$C$152,2)*(14-5*C131*E137)/$S$40+2*($S$40-(14-5*C131*E137))/$S$40),IF($C$43&gt;0,5,2)*(14-5*C131*E137)/$S$40+2*($S$40-(14-5*C131*E137))/$S$40)*$L$7*0.0025*$C$95+$L$7*0.02*$J$10</f>
        <v>58134.18753</v>
      </c>
      <c r="N74" s="194"/>
      <c r="O74" s="194"/>
      <c r="P74" s="194"/>
      <c r="Q74" s="194"/>
      <c r="R74" s="194"/>
      <c r="S74" s="194"/>
      <c r="T74" s="196">
        <f>C131*((T38*(8+C110*4))*T51+(1-T38*(8+C110*4))*((0.35+0.05*14/S40*E136)*T42+(E140*0.35*0.15)*T42))</f>
        <v>0.1922368934</v>
      </c>
      <c r="U74" s="194"/>
      <c r="V74" s="196">
        <f>(T74+(C131*T38*(8+C110*4))*C116/(9/(1/(0.5+(2/((L14+0.3*(1-(1-(T38*(8+C110*4)))*(1-IF(C127&gt;3,1,0)*(1-0.875^(8*(T40+T43+T51+T57+T63)))))))-1+IF(C152=1,0.5,0))/C152))+9/(1/(0.5+(2/((L14+0.3*(1-(1-(T38*(8+C110*4)))*(1-IF(C127&gt;3,1,0)*(1-0.875^(8*(T40+T43+T51+T57+T63)))))))-1+IF(C152=1,0.5,0))/C152))/2*((0.8/3^(C152-1))/(1-(0.8/3^(C152-1))))+6)+1.5*C131*F127*((T38*(8+C110*4))/(1-(1-(T38*(8+C110*4)))*(1-IF(C127&gt;3,1,0)*(1-0.875^(8*(T40+T43+T51+T57+T63)))))))*K74</f>
        <v>20602.39269</v>
      </c>
      <c r="W74" s="196">
        <f>(T74+(C131*T38*(8+C110*4))*C116/(9/(1/(0.5+(2/((L14+0.3*(1-(1-(T38*(8+C110*4)))*(1-IF(C127&gt;3,1,0)*(1-0.875^(8*(T40+T43+T51+T57+T63)))))))-1+IF(C152=1,0.5,0))/C152))+9/(1/(0.5+(2/((L14+0.3*(1-(1-(T38*(8+C110*4)))*(1-IF(C127&gt;3,1,0)*(1-0.875^(8*(T40+T43+T51+T57+T63)))))))-1+IF(C152=1,0.5,0))/C152))/2*((0.8/3^(C152-1))/(1-(0.8/3^(C152-1))))+6)+1.5*C131*F127*((T38*(8+C110*4))/(1-(1-(T38*(8+C110*4)))*(1-IF(C127&gt;3,1,0)*(1-0.875^(8*(T40+T43+T51+T57+T63)))))))*L74</f>
        <v>4120.478537</v>
      </c>
      <c r="X74" s="196">
        <f t="shared" si="68"/>
        <v>11175.53561</v>
      </c>
      <c r="Y74" s="196">
        <f t="shared" si="69"/>
        <v>8940.428489</v>
      </c>
      <c r="Z74" s="194"/>
      <c r="AA74" s="194"/>
      <c r="AB74" s="293"/>
    </row>
    <row r="75">
      <c r="A75" s="97"/>
      <c r="B75" s="276" t="s">
        <v>160</v>
      </c>
      <c r="C75" s="25">
        <f>Inputs!C77</f>
        <v>1</v>
      </c>
      <c r="D75" s="78"/>
      <c r="G75" s="276" t="s">
        <v>354</v>
      </c>
      <c r="H75" s="253">
        <f>1.766*1.2</f>
        <v>2.1192</v>
      </c>
      <c r="I75" s="204">
        <v>1.15</v>
      </c>
      <c r="J75" s="207">
        <f>($J$6*(1+$E$116)*(1+$D$157)+169*15/120*$C$24+$C$14*6)*H75*$J$10*$L$11*I75*(1+0.01*$E$25)</f>
        <v>15380.5398</v>
      </c>
      <c r="K75" s="196">
        <f>J75*($J$8+2)/2*(1+$C$152)*$J$14*(1+0.15*$B$19*(1+0.2*$C$63))*(H8*0.05/2+1)*(1+0.08*C120*D120)</f>
        <v>183142.1402</v>
      </c>
      <c r="L75" s="196">
        <f>K75*2/(1+$C$152)</f>
        <v>61047.38008</v>
      </c>
      <c r="M75" s="196">
        <f>K75*$L$12</f>
        <v>33881.29594</v>
      </c>
      <c r="N75" s="194"/>
      <c r="O75" s="194"/>
      <c r="P75" s="194"/>
      <c r="Q75" s="194"/>
      <c r="R75" s="194"/>
      <c r="S75" s="194"/>
      <c r="T75" s="196">
        <f>T63</f>
        <v>0</v>
      </c>
      <c r="U75" s="293"/>
      <c r="V75" s="196">
        <f>T75*K75</f>
        <v>0</v>
      </c>
      <c r="W75" s="196">
        <f>T75*L75</f>
        <v>0</v>
      </c>
      <c r="X75" s="196">
        <f t="shared" si="68"/>
        <v>0</v>
      </c>
      <c r="Y75" s="196">
        <f t="shared" si="69"/>
        <v>0</v>
      </c>
      <c r="Z75" s="293"/>
      <c r="AA75" s="293"/>
      <c r="AB75" s="293"/>
    </row>
    <row r="76">
      <c r="A76" s="98"/>
      <c r="B76" s="276" t="s">
        <v>161</v>
      </c>
      <c r="C76" s="25">
        <f>Inputs!C78</f>
        <v>0</v>
      </c>
      <c r="D76" s="78"/>
      <c r="G76" s="281" t="s">
        <v>179</v>
      </c>
      <c r="H76" s="27"/>
      <c r="I76" s="194"/>
      <c r="J76" s="194"/>
      <c r="K76" s="194"/>
      <c r="L76" s="194"/>
      <c r="M76" s="194"/>
      <c r="N76" s="194"/>
      <c r="O76" s="194"/>
      <c r="P76" s="194"/>
      <c r="Q76" s="194"/>
      <c r="R76" s="295">
        <f>90</f>
        <v>90</v>
      </c>
      <c r="S76" s="287">
        <f>R76/(1-AA42/5*C122*((O42-5*IF(C42&gt;0,1,0))/O42))</f>
        <v>21.37340937</v>
      </c>
      <c r="T76" s="287">
        <f>1/S76*C89*C149</f>
        <v>0.04678710742</v>
      </c>
      <c r="U76" s="293"/>
      <c r="V76" s="293"/>
      <c r="W76" s="298"/>
      <c r="X76" s="298"/>
      <c r="Y76" s="293"/>
      <c r="Z76" s="293"/>
      <c r="AA76" s="293"/>
      <c r="AB76" s="293"/>
    </row>
    <row r="77">
      <c r="A77" s="329" t="s">
        <v>162</v>
      </c>
      <c r="B77" s="276" t="s">
        <v>163</v>
      </c>
      <c r="C77" s="25">
        <f>Inputs!C79</f>
        <v>2</v>
      </c>
      <c r="D77" s="78"/>
      <c r="T77" s="334" t="s">
        <v>230</v>
      </c>
      <c r="U77" s="300">
        <f t="shared" ref="U77:X77" si="70">sum(U19:U76)</f>
        <v>1</v>
      </c>
      <c r="V77" s="140">
        <f t="shared" si="70"/>
        <v>325061.0964</v>
      </c>
      <c r="W77" s="140">
        <f t="shared" si="70"/>
        <v>112279.5081</v>
      </c>
      <c r="X77" s="140">
        <f t="shared" si="70"/>
        <v>441873.4942</v>
      </c>
      <c r="Y77" s="140">
        <f>sum(Y19:Y76)+W78</f>
        <v>384235.7537</v>
      </c>
      <c r="Z77" s="140">
        <f t="shared" ref="Z77:AB77" si="71">sum(Z19:Z76)</f>
        <v>-0.4569513512</v>
      </c>
      <c r="AA77" s="140">
        <f t="shared" si="71"/>
        <v>0</v>
      </c>
      <c r="AB77" s="152">
        <f t="shared" si="71"/>
        <v>0.3267253032</v>
      </c>
    </row>
    <row r="78">
      <c r="A78" s="97"/>
      <c r="B78" s="276" t="s">
        <v>165</v>
      </c>
      <c r="C78" s="25">
        <f>Inputs!C80</f>
        <v>0</v>
      </c>
      <c r="D78" s="78"/>
      <c r="E78" s="2"/>
      <c r="I78" s="325"/>
    </row>
    <row r="79">
      <c r="A79" s="98"/>
      <c r="B79" s="276" t="s">
        <v>166</v>
      </c>
      <c r="C79" s="25">
        <f>Inputs!C81</f>
        <v>2</v>
      </c>
      <c r="D79" s="78"/>
      <c r="E79" s="2"/>
      <c r="V79" s="326">
        <f>8047*20*1.13/60*J8*J10*0.7</f>
        <v>3318.324127</v>
      </c>
      <c r="W79" s="326">
        <f>498629/150*J8*J10*(0.85+0.15*C152)</f>
        <v>8318.323987</v>
      </c>
      <c r="Y79" s="326">
        <f>-(1.13*(1-exp(-1*12/60)))*49872/12*J10*L10</f>
        <v>-937.1879001</v>
      </c>
    </row>
    <row r="80">
      <c r="A80" s="335" t="s">
        <v>168</v>
      </c>
      <c r="B80" s="276" t="s">
        <v>169</v>
      </c>
      <c r="C80" s="25">
        <f>Inputs!C82</f>
        <v>1</v>
      </c>
      <c r="D80" s="78"/>
      <c r="E80" s="2"/>
      <c r="S80" s="301"/>
      <c r="T80" s="301"/>
      <c r="V80" s="326">
        <f>(239640*0.7+129036)*1.13*0.92/60*J8*J10</f>
        <v>8042.389064</v>
      </c>
    </row>
    <row r="81">
      <c r="A81" s="122"/>
      <c r="B81" s="276" t="s">
        <v>171</v>
      </c>
      <c r="C81" s="25">
        <f>Inputs!C83</f>
        <v>0</v>
      </c>
      <c r="D81" s="78"/>
      <c r="E81" s="2"/>
      <c r="S81" s="62"/>
      <c r="T81" s="62"/>
      <c r="V81" s="326">
        <f>221688*0.85*1.13/60*J8*J10*J9*(0.85+0.15*C152)</f>
        <v>13539.00151</v>
      </c>
      <c r="W81" s="326">
        <f>(1.13*(1-exp(-2*10/60)))*8804*5/10*(0.85+0.15*C152)*J8*J10</f>
        <v>3528.443234</v>
      </c>
    </row>
    <row r="82">
      <c r="A82" s="122"/>
      <c r="B82" s="276" t="s">
        <v>172</v>
      </c>
      <c r="C82" s="25">
        <f>Inputs!C84</f>
        <v>1</v>
      </c>
      <c r="D82" s="78"/>
      <c r="E82" s="2"/>
      <c r="S82" s="301"/>
      <c r="T82" s="301"/>
      <c r="U82" s="336"/>
      <c r="V82" s="326">
        <f>150750*1.25*1.13/60*J8*J10*J9*(0.85+0.15*C152)</f>
        <v>13539.19551</v>
      </c>
    </row>
    <row r="83">
      <c r="A83" s="123"/>
      <c r="B83" s="276" t="s">
        <v>173</v>
      </c>
      <c r="C83" s="25">
        <f>Inputs!C85</f>
        <v>0</v>
      </c>
      <c r="D83" s="78"/>
      <c r="E83" s="2"/>
      <c r="V83" s="326">
        <f>124747/6*(1.13*(1-exp(-2*J9*6/60)))*J8*J10</f>
        <v>9656.845972</v>
      </c>
    </row>
    <row r="84">
      <c r="A84" s="2"/>
      <c r="B84" s="2"/>
      <c r="C84" s="2"/>
      <c r="D84" s="2"/>
      <c r="E84" s="2"/>
      <c r="R84" s="302"/>
      <c r="V84" s="326">
        <f>135322*4/150*J8*J10*(0.85+0.15*C152)</f>
        <v>9029.978108</v>
      </c>
    </row>
    <row r="85">
      <c r="A85" s="2"/>
      <c r="B85" s="321" t="s">
        <v>174</v>
      </c>
      <c r="C85" s="283" t="s">
        <v>106</v>
      </c>
      <c r="D85" s="283" t="s">
        <v>107</v>
      </c>
      <c r="E85" s="2"/>
      <c r="V85" s="326">
        <f>15233*1.5*1.13/60*J8*J10*5*5/3</f>
        <v>5608.57101</v>
      </c>
    </row>
    <row r="86">
      <c r="A86" s="337" t="s">
        <v>108</v>
      </c>
      <c r="B86" s="276" t="s">
        <v>175</v>
      </c>
      <c r="C86" s="25">
        <f>Inputs!C88</f>
        <v>1</v>
      </c>
      <c r="D86" s="78"/>
      <c r="E86" s="2"/>
      <c r="U86" s="326">
        <f>(20*0.793)*14698*J8*J10*0.7/60*1.375</f>
        <v>5848.446056</v>
      </c>
      <c r="V86" s="326">
        <f>(20+2/3*(C152*4-2-2/3))*14698*J8*J10*0.7/60*1.375</f>
        <v>11636.25249</v>
      </c>
    </row>
    <row r="87">
      <c r="A87" s="322" t="s">
        <v>112</v>
      </c>
      <c r="B87" s="276" t="s">
        <v>176</v>
      </c>
      <c r="C87" s="25">
        <f>Inputs!C89</f>
        <v>1</v>
      </c>
      <c r="D87" s="25">
        <f>Inputs!D89</f>
        <v>0</v>
      </c>
      <c r="V87" s="326">
        <f>156528*1.13/60*J8*J9*J10*1.5*(0.85+0.15*C152)</f>
        <v>16869.75677</v>
      </c>
    </row>
    <row r="88">
      <c r="A88" s="98"/>
      <c r="B88" s="276" t="s">
        <v>177</v>
      </c>
      <c r="C88" s="25">
        <f>Inputs!C90</f>
        <v>1</v>
      </c>
      <c r="D88" s="78"/>
      <c r="E88" s="2"/>
      <c r="V88" s="326">
        <f>91711*J8*J10/90*(0.85+0.15*C152)*5*0.79+2395/3*J10*J8*C152*0.8</f>
        <v>15066.5194</v>
      </c>
      <c r="W88" s="326">
        <f>80382*J8*J10/90*(0.85+0.15*C152)*5*0.79+2013/3*J10*J8*C152*0.8</f>
        <v>13025.7194</v>
      </c>
      <c r="X88" s="326">
        <f>(660181*J10*1.15*1.5-93582*5*J10*L10*0.79)/90*1.5-2395*J10*L10/3*0.8</f>
        <v>16817.8867</v>
      </c>
      <c r="Y88" s="326">
        <f>(578625*J10*1.15*1.5-82021*5*J10*L10*0.79)/90*1.5-2013*J10*L10/3*0.8</f>
        <v>14765.58097</v>
      </c>
    </row>
    <row r="89">
      <c r="A89" s="329" t="s">
        <v>117</v>
      </c>
      <c r="B89" s="276" t="s">
        <v>179</v>
      </c>
      <c r="C89" s="25">
        <f>Inputs!C91</f>
        <v>1</v>
      </c>
      <c r="D89" s="78"/>
      <c r="E89" s="2"/>
      <c r="U89" s="326">
        <f>205064/1.2^15</f>
        <v>13309.77561</v>
      </c>
      <c r="V89" s="4">
        <f>(304680/(1.2)^15)*3*1.13*1.2^15/60*J8*J9*J10*(127566/205064)*IF(C152&gt;1,1,1)*0.9</f>
        <v>22980.46263</v>
      </c>
      <c r="X89" s="326">
        <f>-V89/2*L10</f>
        <v>-9878.939156</v>
      </c>
    </row>
    <row r="90">
      <c r="A90" s="98"/>
      <c r="B90" s="276" t="s">
        <v>180</v>
      </c>
      <c r="C90" s="25">
        <f>Inputs!C92</f>
        <v>1</v>
      </c>
      <c r="D90" s="78"/>
      <c r="E90" s="2"/>
      <c r="U90" s="326">
        <f>9935*1.2^14</f>
        <v>127557.2995</v>
      </c>
      <c r="V90" s="326">
        <f>7848*1.5*5*1.13/60*J8*J9*J10</f>
        <v>2643.174287</v>
      </c>
      <c r="X90" s="326">
        <f>-1053*1.5*5*1.13/60*J9*J10*L10</f>
        <v>-249.6399937</v>
      </c>
    </row>
    <row r="91">
      <c r="A91" s="329" t="s">
        <v>129</v>
      </c>
      <c r="B91" s="276" t="s">
        <v>181</v>
      </c>
      <c r="C91" s="25">
        <f>Inputs!C93</f>
        <v>1</v>
      </c>
      <c r="D91" s="78"/>
      <c r="E91" s="2"/>
      <c r="V91" s="326">
        <f>V25/C152</f>
        <v>8190.348434</v>
      </c>
      <c r="X91" s="326">
        <f>258568*2*1.13/60*1.15*J9*J10</f>
        <v>21864.80466</v>
      </c>
    </row>
    <row r="92">
      <c r="A92" s="97"/>
      <c r="B92" s="276" t="s">
        <v>182</v>
      </c>
      <c r="C92" s="25">
        <f>Inputs!C94</f>
        <v>2</v>
      </c>
      <c r="D92" s="78"/>
      <c r="E92" s="2"/>
      <c r="V92" s="326">
        <f>69524/60*1.13*2*J9*J8*J10+44080*J9*J8*J10*2/60*0.7*1.13</f>
        <v>9015.352868</v>
      </c>
    </row>
    <row r="93">
      <c r="A93" s="97"/>
      <c r="B93" s="276" t="s">
        <v>184</v>
      </c>
      <c r="C93" s="25">
        <f>Inputs!C95</f>
        <v>0</v>
      </c>
      <c r="D93" s="78"/>
      <c r="X93" s="326">
        <f>1.13*1.21/60*(140745+93831*2)*1.15*J10</f>
        <v>11020.20898</v>
      </c>
    </row>
    <row r="94">
      <c r="A94" s="98"/>
      <c r="B94" s="276" t="s">
        <v>185</v>
      </c>
      <c r="C94" s="25">
        <f>Inputs!C96</f>
        <v>1</v>
      </c>
      <c r="D94" s="78"/>
      <c r="E94" s="2"/>
      <c r="V94" s="326">
        <f>64988*J8*J10/90*(0.85+0.15*C152)*1.31*5+2182/3*J10*J8*C152</f>
        <v>17523.014</v>
      </c>
      <c r="X94" s="326">
        <f>(409961*J10*1.15-58027*5*(1-L5)*L10)/90*1.5-2396*J10*L10/3</f>
        <v>8154.286368</v>
      </c>
    </row>
    <row r="95">
      <c r="A95" s="329" t="s">
        <v>138</v>
      </c>
      <c r="B95" s="276" t="s">
        <v>186</v>
      </c>
      <c r="C95" s="25">
        <f>Inputs!C97</f>
        <v>0</v>
      </c>
      <c r="D95" s="78"/>
    </row>
    <row r="96">
      <c r="A96" s="97"/>
      <c r="B96" s="276" t="s">
        <v>187</v>
      </c>
      <c r="C96" s="25">
        <f>Inputs!C98</f>
        <v>1</v>
      </c>
      <c r="D96" s="78"/>
      <c r="U96" s="4" t="s">
        <v>368</v>
      </c>
    </row>
    <row r="97">
      <c r="A97" s="97"/>
      <c r="B97" s="276" t="s">
        <v>188</v>
      </c>
      <c r="C97" s="25">
        <f>Inputs!C99</f>
        <v>1</v>
      </c>
      <c r="D97" s="25">
        <f>Inputs!D99</f>
        <v>7</v>
      </c>
      <c r="E97" s="2"/>
      <c r="N97" s="328"/>
    </row>
    <row r="98">
      <c r="A98" s="97"/>
      <c r="B98" s="276" t="s">
        <v>189</v>
      </c>
      <c r="C98" s="25">
        <f>Inputs!C100</f>
        <v>1</v>
      </c>
      <c r="D98" s="78"/>
    </row>
    <row r="99">
      <c r="A99" s="97"/>
      <c r="B99" s="276" t="s">
        <v>190</v>
      </c>
      <c r="C99" s="25">
        <f>Inputs!C101</f>
        <v>1</v>
      </c>
      <c r="D99" s="78"/>
    </row>
    <row r="100">
      <c r="A100" s="97"/>
      <c r="B100" s="276" t="s">
        <v>191</v>
      </c>
      <c r="C100" s="25">
        <f>Inputs!C102</f>
        <v>0</v>
      </c>
      <c r="D100" s="25">
        <f>Inputs!D102</f>
        <v>0</v>
      </c>
      <c r="E100" s="2"/>
    </row>
    <row r="101">
      <c r="A101" s="98"/>
      <c r="B101" s="276" t="s">
        <v>193</v>
      </c>
      <c r="C101" s="25">
        <f>Inputs!C103</f>
        <v>0</v>
      </c>
      <c r="D101" s="25">
        <f>Inputs!D103</f>
        <v>10</v>
      </c>
    </row>
    <row r="102">
      <c r="A102" s="329" t="s">
        <v>144</v>
      </c>
      <c r="B102" s="276" t="s">
        <v>195</v>
      </c>
      <c r="C102" s="25">
        <f>Inputs!C104</f>
        <v>0</v>
      </c>
      <c r="D102" s="78"/>
      <c r="E102" s="2"/>
    </row>
    <row r="103">
      <c r="A103" s="97"/>
      <c r="B103" s="276" t="s">
        <v>196</v>
      </c>
      <c r="C103" s="25">
        <f>Inputs!C105</f>
        <v>1</v>
      </c>
      <c r="D103" s="25">
        <f>Inputs!D105</f>
        <v>0</v>
      </c>
      <c r="E103" s="2"/>
      <c r="Q103" s="326">
        <f>264000/1.1957</f>
        <v>220791.1684</v>
      </c>
    </row>
    <row r="104">
      <c r="A104" s="97"/>
      <c r="B104" s="276" t="s">
        <v>197</v>
      </c>
      <c r="C104" s="25">
        <f>Inputs!C106</f>
        <v>1</v>
      </c>
      <c r="D104" s="78"/>
    </row>
    <row r="105">
      <c r="A105" s="97"/>
      <c r="B105" s="276" t="s">
        <v>199</v>
      </c>
      <c r="C105" s="25">
        <f>Inputs!C107</f>
        <v>1</v>
      </c>
      <c r="D105" s="25">
        <f>Inputs!D107</f>
        <v>5</v>
      </c>
    </row>
    <row r="106">
      <c r="A106" s="97"/>
      <c r="B106" s="276" t="s">
        <v>201</v>
      </c>
      <c r="C106" s="25">
        <f>Inputs!C108</f>
        <v>1</v>
      </c>
      <c r="D106" s="78"/>
      <c r="E106" s="2"/>
    </row>
    <row r="107">
      <c r="A107" s="97"/>
      <c r="B107" s="276" t="s">
        <v>202</v>
      </c>
      <c r="C107" s="25">
        <f>Inputs!C109</f>
        <v>1</v>
      </c>
      <c r="D107" s="78"/>
    </row>
    <row r="108">
      <c r="A108" s="329" t="s">
        <v>152</v>
      </c>
      <c r="B108" s="276" t="s">
        <v>203</v>
      </c>
      <c r="C108" s="25">
        <f>Inputs!C110</f>
        <v>1</v>
      </c>
      <c r="D108" s="78"/>
    </row>
    <row r="109">
      <c r="A109" s="97"/>
      <c r="B109" s="276" t="s">
        <v>204</v>
      </c>
      <c r="C109" s="25">
        <f>Inputs!C111</f>
        <v>1</v>
      </c>
      <c r="D109" s="78"/>
      <c r="E109" s="2"/>
    </row>
    <row r="110">
      <c r="A110" s="97"/>
      <c r="B110" s="276" t="s">
        <v>205</v>
      </c>
      <c r="C110" s="25">
        <f>Inputs!C112</f>
        <v>1</v>
      </c>
      <c r="D110" s="78"/>
      <c r="E110" s="2"/>
    </row>
    <row r="111">
      <c r="A111" s="97"/>
      <c r="B111" s="276" t="s">
        <v>207</v>
      </c>
      <c r="C111" s="25">
        <f>Inputs!C113</f>
        <v>1</v>
      </c>
      <c r="D111" s="78"/>
      <c r="E111" s="2"/>
    </row>
    <row r="112">
      <c r="A112" s="97"/>
      <c r="B112" s="276" t="s">
        <v>208</v>
      </c>
      <c r="C112" s="25">
        <f>Inputs!C114</f>
        <v>0</v>
      </c>
      <c r="D112" s="78"/>
    </row>
    <row r="113">
      <c r="A113" s="329" t="s">
        <v>156</v>
      </c>
      <c r="B113" s="276" t="s">
        <v>209</v>
      </c>
      <c r="C113" s="25">
        <f>Inputs!C115</f>
        <v>0</v>
      </c>
      <c r="D113" s="78"/>
    </row>
    <row r="114">
      <c r="A114" s="97"/>
      <c r="B114" s="276" t="s">
        <v>211</v>
      </c>
      <c r="C114" s="25">
        <f>Inputs!C116</f>
        <v>0</v>
      </c>
      <c r="D114" s="78"/>
      <c r="E114" s="2"/>
    </row>
    <row r="115">
      <c r="A115" s="97"/>
      <c r="B115" s="276" t="s">
        <v>212</v>
      </c>
      <c r="C115" s="25">
        <f>Inputs!C117</f>
        <v>1</v>
      </c>
      <c r="D115" s="78"/>
    </row>
    <row r="116">
      <c r="A116" s="97"/>
      <c r="B116" s="276" t="s">
        <v>213</v>
      </c>
      <c r="C116" s="25">
        <f>Inputs!C118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0.04817444768</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0.004890483791</v>
      </c>
    </row>
    <row r="117">
      <c r="A117" s="97"/>
      <c r="B117" s="276" t="s">
        <v>214</v>
      </c>
      <c r="C117" s="25">
        <f>Inputs!C119</f>
        <v>1</v>
      </c>
      <c r="D117" s="25">
        <f>Inputs!D119</f>
        <v>0.8</v>
      </c>
    </row>
    <row r="118">
      <c r="A118" s="329" t="s">
        <v>162</v>
      </c>
      <c r="B118" s="276" t="s">
        <v>215</v>
      </c>
      <c r="C118" s="25">
        <f>Inputs!C120</f>
        <v>0</v>
      </c>
      <c r="D118" s="78"/>
    </row>
    <row r="119">
      <c r="A119" s="97"/>
      <c r="B119" s="276" t="s">
        <v>216</v>
      </c>
      <c r="C119" s="25">
        <f>Inputs!C121</f>
        <v>1</v>
      </c>
      <c r="D119" s="78"/>
    </row>
    <row r="120">
      <c r="A120" s="97"/>
      <c r="B120" s="276" t="s">
        <v>217</v>
      </c>
      <c r="C120" s="25">
        <f>Inputs!C122</f>
        <v>1</v>
      </c>
      <c r="D120" s="25">
        <f>Inputs!D122</f>
        <v>0.4</v>
      </c>
      <c r="E120" s="2"/>
    </row>
    <row r="121">
      <c r="A121" s="97"/>
      <c r="B121" s="276" t="s">
        <v>218</v>
      </c>
      <c r="C121" s="25">
        <f>Inputs!C123</f>
        <v>0</v>
      </c>
      <c r="D121" s="25">
        <f>Inputs!D123</f>
        <v>1</v>
      </c>
    </row>
    <row r="122">
      <c r="A122" s="97"/>
      <c r="B122" s="276" t="s">
        <v>219</v>
      </c>
      <c r="C122" s="25">
        <f>Inputs!C124</f>
        <v>1</v>
      </c>
      <c r="D122" s="78"/>
    </row>
    <row r="123">
      <c r="A123" s="329" t="s">
        <v>168</v>
      </c>
      <c r="B123" s="276" t="s">
        <v>220</v>
      </c>
      <c r="C123" s="25">
        <f>Inputs!C125</f>
        <v>0</v>
      </c>
      <c r="D123" s="78"/>
    </row>
    <row r="124">
      <c r="A124" s="97"/>
      <c r="B124" s="276" t="s">
        <v>221</v>
      </c>
      <c r="C124" s="25">
        <f>Inputs!C126</f>
        <v>1</v>
      </c>
      <c r="D124" s="78"/>
      <c r="E124" s="2"/>
    </row>
    <row r="125">
      <c r="A125" s="97"/>
      <c r="B125" s="276" t="s">
        <v>222</v>
      </c>
      <c r="C125" s="25">
        <f>Inputs!C127</f>
        <v>0</v>
      </c>
      <c r="D125" s="78"/>
    </row>
    <row r="126">
      <c r="A126" s="97"/>
      <c r="B126" s="276" t="s">
        <v>223</v>
      </c>
      <c r="C126" s="25">
        <f>Inputs!C128</f>
        <v>1</v>
      </c>
      <c r="D126" s="78"/>
      <c r="E126" s="2"/>
    </row>
    <row r="127">
      <c r="A127" s="329" t="s">
        <v>224</v>
      </c>
      <c r="B127" s="276" t="s">
        <v>225</v>
      </c>
      <c r="C127" s="25">
        <f>Inputs!C129</f>
        <v>4</v>
      </c>
      <c r="D127" s="78"/>
      <c r="E127" s="309">
        <f>T38*(8+C110*4)*(1+C110)+IF(C127&gt;3,1,0)*8*0.125*(T40+T43+T51+T57+T63)</f>
        <v>0.8266656293</v>
      </c>
      <c r="F127" s="309">
        <f>IF(C127=4,(1-(1-(1-(1-(T38*(8+C110*4)))*(1-IF(C127&gt;3,1,0)*(1-0.875^(8*(T40+T43-T46+MIN(($L$9+SUM(Z19:Z36,Z38:Z50)+SUM(Z52:Z76))/(-N51),MAX((1-SUM(U18:U24,U26:U41,U43:U50,U52:U76)+SUM(AA19:AA24,AA26:AA41,AA43:AA50,AA52:AA76)/O42*Q42)/Q51*(-O42/(O51-O42)),0))+2*T57+2*T63)))))))/(3+(2/(L13+0.3)-1+IF(C152=1,0.5,0))/C152),IF(C127&gt;0,1,0)*(1-(1-(T38*(8+C110*4))))/(3+(2/(L13+0.3)-1+IF(C152=1,0.5,0))/C152))</f>
        <v>0.1403552379</v>
      </c>
    </row>
    <row r="128">
      <c r="A128" s="2"/>
      <c r="B128" s="2"/>
      <c r="C128" s="2"/>
      <c r="D128" s="2"/>
      <c r="E128" s="2"/>
    </row>
    <row r="129">
      <c r="A129" s="2"/>
      <c r="B129" s="321" t="s">
        <v>229</v>
      </c>
      <c r="C129" s="2"/>
      <c r="D129" s="2"/>
      <c r="E129" s="2"/>
    </row>
    <row r="130">
      <c r="A130" s="2"/>
      <c r="B130" s="339" t="s">
        <v>231</v>
      </c>
      <c r="C130" s="25">
        <f>Inputs!C132</f>
        <v>0</v>
      </c>
      <c r="D130" s="264">
        <f>Inputs!D132</f>
        <v>0.6</v>
      </c>
      <c r="E130" s="2"/>
    </row>
    <row r="131">
      <c r="A131" s="2"/>
      <c r="B131" s="339" t="s">
        <v>233</v>
      </c>
      <c r="C131" s="25">
        <f>Inputs!C133</f>
        <v>1</v>
      </c>
      <c r="D131" s="264">
        <f>Inputs!D133</f>
        <v>0.85</v>
      </c>
      <c r="E131" s="2"/>
    </row>
    <row r="132">
      <c r="A132" s="2"/>
      <c r="B132" s="2"/>
      <c r="C132" s="2"/>
      <c r="D132" s="2"/>
      <c r="E132" s="2"/>
    </row>
    <row r="133">
      <c r="A133" s="2"/>
      <c r="B133" s="340" t="s">
        <v>234</v>
      </c>
      <c r="C133" s="341"/>
      <c r="D133" s="342" t="s">
        <v>235</v>
      </c>
      <c r="E133" s="342"/>
      <c r="G133" s="340" t="s">
        <v>355</v>
      </c>
      <c r="J133" s="340" t="s">
        <v>356</v>
      </c>
    </row>
    <row r="134">
      <c r="A134" s="2"/>
      <c r="B134" s="343" t="s">
        <v>236</v>
      </c>
      <c r="C134" s="150"/>
      <c r="D134" s="339" t="s">
        <v>237</v>
      </c>
      <c r="E134" s="150"/>
      <c r="G134" s="343" t="s">
        <v>357</v>
      </c>
      <c r="H134" s="311">
        <f>MIN(40,1+12*(2*(1+H8)*T25+T26+1/3*(2)*(1/(1-0.15*C107))+T35*2+T40*(11+2*C107)+T42*(2*C136)*(1+C136*H8)+T43+T38*2*(2*(1+H8))+T38*2*(2*(1+H8))+T62*(2*C136)*(1+C136*H8)+2*(2/12+(1+H8)/12)))</f>
        <v>40</v>
      </c>
      <c r="J134" s="343" t="s">
        <v>358</v>
      </c>
      <c r="K134" s="282">
        <f>C131*7*(1+2*T38*(8+C110*4))*D131</f>
        <v>7.522687225</v>
      </c>
    </row>
    <row r="135">
      <c r="A135" s="2"/>
      <c r="B135" s="343" t="s">
        <v>238</v>
      </c>
      <c r="C135" s="25">
        <f>Inputs!C137</f>
        <v>1</v>
      </c>
      <c r="D135" s="339" t="s">
        <v>239</v>
      </c>
      <c r="E135" s="150"/>
      <c r="G135" s="343" t="s">
        <v>359</v>
      </c>
      <c r="H135" s="312">
        <f>1+C130*(0.05*15+0.05*17*H8)*T75</f>
        <v>1</v>
      </c>
    </row>
    <row r="136">
      <c r="A136" s="2"/>
      <c r="B136" s="343" t="s">
        <v>240</v>
      </c>
      <c r="C136" s="25">
        <f>Inputs!C138</f>
        <v>1</v>
      </c>
      <c r="D136" s="339" t="s">
        <v>241</v>
      </c>
      <c r="E136" s="25">
        <f>Inputs!E138</f>
        <v>1</v>
      </c>
    </row>
    <row r="137">
      <c r="A137" s="2"/>
      <c r="B137" s="343" t="s">
        <v>242</v>
      </c>
      <c r="C137" s="25">
        <f>Inputs!C139</f>
        <v>0</v>
      </c>
      <c r="D137" s="339" t="s">
        <v>243</v>
      </c>
      <c r="E137" s="25">
        <f>Inputs!E139</f>
        <v>0</v>
      </c>
    </row>
    <row r="138">
      <c r="A138" s="2"/>
      <c r="B138" s="343" t="s">
        <v>244</v>
      </c>
      <c r="C138" s="25">
        <f>Inputs!C140</f>
        <v>1</v>
      </c>
      <c r="D138" s="339" t="s">
        <v>245</v>
      </c>
      <c r="E138" s="25">
        <f>Inputs!E140</f>
        <v>0</v>
      </c>
    </row>
    <row r="139">
      <c r="A139" s="2"/>
      <c r="B139" s="343" t="s">
        <v>246</v>
      </c>
      <c r="C139" s="150"/>
      <c r="D139" s="339" t="s">
        <v>247</v>
      </c>
      <c r="E139" s="25">
        <f>Inputs!E141</f>
        <v>1</v>
      </c>
    </row>
    <row r="140">
      <c r="A140" s="2"/>
      <c r="B140" s="2"/>
      <c r="C140" s="2"/>
      <c r="D140" s="339" t="s">
        <v>248</v>
      </c>
      <c r="E140" s="25">
        <f>Inputs!E142</f>
        <v>0</v>
      </c>
    </row>
    <row r="141">
      <c r="A141" s="2"/>
      <c r="B141" s="2"/>
      <c r="C141" s="2"/>
      <c r="D141" s="339" t="s">
        <v>249</v>
      </c>
      <c r="E141" s="25">
        <f>Inputs!E143</f>
        <v>1</v>
      </c>
    </row>
    <row r="142">
      <c r="A142" s="2"/>
      <c r="B142" s="2"/>
      <c r="C142" s="2"/>
      <c r="D142" s="2"/>
      <c r="E142" s="2"/>
    </row>
    <row r="143">
      <c r="A143" s="2"/>
      <c r="B143" s="294" t="s">
        <v>250</v>
      </c>
      <c r="C143" s="2"/>
      <c r="D143" s="2"/>
      <c r="E143" s="2"/>
    </row>
    <row r="144">
      <c r="A144" s="2"/>
      <c r="B144" s="281" t="s">
        <v>251</v>
      </c>
      <c r="C144" s="313">
        <f>Inputs!C146</f>
        <v>0.2</v>
      </c>
      <c r="D144" s="2"/>
      <c r="E144" s="2"/>
    </row>
    <row r="145">
      <c r="A145" s="2"/>
      <c r="B145" s="276" t="s">
        <v>252</v>
      </c>
      <c r="C145" s="25">
        <f>Inputs!C147</f>
        <v>400000</v>
      </c>
      <c r="D145" s="2"/>
      <c r="E145" s="2"/>
    </row>
    <row r="146">
      <c r="A146" s="2"/>
      <c r="B146" s="281" t="s">
        <v>254</v>
      </c>
      <c r="C146" s="313">
        <f>Inputs!C148</f>
        <v>0.2</v>
      </c>
      <c r="D146" s="2"/>
      <c r="E146" s="2"/>
    </row>
    <row r="147">
      <c r="A147" s="2"/>
      <c r="B147" s="281" t="s">
        <v>257</v>
      </c>
      <c r="C147" s="313">
        <f>Inputs!C149</f>
        <v>0</v>
      </c>
      <c r="D147" s="2"/>
      <c r="E147" s="2"/>
    </row>
    <row r="148">
      <c r="A148" s="2"/>
      <c r="B148" s="281" t="s">
        <v>258</v>
      </c>
      <c r="C148" s="313">
        <f>Inputs!C150</f>
        <v>0</v>
      </c>
      <c r="D148" s="2"/>
      <c r="E148" s="2"/>
    </row>
    <row r="149">
      <c r="A149" s="2"/>
      <c r="B149" s="281" t="s">
        <v>259</v>
      </c>
      <c r="C149" s="313">
        <f>Inputs!C151</f>
        <v>1</v>
      </c>
      <c r="D149" s="2"/>
      <c r="E149" s="2"/>
    </row>
    <row r="150">
      <c r="A150" s="2"/>
      <c r="B150" s="276" t="s">
        <v>260</v>
      </c>
      <c r="C150" s="313">
        <f>Inputs!C152</f>
        <v>0.4</v>
      </c>
      <c r="D150" s="2"/>
      <c r="E150" s="2"/>
    </row>
    <row r="151">
      <c r="A151" s="2"/>
      <c r="B151" s="276" t="s">
        <v>261</v>
      </c>
      <c r="C151" s="174">
        <f>Inputs!C153</f>
        <v>0.8</v>
      </c>
      <c r="D151" s="2"/>
      <c r="E151" s="2"/>
    </row>
    <row r="152">
      <c r="A152" s="2"/>
      <c r="B152" s="281" t="s">
        <v>262</v>
      </c>
      <c r="C152" s="25">
        <f>Inputs!C154</f>
        <v>5</v>
      </c>
      <c r="D152" s="2"/>
      <c r="E152" s="2"/>
      <c r="F152" s="2"/>
    </row>
    <row r="153">
      <c r="A153" s="2"/>
      <c r="B153" s="276" t="s">
        <v>263</v>
      </c>
      <c r="C153" s="25">
        <f>Inputs!C155</f>
        <v>90</v>
      </c>
      <c r="D153" s="2"/>
      <c r="E153" s="2"/>
      <c r="F153" s="2"/>
    </row>
    <row r="154">
      <c r="A154" s="2"/>
      <c r="B154" s="281" t="s">
        <v>265</v>
      </c>
      <c r="C154" s="174">
        <f>Inputs!C156</f>
        <v>3966.55</v>
      </c>
      <c r="D154" s="2"/>
      <c r="E154" s="2"/>
      <c r="F154" s="2"/>
    </row>
    <row r="155">
      <c r="A155" s="2"/>
      <c r="D155" s="2"/>
      <c r="E155" s="2"/>
      <c r="F155" s="2"/>
    </row>
    <row r="156">
      <c r="B156" s="344" t="s">
        <v>267</v>
      </c>
      <c r="C156" s="345" t="s">
        <v>268</v>
      </c>
      <c r="D156" s="2"/>
      <c r="E156" s="2"/>
      <c r="F156" s="2"/>
    </row>
    <row r="157">
      <c r="B157" s="346" t="s">
        <v>269</v>
      </c>
      <c r="C157" s="25">
        <f>Inputs!C159</f>
        <v>1</v>
      </c>
      <c r="D157" s="309">
        <f>C157*(0.025+0.1*T42)</f>
        <v>0.06513549584</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0.006599693716</v>
      </c>
      <c r="F157" s="2"/>
    </row>
    <row r="158">
      <c r="B158" s="346" t="s">
        <v>271</v>
      </c>
      <c r="C158" s="25">
        <f>Inputs!C160</f>
        <v>1</v>
      </c>
      <c r="D158" s="2"/>
      <c r="E158" s="2"/>
      <c r="F158" s="2"/>
      <c r="G158" s="2"/>
      <c r="H158" s="2"/>
    </row>
    <row r="159">
      <c r="D159" s="2"/>
      <c r="E159" s="2"/>
      <c r="F159" s="2"/>
      <c r="G159" s="2"/>
      <c r="H159" s="2"/>
    </row>
    <row r="160">
      <c r="B160" s="296" t="s">
        <v>274</v>
      </c>
      <c r="C160" s="2"/>
      <c r="D160" s="2"/>
      <c r="E160" s="2"/>
      <c r="F160" s="2"/>
      <c r="G160" s="2"/>
      <c r="H160" s="2"/>
    </row>
    <row r="161">
      <c r="B161" s="281" t="s">
        <v>275</v>
      </c>
      <c r="C161" s="347"/>
      <c r="D161" s="1"/>
      <c r="E161" s="1"/>
      <c r="F161" s="2"/>
      <c r="G161" s="2"/>
      <c r="H161" s="2"/>
    </row>
    <row r="162">
      <c r="B162" s="281" t="s">
        <v>276</v>
      </c>
      <c r="C162" s="173"/>
      <c r="D162" s="2"/>
      <c r="E162" s="1"/>
      <c r="F162" s="2"/>
      <c r="G162" s="2"/>
      <c r="H162" s="2"/>
    </row>
    <row r="163">
      <c r="B163" s="281" t="s">
        <v>361</v>
      </c>
      <c r="C163" s="315"/>
      <c r="D163" s="2"/>
      <c r="E163" s="2"/>
      <c r="F163" s="2"/>
      <c r="G163" s="2"/>
      <c r="H163" s="2"/>
    </row>
    <row r="164">
      <c r="B164" s="281" t="s">
        <v>362</v>
      </c>
      <c r="C164" s="235"/>
      <c r="D164" s="2"/>
      <c r="E164" s="2"/>
      <c r="G164" s="2"/>
      <c r="H164" s="2"/>
    </row>
    <row r="165">
      <c r="B165" s="281" t="s">
        <v>278</v>
      </c>
      <c r="C165" s="316"/>
      <c r="G165" s="2"/>
      <c r="H165" s="2"/>
    </row>
    <row r="166">
      <c r="B166" s="281" t="s">
        <v>280</v>
      </c>
      <c r="C166" s="27"/>
      <c r="G166" s="2"/>
      <c r="H166" s="2"/>
    </row>
    <row r="167">
      <c r="B167" s="281" t="s">
        <v>363</v>
      </c>
      <c r="C167" s="317"/>
      <c r="G167" s="2"/>
      <c r="H167" s="2"/>
    </row>
    <row r="168">
      <c r="B168" s="281" t="s">
        <v>364</v>
      </c>
      <c r="C168" s="236"/>
      <c r="D168" s="202"/>
      <c r="G168" s="2"/>
      <c r="H168" s="2"/>
    </row>
    <row r="169">
      <c r="B169" s="318"/>
      <c r="C169" s="202"/>
      <c r="D169" s="202"/>
      <c r="G169" s="2"/>
      <c r="H169" s="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row r="196">
      <c r="N196" s="4" t="s">
        <v>366</v>
      </c>
      <c r="O196" s="4">
        <v>3.0</v>
      </c>
      <c r="P196" s="326">
        <f>SUM(P167:Q167)</f>
        <v>0</v>
      </c>
    </row>
    <row r="197">
      <c r="O197" s="4">
        <v>4.0</v>
      </c>
      <c r="P197" s="326">
        <f>SUM(P167:Q167)</f>
        <v>0</v>
      </c>
    </row>
    <row r="198">
      <c r="O198" s="4">
        <v>5.0</v>
      </c>
      <c r="P198" s="326">
        <f>SUM(P167:Q167)</f>
        <v>0</v>
      </c>
    </row>
    <row r="199">
      <c r="O199" s="4">
        <v>6.0</v>
      </c>
      <c r="P199" s="326">
        <f>SUM(P167:X167)</f>
        <v>0</v>
      </c>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17.75"/>
    <col customWidth="1" min="9" max="9" width="23.25"/>
    <col customWidth="1" min="10" max="10" width="17.88"/>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2.5"/>
    <col customWidth="1" min="19" max="19" width="15.25"/>
    <col customWidth="1" min="20" max="20" width="15.88"/>
    <col customWidth="1" min="21" max="21" width="12.38"/>
    <col customWidth="1" min="22" max="22" width="11.75"/>
    <col customWidth="1" min="23" max="23" width="19.25"/>
    <col customWidth="1" min="24" max="24" width="19.13"/>
    <col customWidth="1" min="25" max="25" width="11.25"/>
    <col customWidth="1" min="26" max="26" width="15.0"/>
    <col customWidth="1" min="27" max="27" width="19.63"/>
    <col customWidth="1" min="28" max="28" width="19.13"/>
  </cols>
  <sheetData>
    <row r="2">
      <c r="B2" s="266" t="s">
        <v>369</v>
      </c>
    </row>
    <row r="4">
      <c r="B4" s="267" t="s">
        <v>1</v>
      </c>
      <c r="C4" s="268" t="s">
        <v>3</v>
      </c>
      <c r="D4" s="269" t="s">
        <v>5</v>
      </c>
      <c r="E4" s="269" t="s">
        <v>7</v>
      </c>
      <c r="G4" s="267" t="s">
        <v>9</v>
      </c>
      <c r="J4" s="229"/>
      <c r="N4" s="270" t="s">
        <v>10</v>
      </c>
    </row>
    <row r="5">
      <c r="B5" s="271" t="s">
        <v>12</v>
      </c>
      <c r="C5" s="231">
        <f>H5*(1+C21*0.05*(1+0.2*C63))</f>
        <v>3852</v>
      </c>
      <c r="D5" s="27"/>
      <c r="E5" s="27"/>
      <c r="G5" s="271" t="s">
        <v>21</v>
      </c>
      <c r="H5" s="277">
        <f>Baseline!H5</f>
        <v>3852</v>
      </c>
      <c r="I5" s="272" t="s">
        <v>31</v>
      </c>
      <c r="J5" s="49">
        <f>(C5*1.45+((J6*(1+E116)*(1+D157)*1.8)+IF(E28=3,1,0)*1.13*(1-exp(-1*$J$9*12/60))*($J$6*(1+E116)*(1+D157)*0.02*$J$10)))*(1+0.06*C75)</f>
        <v>12078.94273</v>
      </c>
      <c r="K5" s="272" t="s">
        <v>41</v>
      </c>
      <c r="L5" s="52">
        <f>(J5 / (J5 + C154))</f>
        <v>0.7527935061</v>
      </c>
      <c r="N5" s="273" t="s">
        <v>46</v>
      </c>
      <c r="O5" s="274" t="s">
        <v>47</v>
      </c>
      <c r="P5" s="274" t="s">
        <v>49</v>
      </c>
      <c r="Q5" s="275" t="s">
        <v>325</v>
      </c>
      <c r="R5" s="275" t="s">
        <v>53</v>
      </c>
      <c r="S5" s="275" t="s">
        <v>326</v>
      </c>
      <c r="T5" s="274" t="s">
        <v>56</v>
      </c>
      <c r="U5" s="275" t="s">
        <v>57</v>
      </c>
      <c r="V5" s="276" t="s">
        <v>59</v>
      </c>
      <c r="W5" s="269" t="s">
        <v>60</v>
      </c>
      <c r="X5" s="268" t="s">
        <v>63</v>
      </c>
    </row>
    <row r="6">
      <c r="B6" s="271" t="s">
        <v>36</v>
      </c>
      <c r="C6" s="231">
        <f>(H6+C34*33)*(1+C21*0.05*(1+0.2*C63))</f>
        <v>2672</v>
      </c>
      <c r="D6" s="27"/>
      <c r="E6" s="27"/>
      <c r="G6" s="271" t="s">
        <v>65</v>
      </c>
      <c r="H6" s="277">
        <f>Baseline!H6</f>
        <v>2672</v>
      </c>
      <c r="I6" s="271" t="s">
        <v>67</v>
      </c>
      <c r="J6" s="52">
        <f>(C6+E32*252*8/120+E34*50)*(1+B21*1.13*(1-exp(-3*J9*15/60))*0.15*(1+0.2*C63))*(1+0.03*C77*(1-(0.85)^(8*L9)))*(1+0.1*12*(1/S40)*C131*(1-IF(OR(D100=1,AND(C152&lt;4,C131=1)),0,1)*IF(D100=2,1-(1-(0.75)^((5+(H15/2))/H15))/(1+3*(1-(0.75)^((5+(H15/2))/H15))*C82),1)*IF(NOT(OR(OR(D100=1,AND(C152&lt;4,C131=1)),D100=2)),1-(1-(0.75)^((4+(H15/2))/H15)),1)))*(1+0.1*T69*8*IF(C152=1,1,0))</f>
        <v>2890.890948</v>
      </c>
      <c r="K6" s="271" t="s">
        <v>82</v>
      </c>
      <c r="L6" s="84">
        <f>(J6-622)/19130</f>
        <v>0.1186038133</v>
      </c>
      <c r="N6" s="276" t="s">
        <v>87</v>
      </c>
      <c r="O6" s="250">
        <f>Baseline!O6</f>
        <v>3608042.253</v>
      </c>
      <c r="P6" s="94">
        <f>(O6-E26*C152/2*C7*0.0003*30)*(1-$L$14)*(1-$L$5)*$L$10*(1-0.01*E32)*(1-0.2/C152*C74)*(1-C51*0.12/C152*1.13*(1-exp(-3*6/60*55/120)))*(1-$C$135*$C$130*$D$130*0.075)*(1-$C$131*E136*10/S40*0.08)*(1-F116)*(1-E157)*(1-IF(C127&gt;1,1)*0.06*E127)*(1-(0.04*10*(1/S40)*C100*(1-IF(OR(D100=1,AND(C152&lt;4,C131=1)),0,1)*IF(D100=2,1-(1-(0.75)^((5+(H15/2))/H15))/(1+3*(1-(0.75)^((5+(H15/2))/H15))*C82),1)*IF(NOT(OR(OR(D100=1,AND(C152&lt;4,C131=1)),D100=2)),1-(1-(0.75)^((4+(H15/2))/H15)),1))))*(1-C120*0.025)</f>
        <v>428323.9824</v>
      </c>
      <c r="Q6" s="99">
        <f>P6*(1-((1-(1-(T38*(8+C110*4)))*(1-IF(C127&gt;3,1,0)*(1-0.875^(8*(T40+T43+T51+T57+T63)))))*MIN(0.3/(1-$L$14),1)))</f>
        <v>328614.6187</v>
      </c>
      <c r="R6" s="94">
        <f>Q6*(1-($T$52*8)*(0.3+0.1*$E$139))</f>
        <v>319851.5622</v>
      </c>
      <c r="S6" s="102">
        <f t="shared" ref="S6:S7" si="1">R6*(1-($T$70*8)*0.1)*(1-($T$26*8)*0.1)</f>
        <v>319851.5622</v>
      </c>
      <c r="T6" s="94">
        <f t="shared" ref="T6:T9" si="2">S6</f>
        <v>319851.5622</v>
      </c>
      <c r="U6" s="107"/>
      <c r="V6" s="27"/>
      <c r="W6" s="27"/>
      <c r="X6" s="27"/>
    </row>
    <row r="7">
      <c r="B7" s="271" t="s">
        <v>40</v>
      </c>
      <c r="C7" s="231">
        <f>(H7+C26*99)*(1+C21*0.05*(1+0.2*C63))*1.05*(1+0.2*C55)*(1.4)</f>
        <v>77197</v>
      </c>
      <c r="D7" s="27"/>
      <c r="E7" s="27"/>
      <c r="G7" s="271" t="s">
        <v>121</v>
      </c>
      <c r="H7" s="277">
        <f>Baseline!H7</f>
        <v>43762.47166</v>
      </c>
      <c r="I7" s="280" t="s">
        <v>124</v>
      </c>
      <c r="J7" s="109">
        <f>C7*20</f>
        <v>1543940</v>
      </c>
      <c r="K7" s="280" t="s">
        <v>127</v>
      </c>
      <c r="L7" s="111">
        <f>(J7+IF(E28=3,1,0)*1.13*(1-exp(-1*$J$9*12/60))*($J$6*1.3*$J$10))*(1+0.01*C97*(D97+2*C104))</f>
        <v>1682894.6</v>
      </c>
      <c r="N7" s="281" t="s">
        <v>131</v>
      </c>
      <c r="O7" s="250">
        <f>Baseline!O7</f>
        <v>0</v>
      </c>
      <c r="P7" s="94">
        <f>O7*$J$13*(1-$L$5)*$L$10*(1-0.01*E32)*(1-C51*0.12/C152*1.13*(1-exp(-3*6/60*55/120)))*(1-$C$135*$C$130*$D$130*0.075)*(1-$C$131*E136*10/S40*0.08)*(1-IF(C127&gt;1,1)*0.06*E127)*(1-(0.04*10*(1/S40)*C100*(1-IF(OR(D100=1,AND(C152&lt;4,C131=1)),0,1)*IF(D100=2,1-(1-(0.75)^((5+(H15/2))/H15))/(1+3*(1-(0.75)^((5+(H15/2))/H15))*C82),1)*IF(NOT(OR(OR(D100=1,AND(C152&lt;4,C131=1)),D100=2)),1-(1-(0.75)^((4+(H15/2))/H15)),1))))*(1-C120*0.025)</f>
        <v>0</v>
      </c>
      <c r="Q7" s="27"/>
      <c r="R7" s="94">
        <f t="shared" ref="R7:R9" si="3">P7*(1-($T$52*8)*(0.3+0.1*$E$139))</f>
        <v>0</v>
      </c>
      <c r="S7" s="102">
        <f t="shared" si="1"/>
        <v>0</v>
      </c>
      <c r="T7" s="94">
        <f t="shared" si="2"/>
        <v>0</v>
      </c>
      <c r="U7" s="107"/>
      <c r="V7" s="27"/>
      <c r="W7" s="27"/>
      <c r="X7" s="27"/>
    </row>
    <row r="8">
      <c r="B8" s="271" t="s">
        <v>44</v>
      </c>
      <c r="C8" s="25">
        <f>Inputs!C10</f>
        <v>778.5</v>
      </c>
      <c r="D8" s="282">
        <f>(C8+225*15/2/120*IF(1&lt;(IF(C8&gt;C9,1,0)+IF(C8&gt;C10,1,0)+IF(C8&gt;C11,1,0)),E27,0))*(1+0.02*C30)/(1+0.02*Baseline!C30)</f>
        <v>778.5</v>
      </c>
      <c r="E8" s="282">
        <f>IF(D8&lt;=1380,D8,IF(D8&lt;=1840,1380+0.9*(D8-1380),IF(D8&lt;=2300,1794+0.8*(D8-1840),IF(D8&lt;=2760,2162+0.7*(D8-2300),IF(D8&lt;=3680,2484+0.6*(D8-2760),IF(D8&lt;=9200,3036+0.5*(D8-3680),5796))))))</f>
        <v>778.5</v>
      </c>
      <c r="F8" s="4"/>
      <c r="G8" s="271" t="s">
        <v>159</v>
      </c>
      <c r="H8" s="118">
        <f>E8/4600+0.05+(C28+C32+C35)*0.01+IF(E28=4,1,0)*1.13*(1-exp(-1*$J$9*12/60))*0.04</f>
        <v>0.2192391304</v>
      </c>
      <c r="I8" s="271" t="s">
        <v>164</v>
      </c>
      <c r="J8" s="119">
        <f>1+H8*(1+2*0.02*(C26+C31))</f>
        <v>1.21923913</v>
      </c>
      <c r="K8" s="271" t="s">
        <v>167</v>
      </c>
      <c r="L8" s="84">
        <f>E8/5200/(1+0.02*C30)</f>
        <v>0.1497115385</v>
      </c>
      <c r="N8" s="276" t="s">
        <v>170</v>
      </c>
      <c r="O8" s="250">
        <f>Baseline!O8</f>
        <v>112528.835</v>
      </c>
      <c r="P8" s="94">
        <f>O8*$L$10*(1-C51*0.12/C152*1.13*(1-exp(-3*6/60*55/120)))*(1-$C$135*$C$130*$D$130*0.075)*(1-0.08*$C$80)*(1-IF(C127&gt;1,1)*0.06*E127)*(1-(0.04*10*(1/S40)*C100*(1-IF(OR(D100=1,AND(C152&lt;4,C131=1)),0,1)*IF(D100=2,1-(1-(0.75)^((5+(H15/2))/H15))/(1+3*(1-(0.75)^((5+(H15/2))/H15))*C82),1)*IF(NOT(OR(OR(D100=1,AND(C152&lt;4,C131=1)),D100=2)),1-(1-(0.75)^((4+(H15/2))/H15)),1))))*(1-C120*0.025)</f>
        <v>82186.2873</v>
      </c>
      <c r="Q8" s="27"/>
      <c r="R8" s="94">
        <f t="shared" si="3"/>
        <v>79994.65297</v>
      </c>
      <c r="S8" s="102">
        <f t="shared" ref="S8:S9" si="4">R8*(1-($T$26*8)*0.1)</f>
        <v>79994.65297</v>
      </c>
      <c r="T8" s="94">
        <f t="shared" si="2"/>
        <v>79994.65297</v>
      </c>
      <c r="U8" s="94">
        <f>T8*(T20*(6+2*C67))*0.15</f>
        <v>0</v>
      </c>
      <c r="V8" s="99">
        <f>IF(T8-U8-$T$19*(($L$7*0.3*$J$10*(1+0.4*$C$68)*(1+0.15*$C$46)))&gt;0,$T$19*($L$7*0.3*$J$10*(1+0.4*$C$68)*(1+0.15*$C$46)),T8-U8)</f>
        <v>11765.66776</v>
      </c>
      <c r="W8" s="27"/>
      <c r="X8" s="27"/>
    </row>
    <row r="9">
      <c r="B9" s="271" t="s">
        <v>50</v>
      </c>
      <c r="C9" s="231">
        <f>Inputs!C11+10</f>
        <v>1063.5</v>
      </c>
      <c r="D9" s="282">
        <f>(C9+225*15/2/120*IF(1&lt;(IF(C9&gt;C8,1,0)+IF(C9&gt;C10,1,0)+IF(C9&gt;C11,1,0)),E27,0))*(1+0.02*C30)/(1+0.02*Baseline!C30)</f>
        <v>1063.5</v>
      </c>
      <c r="E9" s="282">
        <f>IF(D9&lt;=1320,D9,IF(D9&lt;=1760,1320+0.9*(D9-1320),IF(D9&lt;=2200,1716+0.8*(D9-1760),IF(D9&lt;=2640,2068+0.7*(D9-2200),IF(D9&lt;=3520,2376+0.6*(D9-2640),IF(D9&lt;=8800,2904+0.5*(D9-3520),5544))))))</f>
        <v>1063.5</v>
      </c>
      <c r="F9" s="4"/>
      <c r="G9" s="271" t="s">
        <v>192</v>
      </c>
      <c r="H9" s="118">
        <f>(1+(C29+C33)*0.01)*E9/4400+(C29+C33)*0.01</f>
        <v>0.2417045455</v>
      </c>
      <c r="I9" s="271" t="s">
        <v>194</v>
      </c>
      <c r="J9" s="132">
        <f>(1+H9)*(1+C27*0.15/18)*(1+0.1*C104)*(1+0.02*C49)*(1+0.01*K134)</f>
        <v>1.527370524</v>
      </c>
      <c r="K9" s="283" t="s">
        <v>198</v>
      </c>
      <c r="L9" s="133">
        <f>3/10*J9</f>
        <v>0.4582111573</v>
      </c>
      <c r="N9" s="284" t="s">
        <v>200</v>
      </c>
      <c r="O9" s="250">
        <f>Baseline!O9</f>
        <v>0</v>
      </c>
      <c r="P9" s="135">
        <f>O9*$J$13*$L$10*(1-C51*0.12/C152*1.13*(1-exp(-3*6/60*55/120)))*(1-$C$135*$C$130*$D$130*0.075)*(1-0.08*$C$80)*(1-IF(C127&gt;1,1)*0.06*E127)*(1-(0.04*10*(1/S40)*C100*(1-IF(OR(D100=1,AND(C152&lt;4,C131=1)),0,1)*IF(D100=2,1-(1-(0.75)^((5+(H15/2))/H15))/(1+3*(1-(0.75)^((5+(H15/2))/H15))*C82),1)*IF(NOT(OR(OR(D100=1,AND(C152&lt;4,C131=1)),D100=2)),1-(1-(0.75)^((4+(H15/2))/H15)),1))))*(1-C120*0.025)</f>
        <v>0</v>
      </c>
      <c r="Q9" s="136"/>
      <c r="R9" s="135">
        <f t="shared" si="3"/>
        <v>0</v>
      </c>
      <c r="S9" s="102">
        <f t="shared" si="4"/>
        <v>0</v>
      </c>
      <c r="T9" s="94">
        <f t="shared" si="2"/>
        <v>0</v>
      </c>
      <c r="U9" s="135">
        <f>T8*(T20*(6+2*C67))*0.15</f>
        <v>0</v>
      </c>
      <c r="V9" s="135">
        <f>IF(T8+T9-U8-U9-V8&gt;0,MIN($T$19*($L$7*0.3*$J$10*(1+0.4*$C$68)*(1+0.15*$C$46))-V8,T8+T9-U8-U9-V8),0)
</f>
        <v>0</v>
      </c>
      <c r="W9" s="136"/>
      <c r="X9" s="136"/>
    </row>
    <row r="10">
      <c r="B10" s="271" t="s">
        <v>55</v>
      </c>
      <c r="C10" s="25">
        <f>Inputs!C12</f>
        <v>1514.5</v>
      </c>
      <c r="D10" s="282">
        <f>(C10+65*E24+225*15/2/120*IF(1&lt;(IF(C10&gt;C8,1,0)+IF(C10&gt;C9,0)+IF(C10&gt;C11,1,0)),E27,0))*(1+0.02*C30)/(1+0.02*Baseline!C30)</f>
        <v>1514.5</v>
      </c>
      <c r="E10" s="282">
        <f>IF(D10&lt;=1620,D10,IF(D10&lt;=2160,1622+0.9*(D10-1620),IF(D10&lt;=2700,2106+0.8*(D10-2160),IF(D10&lt;=3240,2538+0.7*(D10-2700),IF(D10&lt;=4320,2916+0.6*(D10-3240),IF(D10&lt;=10800,3564+0.5*(D10-4320),6804))))))</f>
        <v>1514.5</v>
      </c>
      <c r="F10" s="4"/>
      <c r="G10" s="271" t="s">
        <v>210</v>
      </c>
      <c r="H10" s="118">
        <f>E10/5400+(E26+E33)*0.01</f>
        <v>0.280462963</v>
      </c>
      <c r="I10" s="281" t="s">
        <v>226</v>
      </c>
      <c r="J10" s="119">
        <f>1+H10</f>
        <v>1.280462963</v>
      </c>
      <c r="K10" s="281" t="s">
        <v>228</v>
      </c>
      <c r="L10" s="119">
        <f>1-H10/2</f>
        <v>0.8597685185</v>
      </c>
      <c r="N10" s="286" t="s">
        <v>230</v>
      </c>
      <c r="O10" s="140">
        <f t="shared" ref="O10:U10" si="5">SUM(O6:O9)</f>
        <v>3720571.088</v>
      </c>
      <c r="P10" s="140">
        <f t="shared" si="5"/>
        <v>510510.2697</v>
      </c>
      <c r="Q10" s="140">
        <f t="shared" si="5"/>
        <v>328614.6187</v>
      </c>
      <c r="R10" s="140">
        <f t="shared" si="5"/>
        <v>399846.2151</v>
      </c>
      <c r="S10" s="140">
        <f t="shared" si="5"/>
        <v>399846.2151</v>
      </c>
      <c r="T10" s="140">
        <f t="shared" si="5"/>
        <v>399846.2151</v>
      </c>
      <c r="U10" s="140">
        <f t="shared" si="5"/>
        <v>0</v>
      </c>
      <c r="V10" s="140">
        <f>sum(V6:V9)</f>
        <v>11765.66776</v>
      </c>
      <c r="W10" s="140">
        <f>(Y77+C27*0.0011*L7*(1-C144))</f>
        <v>384629.399</v>
      </c>
      <c r="X10" s="152">
        <f>(MAX((T10-U10-V10-W10),0)*(1-$T$76*(10+2*C92))+MAX((T10-U10-V10-W10*(1.3+0.05*C92)),0)*($T$76*(10+2*C92))/(1.3+0.05*C92))/IF(D100=2,(1+0.06*(1-T40*(1-(0.75)^((5+(H15/2))/H15))/(1+3*(1-(0.75)^((5+(H15/2))/H15))*C82)/(1-(0.75)^((5+(H15/2))/H15)))),(1+0.02*C49))</f>
        <v>1141.485804</v>
      </c>
    </row>
    <row r="11">
      <c r="B11" s="271" t="s">
        <v>62</v>
      </c>
      <c r="C11" s="25">
        <f>Inputs!C13</f>
        <v>479.5</v>
      </c>
      <c r="D11" s="282">
        <f>(C11+225*15/2/120*IF(1&lt;(IF(C11&gt;C8,1,0)+IF(C11&gt;C10,1,0)+IF(C11&gt;C9,1,0)),E27,0))*(1+0.02*C30)/(1+0.02*Baseline!C30)</f>
        <v>479.5</v>
      </c>
      <c r="E11" s="282">
        <f>IF(D11&lt;=1380,D11,IF(D11&lt;=1840,1380+0.9*(D11-1380),IF(D11&lt;=2300,1794+0.8*(D11-1840),IF(D11&lt;=2760,2162+0.7*(D11-2300),IF(D11&lt;=3680,2484+0.6*(D11-2760),IF(D11&lt;=9200,3036+0.5*(D11-3680),5796))))))</f>
        <v>479.5</v>
      </c>
      <c r="F11" s="4"/>
      <c r="G11" s="271" t="s">
        <v>232</v>
      </c>
      <c r="H11" s="118">
        <f>0.16+E11/2300+0.002*(C131*K134)</f>
        <v>0.3835236353</v>
      </c>
      <c r="I11" s="283" t="s">
        <v>253</v>
      </c>
      <c r="J11" s="119">
        <f t="shared" ref="J11:J12" si="6">H11</f>
        <v>0.3835236353</v>
      </c>
      <c r="K11" s="271" t="s">
        <v>255</v>
      </c>
      <c r="L11" s="52">
        <f>1+H11/2</f>
        <v>1.191761818</v>
      </c>
    </row>
    <row r="12">
      <c r="B12" s="281" t="s">
        <v>64</v>
      </c>
      <c r="C12" s="25">
        <f>Inputs!C14</f>
        <v>0</v>
      </c>
      <c r="D12" s="115">
        <f t="shared" ref="D12:D13" si="7">C12</f>
        <v>0</v>
      </c>
      <c r="E12" s="115">
        <f>IF(D12&lt;=690,D12,IF(D12&lt;=1035,690+0.8*(D12-690),IF(D12&lt;=1380,966+0.6*(D12-1035),1173+0.4*(D12-1380))))</f>
        <v>0</v>
      </c>
      <c r="F12" s="4"/>
      <c r="G12" s="271" t="s">
        <v>256</v>
      </c>
      <c r="H12" s="159">
        <f>E12/6900+C71*0.03+C131*E138*0.02</f>
        <v>0.03</v>
      </c>
      <c r="I12" s="271" t="s">
        <v>264</v>
      </c>
      <c r="J12" s="119">
        <f t="shared" si="6"/>
        <v>0.03</v>
      </c>
      <c r="K12" s="271" t="s">
        <v>266</v>
      </c>
      <c r="L12" s="119">
        <f>J12+C111*0.15*MIN(8*T42,1)+0.06*(10+2*$C$72)*T54*(1+C131*E138)</f>
        <v>0.185</v>
      </c>
    </row>
    <row r="13">
      <c r="B13" s="281" t="s">
        <v>66</v>
      </c>
      <c r="C13" s="25">
        <f>Inputs!C15</f>
        <v>0</v>
      </c>
      <c r="D13" s="115">
        <f t="shared" si="7"/>
        <v>0</v>
      </c>
      <c r="E13" s="115">
        <f>IF(D13&lt;=368,D13,IF(D13&lt;=552,368+0.8*(D13-368),IF(D13&lt;=736,515.2+0.6*(D13-552),625.6+0.4*(D13-736))))</f>
        <v>0</v>
      </c>
      <c r="F13" s="4"/>
      <c r="G13" s="271" t="s">
        <v>270</v>
      </c>
      <c r="H13" s="159">
        <f>E13/3680+C70*0.03</f>
        <v>0</v>
      </c>
      <c r="I13" s="271" t="s">
        <v>272</v>
      </c>
      <c r="J13" s="119">
        <f>1-H13</f>
        <v>1</v>
      </c>
      <c r="K13" s="271" t="s">
        <v>273</v>
      </c>
      <c r="L13" s="84">
        <f>622/19130+0.03+(L6+L8)/((L6+L8)*1+1/0.94)+0.05*8*T28</f>
        <v>0.2639303801</v>
      </c>
      <c r="N13" s="290" t="s">
        <v>24</v>
      </c>
      <c r="V13" s="171"/>
    </row>
    <row r="14">
      <c r="B14" s="271" t="s">
        <v>68</v>
      </c>
      <c r="C14" s="174">
        <f>Inputs!C16</f>
        <v>151.4</v>
      </c>
      <c r="D14" s="27"/>
      <c r="E14" s="27"/>
      <c r="F14" s="4"/>
      <c r="G14" s="271" t="s">
        <v>277</v>
      </c>
      <c r="H14" s="159">
        <f>0.03+0.02*C32</f>
        <v>0.03</v>
      </c>
      <c r="I14" s="283" t="s">
        <v>279</v>
      </c>
      <c r="J14" s="133">
        <f>(1+E30*0.05*(1.13*(1-exp(-1*J9*15/60))))*(1+C57*0.06*(1-0.85^(5/(3/((1/(1-0.15*C107))*(1+C130))))))*(1+C117*0.05)*IF(D100=2,(1+0.06*C119*(1-T40*(1-(0.75)^((5+(H15/2))/H15))/(1+3*(1-(0.75)^((5+(H15/2))/H15))*C82)/(1-(0.75)^((5+(H15/2))/H15)))),(1+0.06*(14-5*C131*E137)*C119*(1/S40)))*(1+IF(C127&gt;2,2,IF(C127=2,1,0))*0.03*E127)</f>
        <v>1.187403788</v>
      </c>
      <c r="K14" s="283" t="s">
        <v>281</v>
      </c>
      <c r="L14" s="84">
        <f>MAX(L13-0.015*(C153-90),0)+MAX(H14-0.015*(C153-90),0)+MAX(0.03-0.015*(C153-90),0)</f>
        <v>0.3239303801</v>
      </c>
      <c r="N14" s="291" t="s">
        <v>71</v>
      </c>
      <c r="O14" s="291" t="s">
        <v>115</v>
      </c>
      <c r="P14" s="291" t="s">
        <v>150</v>
      </c>
      <c r="Q14" s="291" t="s">
        <v>282</v>
      </c>
      <c r="R14" s="291" t="s">
        <v>283</v>
      </c>
      <c r="S14" s="291" t="s">
        <v>284</v>
      </c>
    </row>
    <row r="15">
      <c r="B15" s="281" t="s">
        <v>69</v>
      </c>
      <c r="C15" s="174">
        <f>Inputs!C17</f>
        <v>3.6</v>
      </c>
      <c r="D15" s="27"/>
      <c r="E15" s="27"/>
      <c r="F15" s="4"/>
      <c r="G15" s="271" t="s">
        <v>285</v>
      </c>
      <c r="H15" s="178">
        <f>C15/(J9*(1+0.06*(3+1.5*C130*C136)*C59*D59))/((195.5+21.9*C152-0.673*C152^2)/195.5)</f>
        <v>1.376076022</v>
      </c>
      <c r="I15" s="291" t="s">
        <v>286</v>
      </c>
      <c r="J15" s="133">
        <f>(1+E30*0.05*(1.13*(1-exp(-1*J9*15/60))))*IF(D100=2,(1+0.06*C119*(1-T40*(1-(0.75)^((5+(H15/2))/H15))/(1+3*(1-(0.75)^((5+(H15/2))/H15))*C82)/(1-(0.75)^((5+(H15/2))/H15)))),(1+0.02*C49))*(1+C73*0.15*(5+2*C68)*(1/S19*C149*(1-C150)))*(1+0.01*E31)</f>
        <v>1.04</v>
      </c>
      <c r="K15" s="291" t="s">
        <v>288</v>
      </c>
      <c r="L15" s="133">
        <f>IF(C127=4,1/(2.5+(2/(1-(L14+0.3*(0.151+0.367*(J8)-0.0791*(J8)^2+0.0086*(J8)^3)))-1+IF(C152=1,0.5,0))/C152),1/(2.5+(2/(1-(L14+0.3*T38*(8+C110*4)))-1+IF(C152=1,0.5,0))/C152))</f>
        <v>0.3269229494</v>
      </c>
      <c r="N15" s="181">
        <f>IF(X10=0,"Self-Sufficient (+"&amp;Round(-((T10-U10-V10-W10)*(1-$T$76*(10+2*C92))+(T10-U10-V10-W10*(1.3+0.05*C92))*($T$76*(10+2*C92)))/O10%,2)&amp;"%)",($O$10-$X$10)/$O$10)</f>
        <v>0.9996931961</v>
      </c>
      <c r="O15" s="182">
        <f t="shared" ref="O15:P15" si="8">V77</f>
        <v>325145.5474</v>
      </c>
      <c r="P15" s="182">
        <f t="shared" si="8"/>
        <v>112320.1706</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9370073.723</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11521381.64</v>
      </c>
      <c r="S15" s="182">
        <f>$L$7*O10/T10*(0.7+0.3/(1-0.15*C79-0.05*IF(C79&gt;0,1,0)))*(1+($T$76*(10+2*C92))*0.3)</f>
        <v>21768589.05</v>
      </c>
    </row>
    <row r="17">
      <c r="A17" s="2"/>
      <c r="B17" s="294" t="s">
        <v>70</v>
      </c>
      <c r="C17" s="2"/>
      <c r="D17" s="2"/>
      <c r="E17" s="2"/>
      <c r="G17" s="296" t="s">
        <v>292</v>
      </c>
      <c r="H17" s="269" t="s">
        <v>255</v>
      </c>
      <c r="I17" s="268" t="s">
        <v>293</v>
      </c>
      <c r="J17" s="268" t="s">
        <v>294</v>
      </c>
      <c r="K17" s="269" t="s">
        <v>295</v>
      </c>
      <c r="L17" s="269" t="s">
        <v>296</v>
      </c>
      <c r="M17" s="268" t="s">
        <v>297</v>
      </c>
      <c r="N17" s="268" t="s">
        <v>298</v>
      </c>
      <c r="O17" s="268" t="s">
        <v>299</v>
      </c>
      <c r="P17" s="269" t="s">
        <v>300</v>
      </c>
      <c r="Q17" s="268" t="s">
        <v>301</v>
      </c>
      <c r="R17" s="268" t="s">
        <v>302</v>
      </c>
      <c r="S17" s="268" t="s">
        <v>303</v>
      </c>
      <c r="T17" s="268" t="s">
        <v>304</v>
      </c>
      <c r="U17" s="268" t="s">
        <v>305</v>
      </c>
      <c r="V17" s="269" t="s">
        <v>115</v>
      </c>
      <c r="W17" s="269" t="s">
        <v>150</v>
      </c>
      <c r="X17" s="268" t="s">
        <v>306</v>
      </c>
      <c r="Y17" s="269" t="s">
        <v>307</v>
      </c>
      <c r="Z17" s="268" t="s">
        <v>308</v>
      </c>
      <c r="AA17" s="268" t="s">
        <v>309</v>
      </c>
      <c r="AB17" s="269" t="s">
        <v>310</v>
      </c>
    </row>
    <row r="18">
      <c r="A18" s="2"/>
      <c r="B18" s="276" t="s">
        <v>72</v>
      </c>
      <c r="C18" s="276" t="s">
        <v>73</v>
      </c>
      <c r="D18" s="276" t="s">
        <v>74</v>
      </c>
      <c r="E18" s="276" t="s">
        <v>75</v>
      </c>
      <c r="G18" s="297" t="s">
        <v>195</v>
      </c>
      <c r="H18" s="194"/>
      <c r="I18" s="194"/>
      <c r="J18" s="194"/>
      <c r="K18" s="194"/>
      <c r="L18" s="194"/>
      <c r="M18" s="194"/>
      <c r="N18" s="194"/>
      <c r="O18" s="195"/>
      <c r="P18" s="194"/>
      <c r="Q18" s="196">
        <f>1.5/$J$9</f>
        <v>0.9820799709</v>
      </c>
      <c r="R18" s="197">
        <v>120.0</v>
      </c>
      <c r="S18" s="198">
        <f>R18+$C$151</f>
        <v>120.8</v>
      </c>
      <c r="T18" s="196">
        <f>1/S18*C102*D102</f>
        <v>0</v>
      </c>
      <c r="U18" s="199">
        <f>T18*Q18</f>
        <v>0</v>
      </c>
      <c r="V18" s="194"/>
      <c r="W18" s="194"/>
      <c r="X18" s="194"/>
      <c r="Y18" s="194"/>
      <c r="Z18" s="194"/>
      <c r="AA18" s="195"/>
      <c r="AB18" s="194"/>
    </row>
    <row r="19">
      <c r="A19" s="2"/>
      <c r="B19" s="174" t="str">
        <f>Inputs!B21</f>
        <v/>
      </c>
      <c r="C19" s="174">
        <f>Inputs!C21</f>
        <v>1</v>
      </c>
      <c r="D19" s="79"/>
      <c r="E19" s="79"/>
      <c r="G19" s="281" t="s">
        <v>311</v>
      </c>
      <c r="H19" s="201"/>
      <c r="I19" s="194"/>
      <c r="J19" s="203"/>
      <c r="K19" s="195"/>
      <c r="L19" s="195"/>
      <c r="M19" s="195"/>
      <c r="N19" s="194"/>
      <c r="O19" s="196">
        <f>AA19/T19</f>
        <v>58.26106481</v>
      </c>
      <c r="P19" s="194"/>
      <c r="Q19" s="194"/>
      <c r="R19" s="197">
        <v>60.0</v>
      </c>
      <c r="S19" s="196">
        <f>(R19-20*C68+20*C81)</f>
        <v>40</v>
      </c>
      <c r="T19" s="196">
        <f>1/S19*C149*C150</f>
        <v>0.01</v>
      </c>
      <c r="U19" s="195"/>
      <c r="V19" s="195"/>
      <c r="W19" s="195"/>
      <c r="X19" s="195"/>
      <c r="Y19" s="194"/>
      <c r="Z19" s="194"/>
      <c r="AA19" s="196">
        <f>T19*$J$10*(1+0.4*$C$68)*(1+0.15*$C$46)*25</f>
        <v>0.5826106481</v>
      </c>
      <c r="AB19" s="194"/>
    </row>
    <row r="20">
      <c r="A20" s="2"/>
      <c r="B20" s="276" t="s">
        <v>76</v>
      </c>
      <c r="C20" s="276" t="s">
        <v>77</v>
      </c>
      <c r="D20" s="276" t="s">
        <v>78</v>
      </c>
      <c r="G20" s="276" t="s">
        <v>141</v>
      </c>
      <c r="H20" s="27"/>
      <c r="I20" s="194"/>
      <c r="J20" s="194"/>
      <c r="K20" s="194"/>
      <c r="L20" s="194"/>
      <c r="M20" s="194"/>
      <c r="N20" s="194"/>
      <c r="O20" s="194"/>
      <c r="P20" s="194"/>
      <c r="Q20" s="196">
        <f t="shared" ref="Q20:Q22" si="9">1.5/$J$9</f>
        <v>0.9820799709</v>
      </c>
      <c r="R20" s="204">
        <v>240.0</v>
      </c>
      <c r="S20" s="205">
        <f>240-60*C67</f>
        <v>180</v>
      </c>
      <c r="T20" s="196">
        <f>1/S20*C61*D61</f>
        <v>0</v>
      </c>
      <c r="U20" s="199">
        <f t="shared" ref="U20:U22" si="10">T20*Q20</f>
        <v>0</v>
      </c>
      <c r="V20" s="194"/>
      <c r="W20" s="195"/>
      <c r="X20" s="195"/>
      <c r="Y20" s="194"/>
      <c r="Z20" s="194"/>
      <c r="AA20" s="194"/>
      <c r="AB20" s="194"/>
    </row>
    <row r="21">
      <c r="A21" s="2"/>
      <c r="B21" s="25" t="str">
        <f>Inputs!B23</f>
        <v/>
      </c>
      <c r="C21" s="25" t="str">
        <f>Inputs!C23</f>
        <v/>
      </c>
      <c r="D21" s="78"/>
      <c r="G21" s="276" t="s">
        <v>313</v>
      </c>
      <c r="H21" s="206">
        <v>1.5</v>
      </c>
      <c r="I21" s="194"/>
      <c r="J21" s="207">
        <f>($J$6*(1+$E$116)*(1+$D$157)+$C$14*6)*H21*$J$10*$L$11*(1+0.01*E25)</f>
        <v>9467.536076</v>
      </c>
      <c r="K21" s="196">
        <f>J21*$J$8*$C$152*$J$14*(1+0.08*C120*D120)
</f>
        <v>70725.16882</v>
      </c>
      <c r="L21" s="209">
        <f>K21/$C$152</f>
        <v>14145.03376</v>
      </c>
      <c r="M21" s="209">
        <f>K21*$L$12</f>
        <v>13084.15623</v>
      </c>
      <c r="N21" s="194"/>
      <c r="O21" s="194"/>
      <c r="P21" s="194"/>
      <c r="Q21" s="196">
        <f t="shared" si="9"/>
        <v>0.9820799709</v>
      </c>
      <c r="R21" s="197">
        <v>180.0</v>
      </c>
      <c r="S21" s="198">
        <f t="shared" ref="S21:S22" si="11">R21+$C$151</f>
        <v>180.8</v>
      </c>
      <c r="T21" s="196">
        <f>1/S21*E25</f>
        <v>0</v>
      </c>
      <c r="U21" s="199">
        <f t="shared" si="10"/>
        <v>0</v>
      </c>
      <c r="V21" s="196">
        <f>T21*K21</f>
        <v>0</v>
      </c>
      <c r="W21" s="196">
        <f>T21*L21</f>
        <v>0</v>
      </c>
      <c r="X21" s="196">
        <f>T21*M21</f>
        <v>0</v>
      </c>
      <c r="Y21" s="196">
        <f>X21*(1-$C$144)</f>
        <v>0</v>
      </c>
      <c r="Z21" s="194"/>
      <c r="AA21" s="194"/>
      <c r="AB21" s="194"/>
    </row>
    <row r="22">
      <c r="A22" s="2"/>
      <c r="B22" s="2"/>
      <c r="E22" s="2"/>
      <c r="G22" s="281" t="s">
        <v>314</v>
      </c>
      <c r="H22" s="201"/>
      <c r="I22" s="194"/>
      <c r="J22" s="203"/>
      <c r="K22" s="195"/>
      <c r="L22" s="195"/>
      <c r="M22" s="195"/>
      <c r="N22" s="194"/>
      <c r="O22" s="211">
        <f>20</f>
        <v>20</v>
      </c>
      <c r="P22" s="194"/>
      <c r="Q22" s="196">
        <f t="shared" si="9"/>
        <v>0.9820799709</v>
      </c>
      <c r="R22" s="197">
        <v>120.0</v>
      </c>
      <c r="S22" s="198">
        <f t="shared" si="11"/>
        <v>120.8</v>
      </c>
      <c r="T22" s="196">
        <f>1/S22*C28</f>
        <v>0</v>
      </c>
      <c r="U22" s="199">
        <f t="shared" si="10"/>
        <v>0</v>
      </c>
      <c r="V22" s="195"/>
      <c r="W22" s="195"/>
      <c r="X22" s="195"/>
      <c r="Y22" s="194"/>
      <c r="Z22" s="194"/>
      <c r="AA22" s="196">
        <f>T22*O22</f>
        <v>0</v>
      </c>
      <c r="AB22" s="194"/>
    </row>
    <row r="23">
      <c r="A23" s="2"/>
      <c r="B23" s="294" t="s">
        <v>79</v>
      </c>
      <c r="C23" s="2"/>
      <c r="D23" s="2"/>
      <c r="E23" s="2"/>
      <c r="G23" s="281" t="s">
        <v>315</v>
      </c>
      <c r="H23" s="212">
        <f>5*C15/12*1.25*1.2</f>
        <v>2.25</v>
      </c>
      <c r="I23" s="194"/>
      <c r="J23" s="207">
        <f>($J$6*(1+$E$116)*(1+$D$157)+169*15/120*$C$24+$C$14*6)*H23*$J$10*$L$11</f>
        <v>14201.30411</v>
      </c>
      <c r="K23" s="196">
        <f>J23*$J$8*0.7*$J$14*(1+0.08*C120*D120)
</f>
        <v>14852.28545</v>
      </c>
      <c r="L23" s="209">
        <f>K23</f>
        <v>14852.28545</v>
      </c>
      <c r="M23" s="209">
        <f>K23*$L$12</f>
        <v>2747.672809</v>
      </c>
      <c r="N23" s="215"/>
      <c r="O23" s="194"/>
      <c r="P23" s="194"/>
      <c r="Q23" s="195"/>
      <c r="R23" s="216">
        <f>C15</f>
        <v>3.6</v>
      </c>
      <c r="S23" s="209">
        <f>H15</f>
        <v>1.376076022</v>
      </c>
      <c r="T23" s="209">
        <f>1/S23</f>
        <v>0.7267040366</v>
      </c>
      <c r="U23" s="217"/>
      <c r="V23" s="196">
        <f t="shared" ref="V23:V24" si="12">T23*K23</f>
        <v>10793.21579</v>
      </c>
      <c r="W23" s="196">
        <f t="shared" ref="W23:W24" si="13">T23*L23</f>
        <v>10793.21579</v>
      </c>
      <c r="X23" s="196">
        <f t="shared" ref="X23:X24" si="14">T23*M23</f>
        <v>1996.744921</v>
      </c>
      <c r="Y23" s="196">
        <f t="shared" ref="Y23:Y29" si="15">X23*(1-$C$144)</f>
        <v>1597.395937</v>
      </c>
      <c r="Z23" s="194"/>
      <c r="AA23" s="194"/>
      <c r="AB23" s="194"/>
    </row>
    <row r="24">
      <c r="A24" s="2"/>
      <c r="B24" s="281" t="s">
        <v>80</v>
      </c>
      <c r="C24" s="25">
        <f>Inputs!C26</f>
        <v>0</v>
      </c>
      <c r="D24" s="308" t="s">
        <v>81</v>
      </c>
      <c r="E24" s="25">
        <f>Inputs!E26</f>
        <v>0</v>
      </c>
      <c r="G24" s="276" t="s">
        <v>316</v>
      </c>
      <c r="H24" s="218">
        <f>0.1115*1.4/6*1.36*1.075*15</f>
        <v>0.5705455</v>
      </c>
      <c r="I24" s="204">
        <v>1.15</v>
      </c>
      <c r="J24" s="219">
        <f>($J$6*(1+$E$116)*(1+$D$157)+169*15/120*$C$24+$C$14*6)*H24*$J$10*$L$11*I24*(1+0.01*C24)</f>
        <v>4141.272746</v>
      </c>
      <c r="K24" s="196">
        <f>(J24*$J$8*INT($J$9*10/1+1)*0.7*$J$14+J24*7.875*1.25*$J$8*$C$152/SQRT(MAX(1,$C$152/8))*$J$14)*(1+0.15*$C$152/SQRT(MAX(1,$C$152/8))*(1+$C$131*0.05*MIN(1,5/$C$152))*J10)</f>
        <v>727504.1028</v>
      </c>
      <c r="L24" s="196">
        <f>(J24*$J$8*INT($J$9*10/1+1)*0.7*$J$14+J24*7.875*1.25*$J$8/SQRT(MAX(1,$C$152/8))*$J$14)+(K24/(1+0.15*$C$152/SQRT(MAX(1,$C$152/8))*(1+$C$131*0.05*MIN(1,5/$C$152))*J10))*(0.15*1/SQRT(MAX(1,$C$152/8))*(1+$C$131*0.05)*J10)</f>
        <v>199219.9748</v>
      </c>
      <c r="M24" s="196">
        <f>K24/((1+$C$131*0.05*MIN(1,5/$C$152)))/$C$152</f>
        <v>138572.2101</v>
      </c>
      <c r="N24" s="194"/>
      <c r="O24" s="194"/>
      <c r="P24" s="194"/>
      <c r="Q24" s="195"/>
      <c r="R24" s="195"/>
      <c r="S24" s="196">
        <f>S38</f>
        <v>90.8</v>
      </c>
      <c r="T24" s="196">
        <f>1/S24*C131</f>
        <v>0.01101321586</v>
      </c>
      <c r="U24" s="222"/>
      <c r="V24" s="196">
        <f t="shared" si="12"/>
        <v>8012.159723</v>
      </c>
      <c r="W24" s="196">
        <f t="shared" si="13"/>
        <v>2194.052586</v>
      </c>
      <c r="X24" s="196">
        <f t="shared" si="14"/>
        <v>1526.125661</v>
      </c>
      <c r="Y24" s="196">
        <f t="shared" si="15"/>
        <v>1220.900529</v>
      </c>
      <c r="Z24" s="194"/>
      <c r="AA24" s="194"/>
      <c r="AB24" s="194"/>
    </row>
    <row r="25">
      <c r="A25" s="2"/>
      <c r="B25" s="281" t="s">
        <v>83</v>
      </c>
      <c r="C25" s="25">
        <f>Inputs!C27</f>
        <v>0</v>
      </c>
      <c r="D25" s="308" t="s">
        <v>84</v>
      </c>
      <c r="E25" s="25">
        <f>Inputs!E27</f>
        <v>0</v>
      </c>
      <c r="G25" s="281" t="s">
        <v>177</v>
      </c>
      <c r="H25" s="206">
        <f>1.4256*1.15</f>
        <v>1.63944</v>
      </c>
      <c r="I25" s="204">
        <v>1.15</v>
      </c>
      <c r="J25" s="207">
        <f>($J$6*(1+$E$116)*(1+$D$157)+169*15/120*$C$24+$C$14*6)*H25*$J$10*$L$11*I25*(1+0.01*$E$25)*(1+0.3*C130)</f>
        <v>11899.78396</v>
      </c>
      <c r="K25" s="196">
        <f>J25*$J$8*$C$152*$J$14*(1+C130*0.15*$B$19*(1+0.2*$C$63))*(1+$C$131*0.05*MIN(1,5/$C$152))*$H$135*(1+0.08*C120*D120)
</f>
        <v>93339.48497</v>
      </c>
      <c r="L25" s="209">
        <f t="shared" ref="L25:L26" si="16">K25/$C$152</f>
        <v>18667.89699</v>
      </c>
      <c r="M25" s="209">
        <f>K25*$L$12</f>
        <v>17267.80472</v>
      </c>
      <c r="N25" s="194"/>
      <c r="O25" s="194"/>
      <c r="P25" s="195"/>
      <c r="Q25" s="196">
        <f>1.5/$J$9</f>
        <v>0.9820799709</v>
      </c>
      <c r="R25" s="197">
        <v>7.5</v>
      </c>
      <c r="S25" s="196">
        <f>1/((1/(R25/J9))+(C113/((R25/J9)/((1/(1-0.15*C107))/3*(1+C130)*(1-(1-H8)^C152)*0.25))))</f>
        <v>4.910399854</v>
      </c>
      <c r="T25" s="196">
        <f>MIN(1/S25,MAX((1-SUM(U19:U23,U29:U41,U43:U50,U52:U76)-($L$9+SUM(Z19:Z50,Z52:Z76))*Q51/(-N51)+(SUM(AA19:AA24,AA26:AA41,AA43:AA50,AA52:AA76)+(($L$9+SUM(Z19:Z50)+SUM(Z52:Z76))*O51/(-N51)))/O42*Q42)/Q25*(-O42/(O25-O42)),(1+C130)/24-T47*C130*0.5))</f>
        <v>0.04166666667</v>
      </c>
      <c r="U25" s="199">
        <f>T25*Q25</f>
        <v>0.04091999879</v>
      </c>
      <c r="V25" s="196">
        <f>(T25+C108*T51*(1-(1-0.15)*(1-0.15*MAX(4,C152-1)))*1.5)*K25</f>
        <v>40977.72974</v>
      </c>
      <c r="W25" s="196">
        <f>(T25+C108*T51*(1-(1-0.15)*(1-0.15*MAX(4,C152-1)))*1.5)*L25</f>
        <v>8195.545948</v>
      </c>
      <c r="X25" s="196">
        <f>(T25+C108*T51*0.15*1.5)*M25</f>
        <v>2278.898258</v>
      </c>
      <c r="Y25" s="196">
        <f t="shared" si="15"/>
        <v>1823.118607</v>
      </c>
      <c r="Z25" s="194"/>
      <c r="AA25" s="195"/>
      <c r="AB25" s="195"/>
    </row>
    <row r="26">
      <c r="A26" s="2"/>
      <c r="B26" s="281" t="s">
        <v>85</v>
      </c>
      <c r="C26" s="25">
        <f>Inputs!C28</f>
        <v>0</v>
      </c>
      <c r="D26" s="308" t="s">
        <v>86</v>
      </c>
      <c r="E26" s="25">
        <f>Inputs!E28</f>
        <v>0</v>
      </c>
      <c r="G26" s="276" t="s">
        <v>161</v>
      </c>
      <c r="H26" s="218">
        <v>1.2</v>
      </c>
      <c r="I26" s="204">
        <v>1.15</v>
      </c>
      <c r="J26" s="207">
        <f>($J$6*(1+$E$116)*(1+$D$157)+169*15/120*$C$24+$C$14*6)*H26*$J$10*$L$11*I26*(1+0.01*$E$25)</f>
        <v>8710.13319</v>
      </c>
      <c r="K26" s="196">
        <f>J26*$J$8*$C$152*$J$14*(1+$C$131*0.05*MIN(1,5/$C$152))*(1+0.08*C120*D120)
</f>
        <v>68320.51308</v>
      </c>
      <c r="L26" s="196">
        <f t="shared" si="16"/>
        <v>13664.10262</v>
      </c>
      <c r="M26" s="196">
        <f>K26*(1+$L$12)*1.25</f>
        <v>101199.76</v>
      </c>
      <c r="N26" s="194"/>
      <c r="O26" s="194"/>
      <c r="P26" s="194"/>
      <c r="Q26" s="195"/>
      <c r="R26" s="204">
        <v>120.0</v>
      </c>
      <c r="S26" s="204">
        <v>120.0</v>
      </c>
      <c r="T26" s="196">
        <f>1/S26*C76</f>
        <v>0</v>
      </c>
      <c r="U26" s="222"/>
      <c r="V26" s="196">
        <f>T26*K26</f>
        <v>0</v>
      </c>
      <c r="W26" s="196">
        <f>T26*L26</f>
        <v>0</v>
      </c>
      <c r="X26" s="196">
        <f t="shared" ref="X26:X28" si="17">T26*M26</f>
        <v>0</v>
      </c>
      <c r="Y26" s="196">
        <f t="shared" si="15"/>
        <v>0</v>
      </c>
      <c r="Z26" s="195"/>
      <c r="AA26" s="195"/>
      <c r="AB26" s="194"/>
    </row>
    <row r="27">
      <c r="A27" s="2"/>
      <c r="B27" s="281" t="s">
        <v>88</v>
      </c>
      <c r="C27" s="25">
        <f>Inputs!C29</f>
        <v>0</v>
      </c>
      <c r="D27" s="308" t="s">
        <v>89</v>
      </c>
      <c r="E27" s="25">
        <f>Inputs!E29</f>
        <v>0</v>
      </c>
      <c r="G27" s="276" t="s">
        <v>208</v>
      </c>
      <c r="H27" s="224"/>
      <c r="I27" s="194"/>
      <c r="J27" s="194"/>
      <c r="K27" s="194"/>
      <c r="L27" s="194"/>
      <c r="M27" s="196">
        <f>V10/T19</f>
        <v>1176566.776</v>
      </c>
      <c r="N27" s="194"/>
      <c r="O27" s="194"/>
      <c r="P27" s="194"/>
      <c r="Q27" s="195"/>
      <c r="R27" s="194"/>
      <c r="S27" s="194"/>
      <c r="T27" s="196">
        <f>T19*C112</f>
        <v>0</v>
      </c>
      <c r="U27" s="222"/>
      <c r="V27" s="222"/>
      <c r="W27" s="222"/>
      <c r="X27" s="196">
        <f t="shared" si="17"/>
        <v>0</v>
      </c>
      <c r="Y27" s="196">
        <f t="shared" si="15"/>
        <v>0</v>
      </c>
      <c r="Z27" s="195"/>
      <c r="AA27" s="194"/>
      <c r="AB27" s="194"/>
    </row>
    <row r="28">
      <c r="A28" s="2"/>
      <c r="B28" s="281" t="s">
        <v>90</v>
      </c>
      <c r="C28" s="25">
        <f>Inputs!C30</f>
        <v>0</v>
      </c>
      <c r="D28" s="308" t="s">
        <v>91</v>
      </c>
      <c r="E28" s="25">
        <f>Inputs!E30</f>
        <v>0</v>
      </c>
      <c r="G28" s="276" t="s">
        <v>215</v>
      </c>
      <c r="H28" s="206">
        <v>0.64</v>
      </c>
      <c r="I28" s="204">
        <v>1.15</v>
      </c>
      <c r="J28" s="207">
        <f>($J$6*(1+$E$116)*(1+$D$157)+169*15/120*$C$24+$C$14*6)*H28*$J$10*$L$11*I28*(1+0.01*E25)</f>
        <v>4645.404368</v>
      </c>
      <c r="K28" s="196">
        <f>J28*$J$8*$C$152/SQRT(MAX(1,$C$152/8))*$J$14*9*(1+0.08*C120*D120)*(1+$C$131*0.05*MIN(1,5/$C$152))</f>
        <v>327938.4628</v>
      </c>
      <c r="L28" s="196">
        <f t="shared" ref="L28:L29" si="18">K28/$C$152</f>
        <v>65587.69255</v>
      </c>
      <c r="M28" s="209">
        <f>K28*$L$12</f>
        <v>60668.61561</v>
      </c>
      <c r="N28" s="194"/>
      <c r="O28" s="219">
        <f>MIN(C152,5)*2*9</f>
        <v>90</v>
      </c>
      <c r="P28" s="194"/>
      <c r="Q28" s="195"/>
      <c r="R28" s="194"/>
      <c r="S28" s="194"/>
      <c r="T28" s="196">
        <f>T38*C118</f>
        <v>0</v>
      </c>
      <c r="U28" s="222"/>
      <c r="V28" s="196">
        <f>T28*K28</f>
        <v>0</v>
      </c>
      <c r="W28" s="196">
        <f>T28*L28</f>
        <v>0</v>
      </c>
      <c r="X28" s="196">
        <f t="shared" si="17"/>
        <v>0</v>
      </c>
      <c r="Y28" s="196">
        <f t="shared" si="15"/>
        <v>0</v>
      </c>
      <c r="Z28" s="195"/>
      <c r="AA28" s="196">
        <f>T28*O28</f>
        <v>0</v>
      </c>
      <c r="AB28" s="194"/>
    </row>
    <row r="29">
      <c r="A29" s="2"/>
      <c r="B29" s="281" t="s">
        <v>92</v>
      </c>
      <c r="C29" s="25">
        <f>Inputs!C31</f>
        <v>0</v>
      </c>
      <c r="D29" s="308" t="s">
        <v>93</v>
      </c>
      <c r="E29" s="25">
        <f>Inputs!E31</f>
        <v>0</v>
      </c>
      <c r="G29" s="281" t="s">
        <v>321</v>
      </c>
      <c r="H29" s="237">
        <f>0.3348*24/3*(1/(1-0.15*C107))</f>
        <v>3.151058824</v>
      </c>
      <c r="I29" s="204">
        <v>1.15</v>
      </c>
      <c r="J29" s="207">
        <f>($J$6*(1+$E$116)*(1+$D$157)+169*15/120*$C$24+$C$14*6)*H29*$J$10*$L$11*I29*(1+0.01*E25)</f>
        <v>22871.78503</v>
      </c>
      <c r="K29" s="196">
        <f>J29*$J$8*$C$152*$J$14*(1+0.4*C117*D117)*(1+$C$131*0.05*MIN(1,5/$C$152))*(1+0.08*C120*D120)*(1+0.15*C131)/(1+0.05*C117)
</f>
        <v>259363.4988</v>
      </c>
      <c r="L29" s="196">
        <f t="shared" si="18"/>
        <v>51872.69977</v>
      </c>
      <c r="M29" s="196">
        <f>K29*(1+0.85*$C$107+$L$12)*1.25</f>
        <v>659755.9002</v>
      </c>
      <c r="N29" s="194"/>
      <c r="O29" s="194"/>
      <c r="P29" s="194"/>
      <c r="Q29" s="195"/>
      <c r="R29" s="194"/>
      <c r="S29" s="194"/>
      <c r="T29" s="195"/>
      <c r="U29" s="222"/>
      <c r="V29" s="196">
        <f>K29/24*(1+C130)</f>
        <v>10806.81245</v>
      </c>
      <c r="W29" s="196">
        <f>L29/24*(1+C130)</f>
        <v>2161.36249</v>
      </c>
      <c r="X29" s="196">
        <f>M29/24*(1+C130)</f>
        <v>27489.82917</v>
      </c>
      <c r="Y29" s="196">
        <f t="shared" si="15"/>
        <v>21991.86334</v>
      </c>
      <c r="Z29" s="195"/>
      <c r="AA29" s="195"/>
      <c r="AB29" s="194"/>
    </row>
    <row r="30">
      <c r="A30" s="2"/>
      <c r="B30" s="276" t="s">
        <v>94</v>
      </c>
      <c r="C30" s="25">
        <f>Inputs!C32</f>
        <v>0</v>
      </c>
      <c r="D30" s="276" t="s">
        <v>95</v>
      </c>
      <c r="E30" s="25">
        <f>Inputs!E32</f>
        <v>0</v>
      </c>
      <c r="G30" s="276" t="s">
        <v>327</v>
      </c>
      <c r="H30" s="224"/>
      <c r="I30" s="194"/>
      <c r="J30" s="194"/>
      <c r="K30" s="194"/>
      <c r="L30" s="194"/>
      <c r="M30" s="209">
        <f>MIN(J11*(MAX(5*0.2*T10*(1+0.05*C111),7/100*L7)*(1+0.15*C42))*$J$10*(1+0.15*C46)*(1+0.2*C115),(0.5+0.15*C114)*L7*MAX(1,T42/0.2)/(1+($T$76*(10+2*C92))*(0.3+0.05*C92)))</f>
        <v>369882.5829</v>
      </c>
      <c r="N30" s="194"/>
      <c r="O30" s="194"/>
      <c r="P30" s="194"/>
      <c r="Q30" s="194"/>
      <c r="R30" s="194"/>
      <c r="S30" s="194"/>
      <c r="T30" s="196">
        <f>T42</f>
        <v>0.4021544521</v>
      </c>
      <c r="U30" s="222"/>
      <c r="V30" s="222"/>
      <c r="W30" s="222"/>
      <c r="X30" s="196">
        <f>MIN(T30,0.2)*M30</f>
        <v>73976.51657</v>
      </c>
      <c r="Y30" s="196">
        <f t="shared" ref="Y30:Y33" si="19">X30</f>
        <v>73976.51657</v>
      </c>
      <c r="Z30" s="195"/>
      <c r="AA30" s="195"/>
      <c r="AB30" s="194"/>
    </row>
    <row r="31">
      <c r="A31" s="2"/>
      <c r="B31" s="276" t="s">
        <v>96</v>
      </c>
      <c r="C31" s="25">
        <f>Inputs!C33</f>
        <v>0</v>
      </c>
      <c r="D31" s="276" t="s">
        <v>97</v>
      </c>
      <c r="E31" s="25">
        <f>Inputs!E33</f>
        <v>0</v>
      </c>
      <c r="G31" s="276" t="s">
        <v>328</v>
      </c>
      <c r="H31" s="218">
        <v>9.0</v>
      </c>
      <c r="I31" s="194"/>
      <c r="J31" s="219">
        <f>($J$6*(1+$E$116)*(1+$D$157)+169*15/120*$C$24+$C$14*6)*H31*$J$10*$L$11*(1+0.01*E25)</f>
        <v>56805.21645</v>
      </c>
      <c r="K31" s="196">
        <f>J31*$J$8*(2*$C$152/3+1/3)*(1+$C$131*0.05*MIN(1,5.5/($C$152+0.5)))*$H$135
</f>
        <v>266647.6994</v>
      </c>
      <c r="L31" s="196">
        <f>K31/(2*$C$152/3+1/3)</f>
        <v>72722.09985</v>
      </c>
      <c r="M31" s="209">
        <f>K31*$L$12</f>
        <v>49329.8244</v>
      </c>
      <c r="N31" s="194"/>
      <c r="O31" s="194"/>
      <c r="P31" s="194"/>
      <c r="Q31" s="195"/>
      <c r="R31" s="195"/>
      <c r="S31" s="195"/>
      <c r="T31" s="196">
        <f>T42/10*C158</f>
        <v>0.04021544521</v>
      </c>
      <c r="U31" s="222"/>
      <c r="V31" s="196">
        <f t="shared" ref="V31:V33" si="20">T31*K31</f>
        <v>10723.35595</v>
      </c>
      <c r="W31" s="196">
        <f t="shared" ref="W31:W33" si="21">T31*L31</f>
        <v>2924.551622</v>
      </c>
      <c r="X31" s="196">
        <f t="shared" ref="X31:X33" si="22">T31*M31</f>
        <v>1983.820851</v>
      </c>
      <c r="Y31" s="196">
        <f t="shared" si="19"/>
        <v>1983.820851</v>
      </c>
      <c r="Z31" s="194"/>
      <c r="AA31" s="194"/>
      <c r="AB31" s="194"/>
    </row>
    <row r="32">
      <c r="A32" s="2"/>
      <c r="B32" s="276" t="s">
        <v>98</v>
      </c>
      <c r="C32" s="25">
        <f>Inputs!C34</f>
        <v>0</v>
      </c>
      <c r="D32" s="276" t="s">
        <v>99</v>
      </c>
      <c r="E32" s="25">
        <f>Inputs!E34</f>
        <v>0</v>
      </c>
      <c r="G32" s="281" t="s">
        <v>193</v>
      </c>
      <c r="H32" s="206">
        <f>0.235*1.4/6*1.075</f>
        <v>0.05894583333</v>
      </c>
      <c r="I32" s="204">
        <v>1.0</v>
      </c>
      <c r="J32" s="219">
        <f>($J$6*(1+$E$116)*(1+$D$157)+169*15/120*$C$24+$C$14*6)*H32*$J$10*$L$11*I32*(1+0.01*C24)</f>
        <v>372.0478691</v>
      </c>
      <c r="K32" s="196">
        <f>J32*$J$8*INT($J$9*D101/1.4+1)*0.7*$J$14</f>
        <v>4147.409032</v>
      </c>
      <c r="L32" s="196">
        <f>K32</f>
        <v>4147.409032</v>
      </c>
      <c r="M32" s="196">
        <f>L7*0.5*0.15</f>
        <v>126217.095</v>
      </c>
      <c r="N32" s="194"/>
      <c r="O32" s="194"/>
      <c r="P32" s="194"/>
      <c r="Q32" s="195"/>
      <c r="R32" s="197">
        <f>60/5</f>
        <v>12</v>
      </c>
      <c r="S32" s="196">
        <f>R32/1.13</f>
        <v>10.61946903</v>
      </c>
      <c r="T32" s="196">
        <f>1/S32*C101</f>
        <v>0</v>
      </c>
      <c r="U32" s="222"/>
      <c r="V32" s="196">
        <f t="shared" si="20"/>
        <v>0</v>
      </c>
      <c r="W32" s="196">
        <f t="shared" si="21"/>
        <v>0</v>
      </c>
      <c r="X32" s="196">
        <f t="shared" si="22"/>
        <v>0</v>
      </c>
      <c r="Y32" s="196">
        <f t="shared" si="19"/>
        <v>0</v>
      </c>
      <c r="Z32" s="194"/>
      <c r="AA32" s="194"/>
      <c r="AB32" s="194"/>
    </row>
    <row r="33">
      <c r="A33" s="2"/>
      <c r="B33" s="276" t="s">
        <v>100</v>
      </c>
      <c r="C33" s="25">
        <f>Inputs!C35</f>
        <v>0</v>
      </c>
      <c r="D33" s="276" t="s">
        <v>101</v>
      </c>
      <c r="E33" s="25">
        <f>Inputs!E35</f>
        <v>0</v>
      </c>
      <c r="G33" s="276" t="s">
        <v>211</v>
      </c>
      <c r="H33" s="218">
        <v>1.1</v>
      </c>
      <c r="I33" s="204">
        <v>1.15</v>
      </c>
      <c r="J33" s="207">
        <f>($J$6*(1+$E$116)*(1+$D$157)+169*15/120*$C$24+$C$14*6)*H33*$J$10*$L$11*I33*(1+0.01*$E$25)</f>
        <v>7984.288757</v>
      </c>
      <c r="K33" s="196">
        <f>J33*$J$8*$J$14*(1+$C$131*0.05*MIN(1,5/$C$152))*$H$135*(1+0.08*C127)
</f>
        <v>16020.89551</v>
      </c>
      <c r="L33" s="196">
        <f>K33/C$152</f>
        <v>3204.179102</v>
      </c>
      <c r="M33" s="209">
        <f>K33*$L$12</f>
        <v>2963.865669</v>
      </c>
      <c r="N33" s="194"/>
      <c r="O33" s="194"/>
      <c r="P33" s="194"/>
      <c r="Q33" s="203"/>
      <c r="R33" s="204">
        <v>0.5</v>
      </c>
      <c r="S33" s="196">
        <f>1/T42</f>
        <v>2.486606812</v>
      </c>
      <c r="T33" s="196">
        <f>1/S33*C114</f>
        <v>0</v>
      </c>
      <c r="U33" s="203"/>
      <c r="V33" s="196">
        <f t="shared" si="20"/>
        <v>0</v>
      </c>
      <c r="W33" s="196">
        <f t="shared" si="21"/>
        <v>0</v>
      </c>
      <c r="X33" s="196">
        <f t="shared" si="22"/>
        <v>0</v>
      </c>
      <c r="Y33" s="196">
        <f t="shared" si="19"/>
        <v>0</v>
      </c>
      <c r="Z33" s="194"/>
      <c r="AA33" s="194"/>
      <c r="AB33" s="194"/>
    </row>
    <row r="34">
      <c r="A34" s="2"/>
      <c r="B34" s="276" t="s">
        <v>102</v>
      </c>
      <c r="C34" s="25">
        <f>Inputs!C36</f>
        <v>0</v>
      </c>
      <c r="D34" s="276" t="s">
        <v>103</v>
      </c>
      <c r="E34" s="25">
        <f>Inputs!E36</f>
        <v>0</v>
      </c>
      <c r="G34" s="276" t="s">
        <v>329</v>
      </c>
      <c r="H34" s="252"/>
      <c r="I34" s="203"/>
      <c r="J34" s="203"/>
      <c r="K34" s="203"/>
      <c r="L34" s="203"/>
      <c r="M34" s="203"/>
      <c r="N34" s="194"/>
      <c r="O34" s="194"/>
      <c r="P34" s="194"/>
      <c r="Q34" s="203"/>
      <c r="R34" s="203"/>
      <c r="S34" s="203"/>
      <c r="T34" s="203"/>
      <c r="U34" s="203"/>
      <c r="V34" s="203"/>
      <c r="W34" s="203"/>
      <c r="X34" s="196">
        <f>T10*0.02*E33</f>
        <v>0</v>
      </c>
      <c r="Y34" s="196">
        <f t="shared" ref="Y34:Y36" si="23">X34*(1-$C$144)</f>
        <v>0</v>
      </c>
      <c r="Z34" s="194"/>
      <c r="AA34" s="194"/>
      <c r="AB34" s="194"/>
    </row>
    <row r="35">
      <c r="A35" s="2"/>
      <c r="B35" s="276" t="s">
        <v>104</v>
      </c>
      <c r="C35" s="25">
        <f>Inputs!C37</f>
        <v>0</v>
      </c>
      <c r="D35" s="276"/>
      <c r="E35" s="25" t="str">
        <f>Inputs!E37</f>
        <v/>
      </c>
      <c r="G35" s="281" t="s">
        <v>218</v>
      </c>
      <c r="H35" s="218">
        <f>4.8084*1.3</f>
        <v>6.25092</v>
      </c>
      <c r="I35" s="204">
        <v>1.15</v>
      </c>
      <c r="J35" s="207">
        <f>($J$6*(1+$E$116)*(1+$D$157)+169*15/120*$C$24+$C$14*6)*H35*$J$10*$L$11*I35*(1+0.01*$E$25)</f>
        <v>45371.9548</v>
      </c>
      <c r="K35" s="196">
        <f>J35*$J$8*$C$152/SQRT(MAX(1,$C$152/8))*$J$14*(1+$C$131*0.05*MIN(1,5/$C$152))*(1+0.08*C120*D120)+24/(1+C130)*V29*D121*0.25*(1+0.08*C120*D120)</f>
        <v>422804.1674</v>
      </c>
      <c r="L35" s="196">
        <f>K35/$C$152</f>
        <v>84560.83347</v>
      </c>
      <c r="M35" s="196">
        <f>K35*$L$12+24/(1+C130)*V29*D121*0.25*(1+0.08*C120*D120)*(1+0.5*$C$107+$L$12)*1.25+K35*C125*1.5*J11*J10*(1+0.15*C46)*(1+0.2*C115)/(1-$C$144)</f>
        <v>219160.1383</v>
      </c>
      <c r="N35" s="194"/>
      <c r="O35" s="194"/>
      <c r="P35" s="194"/>
      <c r="Q35" s="196">
        <f>(1+0.5*D121)/$J$9</f>
        <v>0.9820799709</v>
      </c>
      <c r="R35" s="204">
        <v>45.0</v>
      </c>
      <c r="S35" s="198">
        <f>(R35/(1+$C$125*22.5*1.1/60*1.13*$J$9))+$C$151</f>
        <v>45.8</v>
      </c>
      <c r="T35" s="196">
        <f>1/S35*C121</f>
        <v>0</v>
      </c>
      <c r="U35" s="199">
        <f t="shared" ref="U35:U36" si="24">T35*Q35</f>
        <v>0</v>
      </c>
      <c r="V35" s="196">
        <f t="shared" ref="V35:V36" si="25">T35*K35</f>
        <v>0</v>
      </c>
      <c r="W35" s="196">
        <f t="shared" ref="W35:W36" si="26">T35*L35</f>
        <v>0</v>
      </c>
      <c r="X35" s="196">
        <f t="shared" ref="X35:X36" si="27">T35*M35</f>
        <v>0</v>
      </c>
      <c r="Y35" s="196">
        <f t="shared" si="23"/>
        <v>0</v>
      </c>
      <c r="Z35" s="194"/>
      <c r="AA35" s="194"/>
      <c r="AB35" s="194"/>
    </row>
    <row r="36">
      <c r="A36" s="2"/>
      <c r="B36" s="2"/>
      <c r="C36" s="2"/>
      <c r="D36" s="2"/>
      <c r="E36" s="2"/>
      <c r="G36" s="276" t="s">
        <v>330</v>
      </c>
      <c r="H36" s="253">
        <v>2.52</v>
      </c>
      <c r="I36" s="203"/>
      <c r="J36" s="207">
        <f>($J$6*(1+$E$116)*(1+$D$157)+$C$14*6)*H36*$J$10*$L$11</f>
        <v>15905.46061</v>
      </c>
      <c r="K36" s="196">
        <f>J36*$J$8*$J$14*(1+0.08*C120*D120)</f>
        <v>23763.65672</v>
      </c>
      <c r="L36" s="196">
        <f>K36</f>
        <v>23763.65672</v>
      </c>
      <c r="M36" s="194"/>
      <c r="N36" s="194"/>
      <c r="O36" s="194"/>
      <c r="P36" s="194"/>
      <c r="Q36" s="196">
        <f>1.5/$J$9</f>
        <v>0.9820799709</v>
      </c>
      <c r="R36" s="197">
        <v>90.0</v>
      </c>
      <c r="S36" s="198">
        <f>R36+$C$151</f>
        <v>90.8</v>
      </c>
      <c r="T36" s="196">
        <f>1/S36*IF($E$29=1,1,0)</f>
        <v>0</v>
      </c>
      <c r="U36" s="199">
        <f t="shared" si="24"/>
        <v>0</v>
      </c>
      <c r="V36" s="196">
        <f t="shared" si="25"/>
        <v>0</v>
      </c>
      <c r="W36" s="196">
        <f t="shared" si="26"/>
        <v>0</v>
      </c>
      <c r="X36" s="196">
        <f t="shared" si="27"/>
        <v>0</v>
      </c>
      <c r="Y36" s="196">
        <f t="shared" si="23"/>
        <v>0</v>
      </c>
      <c r="Z36" s="194"/>
      <c r="AA36" s="194"/>
      <c r="AB36" s="194"/>
    </row>
    <row r="37">
      <c r="A37" s="2"/>
      <c r="B37" s="321" t="s">
        <v>105</v>
      </c>
      <c r="C37" s="283" t="s">
        <v>106</v>
      </c>
      <c r="D37" s="283" t="s">
        <v>107</v>
      </c>
      <c r="E37" s="2"/>
      <c r="G37" s="276" t="s">
        <v>331</v>
      </c>
      <c r="H37" s="254"/>
      <c r="I37" s="255"/>
      <c r="J37" s="255"/>
      <c r="K37" s="255"/>
      <c r="L37" s="255"/>
      <c r="M37" s="194"/>
      <c r="N37" s="204">
        <v>1.0</v>
      </c>
      <c r="O37" s="194"/>
      <c r="P37" s="255"/>
      <c r="Q37" s="255"/>
      <c r="R37" s="255"/>
      <c r="S37" s="255"/>
      <c r="T37" s="196">
        <f>F127</f>
        <v>0.1404336998</v>
      </c>
      <c r="U37" s="195"/>
      <c r="V37" s="195"/>
      <c r="W37" s="195"/>
      <c r="X37" s="195"/>
      <c r="Y37" s="194"/>
      <c r="Z37" s="196">
        <f>T37*N37</f>
        <v>0.1404336998</v>
      </c>
      <c r="AA37" s="194"/>
      <c r="AB37" s="194"/>
    </row>
    <row r="38">
      <c r="A38" s="322" t="s">
        <v>108</v>
      </c>
      <c r="B38" s="276" t="s">
        <v>109</v>
      </c>
      <c r="C38" s="25">
        <f>Inputs!C40</f>
        <v>1</v>
      </c>
      <c r="D38" s="78"/>
      <c r="E38" s="2"/>
      <c r="G38" s="281"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2072017.501</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643577.0704</v>
      </c>
      <c r="M38" s="194"/>
      <c r="N38" s="194"/>
      <c r="O38" s="194"/>
      <c r="P38" s="256">
        <f>D105*C105</f>
        <v>5</v>
      </c>
      <c r="Q38" s="196">
        <f>1.5/$J$9</f>
        <v>0.9820799709</v>
      </c>
      <c r="R38" s="197">
        <v>120.0</v>
      </c>
      <c r="S38" s="196">
        <f>120-30*C105+$C$151</f>
        <v>90.8</v>
      </c>
      <c r="T38" s="196">
        <f>1/S38*C98*C149</f>
        <v>0.01101321586</v>
      </c>
      <c r="U38" s="199">
        <f>T38*Q38</f>
        <v>0.01081585871</v>
      </c>
      <c r="V38" s="196">
        <f t="shared" ref="V38:V40" si="28">T38*K38</f>
        <v>22819.576</v>
      </c>
      <c r="W38" s="196">
        <f t="shared" ref="W38:W40" si="29">T38*L38</f>
        <v>7087.853198</v>
      </c>
      <c r="X38" s="195"/>
      <c r="Y38" s="194"/>
      <c r="Z38" s="194"/>
      <c r="AA38" s="194"/>
      <c r="AB38" s="196">
        <f>P38*T38</f>
        <v>0.0550660793</v>
      </c>
    </row>
    <row r="39">
      <c r="A39" s="97"/>
      <c r="B39" s="276" t="s">
        <v>110</v>
      </c>
      <c r="C39" s="25">
        <f>Inputs!C41</f>
        <v>1</v>
      </c>
      <c r="D39" s="78"/>
      <c r="E39" s="2"/>
      <c r="G39" s="276"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453949.2717</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179955.5532</v>
      </c>
      <c r="M39" s="194"/>
      <c r="N39" s="255"/>
      <c r="O39" s="255"/>
      <c r="P39" s="194"/>
      <c r="Q39" s="255"/>
      <c r="R39" s="255"/>
      <c r="S39" s="255">
        <f>IF(OR(D100=1,AND(C152&lt;4,C131=1)),MAX((10-5*C131*E137+H15*3.5+C151),12),0)+IF(NOT(OR(D100=1,AND(C152&lt;4,C131=1))),15-5*C131*E137-C82,0)</f>
        <v>14</v>
      </c>
      <c r="T39" s="196">
        <f>IF(C127&gt;3,1,0)*0.1*(T40+T43+T51+T57+T63)</f>
        <v>0.05634126815</v>
      </c>
      <c r="U39" s="195"/>
      <c r="V39" s="196">
        <f t="shared" si="28"/>
        <v>25576.07765</v>
      </c>
      <c r="W39" s="196">
        <f t="shared" si="29"/>
        <v>10138.92408</v>
      </c>
      <c r="X39" s="195"/>
      <c r="Y39" s="194"/>
      <c r="Z39" s="194"/>
      <c r="AA39" s="194"/>
      <c r="AB39" s="195"/>
    </row>
    <row r="40">
      <c r="A40" s="98"/>
      <c r="B40" s="276" t="s">
        <v>111</v>
      </c>
      <c r="C40" s="25">
        <f>Inputs!C42</f>
        <v>1</v>
      </c>
      <c r="D40" s="78"/>
      <c r="E40" s="2"/>
      <c r="G40" s="281" t="s">
        <v>333</v>
      </c>
      <c r="H40" s="237">
        <f>0.083*(11+2*C107)*1.3*1.25</f>
        <v>1.753375</v>
      </c>
      <c r="I40" s="204">
        <f>1.48*1.15</f>
        <v>1.702</v>
      </c>
      <c r="J40" s="207">
        <f>($J$6*(1+$E$116)*(1+$D$157)+169*15/120*$C$24+$C$14*6)*H40*$J$10*$L$11*I40*(1+0.01*E25)</f>
        <v>18835.62673</v>
      </c>
      <c r="K40" s="196">
        <f>J40*$J$8*$C$152*$J$14*(1+$C$131*0.05*MIN(1,5/$C$152))*(1+0.08*C120*D120)
</f>
        <v>147742.8249</v>
      </c>
      <c r="L40" s="196">
        <f>K40/$C$152</f>
        <v>29548.56497</v>
      </c>
      <c r="M40" s="196">
        <f>K40*$L$12+($J$6*(1+$E$116)*(1+$D$157)+4925*15/120*C24+$C$14*6)*0.375*(D97+2*C104)*$J$10*$J$8*$L$11*C94*(1-IF(OR(D100=1,AND(C152&lt;4,C131=1)),0,1)*IF(D100=2,1-(1-(0.75)^((5+(H15/2))/H15))/(1+3*(1-(0.75)^((5+(H15/2))/H15))*C82),1)*IF(NOT(OR(OR(D100=1,AND(C152&lt;4,C131=1)),D100=2)),1-(1-(0.75)^((4+(H15/2))/H15)),1))</f>
        <v>43557.73335</v>
      </c>
      <c r="N40" s="196">
        <f>-1*IF(OR(D100=1,AND(C152&lt;4,C131=1)),0,1)*IF(D100=2,1-(1-(0.75)^((5+(H15/2))/H15))/(1+3*(1-(0.75)^((5+(H15/2))/H15))*C82),1)*IF(NOT(OR(OR(D100=1,AND(C152&lt;4,C131=1)),D100=2)),1-(1-(0.75)^((4+(H15/2))/H15)),1)</f>
        <v>-0.3752811016</v>
      </c>
      <c r="O40" s="196">
        <f>10*IF(OR(D100=1,AND(C152&lt;4,C131=1)),C94,1)*IF(D100=2,IF(C94&gt;0,1,1-(1-(0.75)^((5+(H15/2))/H15))/(1+3*(1-(0.75)^((5+(H15/2))/H15))*C82)),1)*IF(NOT(OR(OR(D100=1,AND(C152&lt;4,C131=1)),D100=2)),IF(C94&gt;0,1,1-(1-(0.75)^((4+(H15/2))/H15))),1)</f>
        <v>10</v>
      </c>
      <c r="P40" s="194"/>
      <c r="Q40" s="196">
        <f>1.5/$J$9</f>
        <v>0.9820799709</v>
      </c>
      <c r="R40" s="197">
        <v>15.0</v>
      </c>
      <c r="S40" s="196">
        <f>IF(OR(D100=1,AND(C152&lt;4,C131=1)),MAX((10-5*C131*E137+H15*3.5+C151),12),0)+IF(NOT(OR(D100=1,AND(C152&lt;4,C131=1))),15-5*C131*E137-C82,0)</f>
        <v>14</v>
      </c>
      <c r="T40" s="196">
        <f>1/S40</f>
        <v>0.07142857143</v>
      </c>
      <c r="U40" s="199">
        <f>T40*Q40</f>
        <v>0.07014856935</v>
      </c>
      <c r="V40" s="196">
        <f t="shared" si="28"/>
        <v>10553.05892</v>
      </c>
      <c r="W40" s="196">
        <f t="shared" si="29"/>
        <v>2110.611784</v>
      </c>
      <c r="X40" s="196">
        <f t="shared" ref="X40:X41" si="30">T40*M40</f>
        <v>3111.266668</v>
      </c>
      <c r="Y40" s="196">
        <f>X40*(1-$C$144)</f>
        <v>2489.013334</v>
      </c>
      <c r="Z40" s="196">
        <f>T40*N40</f>
        <v>-0.02680579297</v>
      </c>
      <c r="AA40" s="196">
        <f>T40*O40</f>
        <v>0.7142857143</v>
      </c>
      <c r="AB40" s="194"/>
    </row>
    <row r="41">
      <c r="A41" s="322" t="s">
        <v>112</v>
      </c>
      <c r="B41" s="276" t="s">
        <v>113</v>
      </c>
      <c r="C41" s="25">
        <f>Inputs!C43</f>
        <v>1</v>
      </c>
      <c r="D41" s="78"/>
      <c r="E41" s="2"/>
      <c r="G41" s="276" t="s">
        <v>135</v>
      </c>
      <c r="H41" s="254"/>
      <c r="I41" s="194"/>
      <c r="J41" s="194"/>
      <c r="K41" s="255"/>
      <c r="L41" s="255"/>
      <c r="M41" s="196">
        <f>$L$7*(0.2+0.1*C62)*$J$10</f>
        <v>430976.8412</v>
      </c>
      <c r="N41" s="194"/>
      <c r="O41" s="194"/>
      <c r="P41" s="194"/>
      <c r="Q41" s="194"/>
      <c r="R41" s="197">
        <v>120.0</v>
      </c>
      <c r="S41" s="198">
        <f>R41-30*C62+$C$151</f>
        <v>120.8</v>
      </c>
      <c r="T41" s="196">
        <f>1/S41*C56</f>
        <v>0</v>
      </c>
      <c r="U41" s="222"/>
      <c r="V41" s="222"/>
      <c r="W41" s="222"/>
      <c r="X41" s="196">
        <f t="shared" si="30"/>
        <v>0</v>
      </c>
      <c r="Y41" s="196">
        <f>X41</f>
        <v>0</v>
      </c>
      <c r="Z41" s="194"/>
      <c r="AA41" s="194"/>
      <c r="AB41" s="194"/>
    </row>
    <row r="42">
      <c r="A42" s="97"/>
      <c r="B42" s="276" t="s">
        <v>114</v>
      </c>
      <c r="C42" s="25">
        <f>Inputs!C44</f>
        <v>1</v>
      </c>
      <c r="D42" s="78"/>
      <c r="G42" s="323" t="s">
        <v>110</v>
      </c>
      <c r="H42" s="260">
        <f>1.5312*1.2*1.12</f>
        <v>2.0579328</v>
      </c>
      <c r="I42" s="204">
        <f>2.3</f>
        <v>2.3</v>
      </c>
      <c r="J42" s="207">
        <f>($J$6*(1+$E$116)*(1+$D$157)+169*15/120*$C$24+$C$14*6)*H42*$J$10*$L$11*I42*(1+0.12*C130)</f>
        <v>29874.78131</v>
      </c>
      <c r="K42" s="196">
        <f>J42*$J$8*0.7*(1+C99*0.08*MIN((T25+C108*T51*(1-(1-0.15)*(1-0.15*MAX(4,C152-1))))/T42*C152,5))*(1+0.6*C19*(1+0.2*C63))*$J$14*(1+0.08*C120)*(1+0.05*K134)*MAX((1+0.2*C63*C19),MIN((1+0.2*C63*C19)+C106*0.75*(C152-1),(1+0.2*C63*C19)+C106*1.5))</f>
        <v>272679.5411</v>
      </c>
      <c r="L42" s="196">
        <f>K42*(1+0.2*C63*C19)/MAX((1+0.2*C63*C19),MIN((1+0.2*C63*C19)+C106*0.75*(C152-1),(1+0.2*C63*C19)+C106*1.5))</f>
        <v>121190.9071</v>
      </c>
      <c r="M42" s="196">
        <f>K42*$L$12+MAX(5*0.2*T10*(1+0.05*C111),7/100*L7)*(1+C99*0.08*MIN((T25+C108*T51*(1-(1-0.15)*(1-0.15*MAX(4,C152-1))))/T42*C152,5))*$J$10*$J$15*(1+0.15*C42)</f>
        <v>889453.7903</v>
      </c>
      <c r="N42" s="194"/>
      <c r="O42" s="196">
        <f>(-45)+5*C91+IF(C42&gt;0,5,0)+10*8*T26</f>
        <v>-35</v>
      </c>
      <c r="P42" s="194"/>
      <c r="Q42" s="196">
        <f t="shared" ref="Q42:Q43" si="31">1.5/$J$9</f>
        <v>0.9820799709</v>
      </c>
      <c r="R42" s="194"/>
      <c r="S42" s="194"/>
      <c r="T42" s="196">
        <f>-(SUM(AA19:AA41,AA43:AA76))/O42</f>
        <v>0.4021544521</v>
      </c>
      <c r="U42" s="199">
        <f t="shared" ref="U42:U43" si="32">T42*Q42</f>
        <v>0.3949478326</v>
      </c>
      <c r="V42" s="196">
        <f t="shared" ref="V42:V44" si="33">T42*K42</f>
        <v>109659.2914</v>
      </c>
      <c r="W42" s="196">
        <f t="shared" ref="W42:W44" si="34">T42*L42</f>
        <v>48737.46287</v>
      </c>
      <c r="X42" s="196">
        <f>MIN(T42,0.2)*M42</f>
        <v>177890.7581</v>
      </c>
      <c r="Y42" s="196">
        <f t="shared" ref="Y42:Y48" si="35">X42*(1-$C$144)</f>
        <v>142312.6064</v>
      </c>
      <c r="Z42" s="194"/>
      <c r="AA42" s="196">
        <f t="shared" ref="AA42:AA43" si="36">T42*O42</f>
        <v>-14.07540583</v>
      </c>
      <c r="AB42" s="194"/>
    </row>
    <row r="43">
      <c r="A43" s="98"/>
      <c r="B43" s="276" t="s">
        <v>116</v>
      </c>
      <c r="C43" s="25">
        <f>Inputs!C45</f>
        <v>1</v>
      </c>
      <c r="D43" s="78"/>
      <c r="E43" s="2"/>
      <c r="G43" s="281" t="s">
        <v>334</v>
      </c>
      <c r="H43" s="263">
        <f>0.4374</f>
        <v>0.4374</v>
      </c>
      <c r="I43" s="204">
        <v>1.15</v>
      </c>
      <c r="J43" s="207">
        <f>($J$6*(1+$E$116)*(1+$D$157)+169*15/120*$C$24+$C$14*6)*H43*$J$10*$L$11*I43*(1+0.01*E25)</f>
        <v>3174.843548</v>
      </c>
      <c r="K43" s="196">
        <f>J43*$J$8*$J$14*(1+$C$131*0.05)*(1+0.08*C120*D120)</f>
        <v>4980.565403</v>
      </c>
      <c r="L43" s="209">
        <f t="shared" ref="L43:L46" si="37">K43</f>
        <v>4980.565403</v>
      </c>
      <c r="M43" s="209">
        <f>K43*$L$12</f>
        <v>921.4045996</v>
      </c>
      <c r="N43" s="197">
        <v>-1.0</v>
      </c>
      <c r="O43" s="211">
        <v>10.0</v>
      </c>
      <c r="P43" s="204">
        <v>2.0</v>
      </c>
      <c r="Q43" s="196">
        <f t="shared" si="31"/>
        <v>0.9820799709</v>
      </c>
      <c r="R43" s="204">
        <v>6.0</v>
      </c>
      <c r="S43" s="198">
        <f>IF(4*Q43&gt;=R43,4*Q43,(IF(5*Q43&gt;=R43,5*Q43,(IF(6*Q43&gt;=R43,6*Q43,(IF(7*Q43&gt;=R43,7*Q43,(8*Q43))))))))</f>
        <v>6.874559796</v>
      </c>
      <c r="T43" s="196">
        <f>MIN(1/S43,(L15-SUM(AB19:AB42)-SUM(AB44:AB56)-SUM(AB61:AB76))/2)*D87</f>
        <v>0</v>
      </c>
      <c r="U43" s="199">
        <f t="shared" si="32"/>
        <v>0</v>
      </c>
      <c r="V43" s="196">
        <f t="shared" si="33"/>
        <v>0</v>
      </c>
      <c r="W43" s="196">
        <f t="shared" si="34"/>
        <v>0</v>
      </c>
      <c r="X43" s="196">
        <f t="shared" ref="X43:X44" si="38">T43*M43</f>
        <v>0</v>
      </c>
      <c r="Y43" s="196">
        <f t="shared" si="35"/>
        <v>0</v>
      </c>
      <c r="Z43" s="196">
        <f>T43*N43</f>
        <v>0</v>
      </c>
      <c r="AA43" s="196">
        <f t="shared" si="36"/>
        <v>0</v>
      </c>
      <c r="AB43" s="196">
        <f>P43*T43</f>
        <v>0</v>
      </c>
    </row>
    <row r="44">
      <c r="A44" s="322" t="s">
        <v>117</v>
      </c>
      <c r="B44" s="276" t="s">
        <v>118</v>
      </c>
      <c r="C44" s="25">
        <f>Inputs!C46</f>
        <v>1</v>
      </c>
      <c r="D44" s="264">
        <f>Inputs!D46</f>
        <v>0</v>
      </c>
      <c r="G44" s="276" t="s">
        <v>335</v>
      </c>
      <c r="H44" s="263">
        <f>0.22</f>
        <v>0.22</v>
      </c>
      <c r="I44" s="255"/>
      <c r="J44" s="207">
        <f t="shared" ref="J44:J45" si="39">($J$6*(1+$E$116)*(1+$D$157)+$C$14*6)*H44*$J$10*$L$11</f>
        <v>1388.571958</v>
      </c>
      <c r="K44" s="196">
        <f>J44*$J$8*$J$14*(1+0.08*C120*D120)</f>
        <v>2074.604952</v>
      </c>
      <c r="L44" s="196">
        <f t="shared" si="37"/>
        <v>2074.604952</v>
      </c>
      <c r="M44" s="196">
        <f>K44*(1+$L$12)</f>
        <v>2458.406868</v>
      </c>
      <c r="N44" s="255"/>
      <c r="O44" s="255"/>
      <c r="P44" s="194"/>
      <c r="Q44" s="255"/>
      <c r="R44" s="197">
        <f>60/3</f>
        <v>20</v>
      </c>
      <c r="S44" s="196">
        <f>R44/1.13/$J$9</f>
        <v>11.58796426</v>
      </c>
      <c r="T44" s="196">
        <f>1/S44*IF($E$28=1,1,0)</f>
        <v>0</v>
      </c>
      <c r="U44" s="194"/>
      <c r="V44" s="196">
        <f t="shared" si="33"/>
        <v>0</v>
      </c>
      <c r="W44" s="196">
        <f t="shared" si="34"/>
        <v>0</v>
      </c>
      <c r="X44" s="196">
        <f t="shared" si="38"/>
        <v>0</v>
      </c>
      <c r="Y44" s="196">
        <f t="shared" si="35"/>
        <v>0</v>
      </c>
      <c r="Z44" s="194"/>
      <c r="AA44" s="194"/>
      <c r="AB44" s="194"/>
    </row>
    <row r="45">
      <c r="A45" s="97"/>
      <c r="B45" s="276" t="s">
        <v>119</v>
      </c>
      <c r="C45" s="25">
        <f>Inputs!C47</f>
        <v>1</v>
      </c>
      <c r="D45" s="78"/>
      <c r="G45" s="276" t="s">
        <v>336</v>
      </c>
      <c r="H45" s="253">
        <v>0.075</v>
      </c>
      <c r="I45" s="255"/>
      <c r="J45" s="207">
        <f t="shared" si="39"/>
        <v>473.3768038</v>
      </c>
      <c r="K45" s="209">
        <f>J45*$J$8*$J$14*(1+0.08*C120*D120)</f>
        <v>707.2516882</v>
      </c>
      <c r="L45" s="196">
        <f t="shared" si="37"/>
        <v>707.2516882</v>
      </c>
      <c r="M45" s="196">
        <f t="shared" ref="M45:M47" si="40">K45*$L$12</f>
        <v>130.8415623</v>
      </c>
      <c r="N45" s="255"/>
      <c r="O45" s="255"/>
      <c r="P45" s="194"/>
      <c r="Q45" s="255"/>
      <c r="R45" s="194"/>
      <c r="S45" s="194"/>
      <c r="T45" s="194"/>
      <c r="U45" s="194"/>
      <c r="V45" s="209">
        <f>IF(IF($E$28=2,1,0),1.13*(exp(6*12*J9/60)-1)*(1-(1-exp(-6*12*J9/60))^3)*K45/6,0)</f>
        <v>0</v>
      </c>
      <c r="W45" s="196">
        <f>V45</f>
        <v>0</v>
      </c>
      <c r="X45" s="196">
        <f>V45*$L$12</f>
        <v>0</v>
      </c>
      <c r="Y45" s="196">
        <f t="shared" si="35"/>
        <v>0</v>
      </c>
      <c r="Z45" s="194"/>
      <c r="AA45" s="194"/>
      <c r="AB45" s="194"/>
    </row>
    <row r="46">
      <c r="A46" s="97"/>
      <c r="B46" s="276" t="s">
        <v>120</v>
      </c>
      <c r="C46" s="25">
        <f>Inputs!C48</f>
        <v>2</v>
      </c>
      <c r="D46" s="78"/>
      <c r="G46" s="276" t="s">
        <v>337</v>
      </c>
      <c r="H46" s="253">
        <f>7.1545*1.2*1.2</f>
        <v>10.30248</v>
      </c>
      <c r="I46" s="204">
        <v>1.15</v>
      </c>
      <c r="J46" s="207">
        <f t="shared" ref="J46:J47" si="41">($J$6*(1+$E$116)*(1+$D$157)+169*15/120*$C$24+$C$14*6)*H46*$J$10*$L$11*I46*(1+0.01*$E$25)</f>
        <v>74779.97749</v>
      </c>
      <c r="K46" s="196">
        <f>J46*$J$8*$J$14*(1+C130*0.15*$B$19*(1+0.2*$C$63))*$H$135*(1+0.08*C120*D120)
</f>
        <v>111725.511</v>
      </c>
      <c r="L46" s="196">
        <f t="shared" si="37"/>
        <v>111725.511</v>
      </c>
      <c r="M46" s="196">
        <f t="shared" si="40"/>
        <v>20669.21954</v>
      </c>
      <c r="N46" s="194"/>
      <c r="O46" s="194"/>
      <c r="P46" s="194"/>
      <c r="Q46" s="194"/>
      <c r="R46" s="194"/>
      <c r="S46" s="194"/>
      <c r="T46" s="196">
        <f>T64*(3-C137)+T38</f>
        <v>0.01101321586</v>
      </c>
      <c r="U46" s="194"/>
      <c r="V46" s="196">
        <f t="shared" ref="V46:V47" si="42">T46*K46</f>
        <v>1230.45717</v>
      </c>
      <c r="W46" s="196">
        <f t="shared" ref="W46:W47" si="43">T46*L46</f>
        <v>1230.45717</v>
      </c>
      <c r="X46" s="196">
        <f t="shared" ref="X46:X48" si="44">T46*M46</f>
        <v>227.6345765</v>
      </c>
      <c r="Y46" s="196">
        <f t="shared" si="35"/>
        <v>182.1076612</v>
      </c>
      <c r="Z46" s="194"/>
      <c r="AA46" s="194"/>
      <c r="AB46" s="194"/>
    </row>
    <row r="47">
      <c r="A47" s="97"/>
      <c r="B47" s="276" t="s">
        <v>122</v>
      </c>
      <c r="C47" s="25">
        <f>Inputs!C49</f>
        <v>0</v>
      </c>
      <c r="D47" s="78"/>
      <c r="G47" s="276" t="s">
        <v>338</v>
      </c>
      <c r="H47" s="253">
        <f>3.91*1.2</f>
        <v>4.692</v>
      </c>
      <c r="I47" s="204">
        <v>1.15</v>
      </c>
      <c r="J47" s="207">
        <f t="shared" si="41"/>
        <v>34056.62077</v>
      </c>
      <c r="K47" s="196">
        <f>J47*$J$8*$C$152/SQRT(MAX(1,$C$152/8))*$J$14*(1+C130*0.15*$B$19*(1+0.2*$C$63))*$H$135*(1+0.08*C120*D120)
</f>
        <v>254412.5773</v>
      </c>
      <c r="L47" s="209">
        <f>K47/$C$152</f>
        <v>50882.51545</v>
      </c>
      <c r="M47" s="209">
        <f t="shared" si="40"/>
        <v>47066.32679</v>
      </c>
      <c r="N47" s="194"/>
      <c r="O47" s="194"/>
      <c r="P47" s="194"/>
      <c r="Q47" s="194"/>
      <c r="R47" s="194"/>
      <c r="S47" s="194"/>
      <c r="T47" s="196">
        <f>T64*(3-C137)+T38</f>
        <v>0.01101321586</v>
      </c>
      <c r="U47" s="194"/>
      <c r="V47" s="196">
        <f t="shared" si="42"/>
        <v>2801.900631</v>
      </c>
      <c r="W47" s="196">
        <f t="shared" si="43"/>
        <v>560.3801261</v>
      </c>
      <c r="X47" s="196">
        <f t="shared" si="44"/>
        <v>518.3516167</v>
      </c>
      <c r="Y47" s="196">
        <f t="shared" si="35"/>
        <v>414.6812933</v>
      </c>
      <c r="Z47" s="194"/>
      <c r="AA47" s="194"/>
      <c r="AB47" s="194"/>
    </row>
    <row r="48">
      <c r="A48" s="97"/>
      <c r="B48" s="276" t="s">
        <v>123</v>
      </c>
      <c r="C48" s="25">
        <f>Inputs!C50</f>
        <v>0</v>
      </c>
      <c r="D48" s="78"/>
      <c r="G48" s="276" t="s">
        <v>339</v>
      </c>
      <c r="H48" s="252"/>
      <c r="I48" s="203"/>
      <c r="J48" s="203"/>
      <c r="K48" s="255"/>
      <c r="L48" s="203"/>
      <c r="M48" s="196">
        <f>L7*0.2</f>
        <v>336578.92</v>
      </c>
      <c r="N48" s="194"/>
      <c r="O48" s="194"/>
      <c r="P48" s="194"/>
      <c r="Q48" s="194"/>
      <c r="R48" s="204">
        <v>120.0</v>
      </c>
      <c r="S48" s="198">
        <f t="shared" ref="S48:S50" si="45">R48+$C$151</f>
        <v>120.8</v>
      </c>
      <c r="T48" s="196">
        <f>1/S48*C34</f>
        <v>0</v>
      </c>
      <c r="U48" s="194"/>
      <c r="V48" s="194"/>
      <c r="W48" s="194"/>
      <c r="X48" s="196">
        <f t="shared" si="44"/>
        <v>0</v>
      </c>
      <c r="Y48" s="196">
        <f t="shared" si="35"/>
        <v>0</v>
      </c>
      <c r="Z48" s="194"/>
      <c r="AA48" s="194"/>
      <c r="AB48" s="194"/>
    </row>
    <row r="49">
      <c r="A49" s="97"/>
      <c r="B49" s="276" t="s">
        <v>125</v>
      </c>
      <c r="C49" s="25">
        <f>Inputs!C51</f>
        <v>2</v>
      </c>
      <c r="D49" s="78"/>
      <c r="G49" s="276" t="s">
        <v>196</v>
      </c>
      <c r="H49" s="252"/>
      <c r="I49" s="203"/>
      <c r="J49" s="203"/>
      <c r="K49" s="255"/>
      <c r="L49" s="203"/>
      <c r="M49" s="203"/>
      <c r="N49" s="194"/>
      <c r="O49" s="194"/>
      <c r="P49" s="256">
        <f>MIN(C90*C152,6)</f>
        <v>5</v>
      </c>
      <c r="Q49" s="196">
        <f t="shared" ref="Q49:Q51" si="46">1.5/$J$9</f>
        <v>0.9820799709</v>
      </c>
      <c r="R49" s="204">
        <v>90.0</v>
      </c>
      <c r="S49" s="198">
        <f t="shared" si="45"/>
        <v>90.8</v>
      </c>
      <c r="T49" s="196">
        <f>1/S49*C103*D103</f>
        <v>0</v>
      </c>
      <c r="U49" s="199">
        <f t="shared" ref="U49:U51" si="47">T49*Q49</f>
        <v>0</v>
      </c>
      <c r="V49" s="194"/>
      <c r="W49" s="194"/>
      <c r="X49" s="194"/>
      <c r="Y49" s="194"/>
      <c r="Z49" s="194"/>
      <c r="AA49" s="194"/>
      <c r="AB49" s="196">
        <f>P49*T49</f>
        <v>0</v>
      </c>
    </row>
    <row r="50">
      <c r="A50" s="97"/>
      <c r="B50" s="276" t="s">
        <v>126</v>
      </c>
      <c r="C50" s="25">
        <f>Inputs!C52</f>
        <v>0</v>
      </c>
      <c r="D50" s="78"/>
      <c r="G50" s="276" t="s">
        <v>340</v>
      </c>
      <c r="H50" s="253">
        <v>3.78</v>
      </c>
      <c r="I50" s="203"/>
      <c r="J50" s="207">
        <f>($J$6*(1+$E$116)*(1+$D$157)+$C$14*6)*H50*$J$10*$L$11</f>
        <v>23858.19091</v>
      </c>
      <c r="K50" s="255"/>
      <c r="L50" s="203"/>
      <c r="M50" s="196">
        <f>J50*$J$8*$J$15</f>
        <v>30252.39354</v>
      </c>
      <c r="N50" s="194"/>
      <c r="O50" s="194"/>
      <c r="P50" s="194"/>
      <c r="Q50" s="196">
        <f t="shared" si="46"/>
        <v>0.9820799709</v>
      </c>
      <c r="R50" s="197">
        <v>90.0</v>
      </c>
      <c r="S50" s="198">
        <f t="shared" si="45"/>
        <v>90.8</v>
      </c>
      <c r="T50" s="196">
        <f>1/S50*IF($E$29=2,1,0)</f>
        <v>0</v>
      </c>
      <c r="U50" s="199">
        <f t="shared" si="47"/>
        <v>0</v>
      </c>
      <c r="V50" s="194"/>
      <c r="W50" s="194"/>
      <c r="X50" s="196">
        <f>T50*M50</f>
        <v>0</v>
      </c>
      <c r="Y50" s="196">
        <f t="shared" ref="Y50:Y51" si="48">X50*(1-$C$144)</f>
        <v>0</v>
      </c>
      <c r="Z50" s="194"/>
      <c r="AA50" s="194"/>
      <c r="AB50" s="194"/>
    </row>
    <row r="51">
      <c r="A51" s="98"/>
      <c r="B51" s="276" t="s">
        <v>128</v>
      </c>
      <c r="C51" s="25">
        <f>Inputs!C53</f>
        <v>1</v>
      </c>
      <c r="D51" s="78"/>
      <c r="E51" s="2"/>
      <c r="G51" s="281" t="s">
        <v>175</v>
      </c>
      <c r="H51" s="253">
        <f>1.31112*1.2*1.25</f>
        <v>1.96668</v>
      </c>
      <c r="I51" s="204">
        <v>1.15</v>
      </c>
      <c r="J51" s="207">
        <f>($J$6*(1+$E$116)*(1+$D$157)+169*15/120*$C$24+$C$14*6)*H51*$J$10*$L$11*I51*(1+0.15*C93)</f>
        <v>14275.03728</v>
      </c>
      <c r="K51" s="196">
        <f>J51*$J$8*0.7*IF($C$152&lt;=5,IF($C$152&lt;3,$C$152,2+IF($C$43&gt;0,$C$152-2,0)*((14-5*C131*E137)/S40)),2+IF($C$43&gt;0,3,0)*((14-5*C131*E137)/S40))*$J$14*(1+0.08*C120*D120)</f>
        <v>74646.99259</v>
      </c>
      <c r="L51" s="196">
        <f>K51/IF($C$152&lt;=5,IF($C$152&lt;3,$C$152,2+IF($C$43&gt;0,$C$152-2,0)*((14-5*C131*E137)/S40)),2+IF($C$43&gt;0,3,0)*((14-5*C131*E137)/S40))</f>
        <v>14929.39852</v>
      </c>
      <c r="M51" s="196">
        <f>K51*$L$12+IF($C$152&lt;=5,IF($C$152&lt;3,$C$152,2+IF($C$43&gt;0,$C$152-2,0)*((14-5*C131*E137)/S40)),2+IF($C$43&gt;0,3,0)*((14-5*C131*E137)/S40))*$L$7*0.0025*$C$95</f>
        <v>13809.69363</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6"/>
        <v>0.9820799709</v>
      </c>
      <c r="R51" s="194"/>
      <c r="S51" s="194"/>
      <c r="T51" s="196">
        <f>MIN(($L$9+SUM(Z19:Z50)+SUM(Z52:Z76))/(-N51),MAX((1-SUM(U18:U41,U43:U50,U52:U76)+SUM(AA19:AA41,AA43:AA50,AA52:AA76)/O42*Q42)/Q51*(-O42/(O51-O42)),0))</f>
        <v>0.4013651534</v>
      </c>
      <c r="U51" s="199">
        <f t="shared" si="47"/>
        <v>0.3941726781</v>
      </c>
      <c r="V51" s="196">
        <f>(T51-T74+3*(1-C131*T38*(8+C110*4))*C116/(9/(1/(0.5+(2/((L14+0.3*(1-(1-(T38*(8+C110*4)))*(1-IF(C127&gt;3,1,0)*(1-0.875^(8*(T40+T43+T51+T57+T63)))))))-1+IF(C152=1,0.5,0))/C152))+9/(1/(0.5+(2/((L14+0.3*(1-(1-(T38*(8+C110*4)))*(1-IF(C127&gt;3,1,0)*(1-0.875^(8*(T40+T43+T51+T57+T63)))))))-1+IF(C152=1,0.5,0))/C152))/2*((0.8/3^(C152-1))/(1-(0.8/3^(C152-1))))+6)+1.5*(1-C131*(T38*(8+C110*4))/(1-(1-(T38*(8+C110*4)))*(1-IF(C127&gt;3,1,0)*(1-0.875^(8*(T40+T43+T51+T57+T63))))))*F127)*K51</f>
        <v>39317.57878</v>
      </c>
      <c r="W51" s="196">
        <f>(T51-T74+3*(1-C131*T38*(8+C110*4))*C116/(9/(1/(0.5+(2/((L14+0.3*(1-(1-(T38*(8+C110*4)))*(1-IF(C127&gt;3,1,0)*(1-0.875^(8*(T40+T43+T51+T57+T63)))))))-1+IF(C152=1,0.5,0))/C152))+9/(1/(0.5+(2/((L14+0.3*(1-(1-(T38*(8+C110*4)))*(1-IF(C127&gt;3,1,0)*(1-0.875^(8*(T40+T43+T51+T57+T63)))))))-1+IF(C152=1,0.5,0))/C152))/2*((0.8/3^(C152-1))/(1-(0.8/3^(C152-1))))+6)+1.5*(1-C131*(T38*(8+C110*4))/(1-(1-(T38*(8+C110*4)))*(1-IF(C127&gt;3,1,0)*(1-0.875^(8*(T40+T43+T51+T57+T63))))))*F127)*L51</f>
        <v>7863.515756</v>
      </c>
      <c r="X51" s="196">
        <f>(T51-T74)*M51</f>
        <v>2882.342487</v>
      </c>
      <c r="Y51" s="196">
        <f t="shared" si="48"/>
        <v>2305.87399</v>
      </c>
      <c r="Z51" s="196">
        <f>T51*N51</f>
        <v>-0.4013651534</v>
      </c>
      <c r="AA51" s="196">
        <f>T51*O51</f>
        <v>10.03412883</v>
      </c>
      <c r="AB51" s="194"/>
    </row>
    <row r="52">
      <c r="A52" s="329" t="s">
        <v>129</v>
      </c>
      <c r="B52" s="276" t="s">
        <v>130</v>
      </c>
      <c r="C52" s="25">
        <f>Inputs!C54</f>
        <v>1</v>
      </c>
      <c r="D52" s="78"/>
      <c r="G52" s="281"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276" t="s">
        <v>132</v>
      </c>
      <c r="C53" s="25">
        <f>Inputs!C55</f>
        <v>0</v>
      </c>
      <c r="D53" s="78"/>
      <c r="G53" s="276" t="s">
        <v>342</v>
      </c>
      <c r="H53" s="27"/>
      <c r="I53" s="194"/>
      <c r="J53" s="207">
        <f>J29*0.2</f>
        <v>4574.357007</v>
      </c>
      <c r="K53" s="196">
        <f>J53*$J$8*IF($C$152&lt;=5,IF($C$152&lt;3,$C$152,IF($C$43&gt;0,$C$152,2)*(14-5*C131*E137)/$S$40+2*($S$40-(14-5*C131*E137))/$S$40),IF($C$43&gt;0,5,2)*(14-5*C131*E137)/$S$40+2*($S$40-(14-5*C131*E137))/$S$40)*$J$14*(1+$C$131*0.05)*(1+0.08*C120*D120)</f>
        <v>35880.32593</v>
      </c>
      <c r="L53" s="196">
        <f>K53/IF($C$152&lt;=5,IF($C$152&lt;3,$C$152,IF($C$43&gt;0,$C$152,2)*(14-5*C131*E137)/$S$40+2*($S$40-(14-5*C131*E137))/$S$40),IF($C$43&gt;0,5,2)*(14-5*C131*E137)/$S$40+2*($S$40-(14-5*C131*E137))/$S$40)</f>
        <v>7176.065185</v>
      </c>
      <c r="M53" s="209">
        <f>K53*$L$12</f>
        <v>6637.860296</v>
      </c>
      <c r="N53" s="194"/>
      <c r="O53" s="194"/>
      <c r="P53" s="194"/>
      <c r="Q53" s="194"/>
      <c r="R53" s="194"/>
      <c r="S53" s="194"/>
      <c r="T53" s="196">
        <f>C131*T74</f>
        <v>0.1926463675</v>
      </c>
      <c r="U53" s="194"/>
      <c r="V53" s="196">
        <f>T53*K53*C131</f>
        <v>6912.214456</v>
      </c>
      <c r="W53" s="196">
        <f>T53*L53*C131</f>
        <v>1382.442891</v>
      </c>
      <c r="X53" s="196">
        <f>T53*M53*C131</f>
        <v>1278.759674</v>
      </c>
      <c r="Y53" s="196">
        <f>X53*(1-$C$144)</f>
        <v>1023.007739</v>
      </c>
      <c r="Z53" s="195"/>
      <c r="AA53" s="195"/>
      <c r="AB53" s="194"/>
    </row>
    <row r="54">
      <c r="A54" s="97"/>
      <c r="B54" s="276" t="s">
        <v>133</v>
      </c>
      <c r="C54" s="25">
        <f>Inputs!C56</f>
        <v>1</v>
      </c>
      <c r="D54" s="78"/>
      <c r="G54" s="276"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276" t="s">
        <v>134</v>
      </c>
      <c r="C55" s="25">
        <f>Inputs!C57</f>
        <v>1</v>
      </c>
      <c r="D55" s="78"/>
      <c r="G55" s="276" t="s">
        <v>204</v>
      </c>
      <c r="H55" s="27"/>
      <c r="I55" s="194"/>
      <c r="J55" s="194"/>
      <c r="K55" s="194"/>
      <c r="L55" s="255"/>
      <c r="M55" s="196">
        <f>M42*0.2/(1+C99*0.08*MIN((T25+C108*T51*(1-(1-0.15)*(1-0.15*MAX(4,C152-1))))/T42*C152,5))</f>
        <v>136322.5604</v>
      </c>
      <c r="N55" s="194"/>
      <c r="O55" s="194"/>
      <c r="P55" s="194"/>
      <c r="Q55" s="194"/>
      <c r="R55" s="194"/>
      <c r="S55" s="194"/>
      <c r="T55" s="196">
        <f>T42*C109</f>
        <v>0.4021544521</v>
      </c>
      <c r="U55" s="194"/>
      <c r="V55" s="255"/>
      <c r="W55" s="255"/>
      <c r="X55" s="196">
        <f t="shared" ref="X55:X57" si="49">T55*M55</f>
        <v>54822.72458</v>
      </c>
      <c r="Y55" s="196">
        <f t="shared" ref="Y55:Y57" si="50">X55*(1-$C$144)</f>
        <v>43858.17967</v>
      </c>
      <c r="Z55" s="195"/>
      <c r="AA55" s="195"/>
      <c r="AB55" s="194"/>
    </row>
    <row r="56">
      <c r="A56" s="97"/>
      <c r="B56" s="276" t="s">
        <v>135</v>
      </c>
      <c r="C56" s="25">
        <f>Inputs!C58</f>
        <v>0</v>
      </c>
      <c r="D56" s="78"/>
      <c r="G56" s="276" t="s">
        <v>344</v>
      </c>
      <c r="H56" s="253">
        <v>4.2</v>
      </c>
      <c r="I56" s="194"/>
      <c r="J56" s="207">
        <f>($J$6*(1+$E$116)*(1+$D$157)+$C$14*6)*H56*$J$10*$L$11</f>
        <v>26509.10101</v>
      </c>
      <c r="K56" s="196">
        <f>J56*$J$8*$C$152/SQRT(MAX(1,$C$152/8))*$J$14*(1+0.08*C120*D120)
</f>
        <v>198030.4727</v>
      </c>
      <c r="L56" s="196">
        <f>K56/$C$152</f>
        <v>39606.09454</v>
      </c>
      <c r="M56" s="196">
        <f t="shared" ref="M56:M57" si="51">K56*$L$12</f>
        <v>36635.63745</v>
      </c>
      <c r="N56" s="194"/>
      <c r="O56" s="194"/>
      <c r="P56" s="194"/>
      <c r="Q56" s="196">
        <f t="shared" ref="Q56:Q57" si="52">1.5/$J$9</f>
        <v>0.9820799709</v>
      </c>
      <c r="R56" s="204">
        <v>150.0</v>
      </c>
      <c r="S56" s="198">
        <f>R56+$C$151</f>
        <v>150.8</v>
      </c>
      <c r="T56" s="196">
        <f>1/S56*E31</f>
        <v>0</v>
      </c>
      <c r="U56" s="199">
        <f t="shared" ref="U56:U57" si="53">T56*Q56</f>
        <v>0</v>
      </c>
      <c r="V56" s="196">
        <f t="shared" ref="V56:V57" si="54">T56*K56</f>
        <v>0</v>
      </c>
      <c r="W56" s="196">
        <f t="shared" ref="W56:W57" si="55">T56*L56</f>
        <v>0</v>
      </c>
      <c r="X56" s="196">
        <f t="shared" si="49"/>
        <v>0</v>
      </c>
      <c r="Y56" s="196">
        <f t="shared" si="50"/>
        <v>0</v>
      </c>
      <c r="Z56" s="195"/>
      <c r="AA56" s="195"/>
      <c r="AB56" s="194"/>
    </row>
    <row r="57">
      <c r="A57" s="97"/>
      <c r="B57" s="276" t="s">
        <v>136</v>
      </c>
      <c r="C57" s="25">
        <f>Inputs!C59</f>
        <v>1</v>
      </c>
      <c r="D57" s="78"/>
      <c r="G57" s="281" t="s">
        <v>176</v>
      </c>
      <c r="H57" s="253">
        <f>1.471*1.5</f>
        <v>2.2065</v>
      </c>
      <c r="I57" s="204">
        <v>1.15</v>
      </c>
      <c r="J57" s="207">
        <f>($J$6*(1+$E$116)*(1+$D$157)+169*15/120*$C$24+$C$14*6)*H57*$J$10*$L$11*I57</f>
        <v>16015.7574</v>
      </c>
      <c r="K57" s="196">
        <f>J57*$J$8*0.7*$J$14*(1+0.08*C120*D120)
</f>
        <v>16749.91246</v>
      </c>
      <c r="L57" s="196">
        <f>K57</f>
        <v>16749.91246</v>
      </c>
      <c r="M57" s="196">
        <f t="shared" si="51"/>
        <v>3098.733804</v>
      </c>
      <c r="N57" s="197">
        <v>-2.0</v>
      </c>
      <c r="O57" s="211">
        <f>20</f>
        <v>20</v>
      </c>
      <c r="P57" s="204">
        <v>3.0</v>
      </c>
      <c r="Q57" s="196">
        <f t="shared" si="52"/>
        <v>0.9820799709</v>
      </c>
      <c r="R57" s="194"/>
      <c r="S57" s="194"/>
      <c r="T57" s="196">
        <f>MAX((L15-SUM(AB19:AB56)-SUM(AB58:AB76))/3,T47)</f>
        <v>0.0906189567</v>
      </c>
      <c r="U57" s="199">
        <f t="shared" si="53"/>
        <v>0.08899506236</v>
      </c>
      <c r="V57" s="196">
        <f t="shared" si="54"/>
        <v>1517.859592</v>
      </c>
      <c r="W57" s="196">
        <f t="shared" si="55"/>
        <v>1517.859592</v>
      </c>
      <c r="X57" s="196">
        <f t="shared" si="49"/>
        <v>280.8040245</v>
      </c>
      <c r="Y57" s="196">
        <f t="shared" si="50"/>
        <v>224.6432196</v>
      </c>
      <c r="Z57" s="196">
        <f>(T57-T47/(2))*N57</f>
        <v>-0.1702246976</v>
      </c>
      <c r="AA57" s="196">
        <f t="shared" ref="AA57:AA58" si="56">T57*O57</f>
        <v>1.812379134</v>
      </c>
      <c r="AB57" s="196">
        <f>P57*T57</f>
        <v>0.2718568701</v>
      </c>
    </row>
    <row r="58">
      <c r="A58" s="97"/>
      <c r="B58" s="276" t="s">
        <v>137</v>
      </c>
      <c r="C58" s="25">
        <f>Inputs!C60</f>
        <v>0</v>
      </c>
      <c r="D58" s="78"/>
      <c r="G58" s="276"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6"/>
        <v>0</v>
      </c>
      <c r="AB58" s="194"/>
    </row>
    <row r="59">
      <c r="A59" s="329" t="s">
        <v>138</v>
      </c>
      <c r="B59" s="276" t="s">
        <v>139</v>
      </c>
      <c r="C59" s="25">
        <f>Inputs!C61</f>
        <v>1</v>
      </c>
      <c r="D59" s="264">
        <f>Inputs!D61</f>
        <v>0.9</v>
      </c>
      <c r="E59" s="2"/>
      <c r="G59" s="276" t="s">
        <v>249</v>
      </c>
      <c r="H59" s="27"/>
      <c r="I59" s="278"/>
      <c r="J59" s="194"/>
      <c r="K59" s="256">
        <f>SUM(V25,V26,K28/10*C118,V29,V35,V40,V43,V53,K68/10*C123,IF(C131=1,V74*T51/T74,0))*10*0.15*0.15*$C$152/SQRT(MAX(1,$C$152/8))*(1+$C$131*0.05*MIN(1,5/$C$152))*J10*(1+0.08*C120*D120)</f>
        <v>175087.9624</v>
      </c>
      <c r="L59" s="209">
        <f>K59/$C$152</f>
        <v>35017.59249</v>
      </c>
      <c r="M59" s="196">
        <f>K59/((1+$C$131*0.05*MIN(1,5/$C$152)))/$C$152</f>
        <v>33350.08809</v>
      </c>
      <c r="N59" s="195"/>
      <c r="O59" s="195"/>
      <c r="P59" s="194"/>
      <c r="Q59" s="194"/>
      <c r="R59" s="194"/>
      <c r="S59" s="194"/>
      <c r="T59" s="196">
        <f>T24*C131*E141</f>
        <v>0.01101321586</v>
      </c>
      <c r="U59" s="278"/>
      <c r="V59" s="196">
        <f>T59*K59</f>
        <v>1928.281525</v>
      </c>
      <c r="W59" s="196">
        <f>T59*L59</f>
        <v>385.6563049</v>
      </c>
      <c r="X59" s="196">
        <f>T59*M59</f>
        <v>367.291719</v>
      </c>
      <c r="Y59" s="196">
        <f>X59*(1-$C$144)</f>
        <v>293.8333752</v>
      </c>
      <c r="Z59" s="194"/>
      <c r="AA59" s="194"/>
      <c r="AB59" s="194"/>
    </row>
    <row r="60">
      <c r="A60" s="97"/>
      <c r="B60" s="276" t="s">
        <v>140</v>
      </c>
      <c r="C60" s="25">
        <f>Inputs!C62</f>
        <v>1</v>
      </c>
      <c r="D60" s="78"/>
      <c r="G60" s="276" t="s">
        <v>133</v>
      </c>
      <c r="H60" s="27"/>
      <c r="I60" s="278"/>
      <c r="J60" s="194"/>
      <c r="K60" s="194"/>
      <c r="L60" s="195"/>
      <c r="M60" s="196">
        <f>K23*0.5*(1+0.15*C46)*(1+C130)</f>
        <v>9653.985544</v>
      </c>
      <c r="N60" s="195"/>
      <c r="O60" s="195"/>
      <c r="P60" s="194"/>
      <c r="Q60" s="194"/>
      <c r="R60" s="194"/>
      <c r="S60" s="194"/>
      <c r="T60" s="196">
        <f>T23*C54</f>
        <v>0.7267040366</v>
      </c>
      <c r="U60" s="278"/>
      <c r="V60" s="194"/>
      <c r="W60" s="194"/>
      <c r="X60" s="196">
        <f>T60*M60+C130*T47*(K46+K47)*0.1*(1+0.15*C46)*C54</f>
        <v>7015.590264</v>
      </c>
      <c r="Y60" s="196">
        <f>X60</f>
        <v>7015.590264</v>
      </c>
      <c r="Z60" s="194"/>
      <c r="AA60" s="194"/>
      <c r="AB60" s="194"/>
    </row>
    <row r="61">
      <c r="A61" s="97"/>
      <c r="B61" s="276" t="s">
        <v>141</v>
      </c>
      <c r="C61" s="25">
        <f>Inputs!C63</f>
        <v>1</v>
      </c>
      <c r="D61" s="264">
        <f>Inputs!D63</f>
        <v>0</v>
      </c>
      <c r="G61" s="276" t="s">
        <v>111</v>
      </c>
      <c r="H61" s="218">
        <f>0.5875*2/6*1.075</f>
        <v>0.2105208333</v>
      </c>
      <c r="I61" s="204">
        <v>1.0</v>
      </c>
      <c r="J61" s="219">
        <f>($J$6*(1+$E$116)*(1+$D$157)+169*15/120*$C$24+$C$14*6)*H61*$J$10*$L$11*I61*(1+0.01*C24)</f>
        <v>1328.74239</v>
      </c>
      <c r="K61" s="196">
        <f>J61*$J$8*0.7*(INT($J$9*60/2+1)+(60*$J$9*10+25)/40*1.35)*$J$14*(1+$C$131*0.05)</f>
        <v>109962.428</v>
      </c>
      <c r="L61" s="196">
        <f t="shared" ref="L61:L65" si="57">K61</f>
        <v>109962.428</v>
      </c>
      <c r="M61" s="195"/>
      <c r="N61" s="195"/>
      <c r="O61" s="195"/>
      <c r="P61" s="194"/>
      <c r="Q61" s="194"/>
      <c r="R61" s="197">
        <v>120.0</v>
      </c>
      <c r="S61" s="256">
        <f>120-30*C130*C138</f>
        <v>120</v>
      </c>
      <c r="T61" s="196">
        <f>1/S61*C40</f>
        <v>0.008333333333</v>
      </c>
      <c r="U61" s="194"/>
      <c r="V61" s="196">
        <f t="shared" ref="V61:V65" si="58">T61*K61</f>
        <v>916.3535669</v>
      </c>
      <c r="W61" s="196">
        <f t="shared" ref="W61:W65" si="59">T61*L61</f>
        <v>916.3535669</v>
      </c>
      <c r="X61" s="194"/>
      <c r="Y61" s="194"/>
      <c r="Z61" s="194"/>
      <c r="AA61" s="194"/>
      <c r="AB61" s="194"/>
    </row>
    <row r="62">
      <c r="A62" s="97"/>
      <c r="B62" s="276" t="s">
        <v>142</v>
      </c>
      <c r="C62" s="25">
        <f>Inputs!C64</f>
        <v>0</v>
      </c>
      <c r="D62" s="78"/>
      <c r="G62" s="276" t="s">
        <v>72</v>
      </c>
      <c r="H62" s="253">
        <v>0.01127</v>
      </c>
      <c r="I62" s="204">
        <v>1.15</v>
      </c>
      <c r="J62" s="207">
        <f>($J$6*(1+$E$116)*(1+$D$157)+169*15/120*$C$24+$C$14*6)*H62*$J$10*$L$11*I62*(1+0.01*E25)</f>
        <v>81.80266754</v>
      </c>
      <c r="K62" s="209">
        <f>J62*$J$8*$J$14*(1+0.2*C63)*(1+0.08*C120*D120)*(1+0.15*$B$19*(1+0.2*$C$63))</f>
        <v>146.6613681</v>
      </c>
      <c r="L62" s="196">
        <f t="shared" si="57"/>
        <v>146.6613681</v>
      </c>
      <c r="M62" s="196">
        <f t="shared" ref="M62:M65" si="60">K62*$L$12</f>
        <v>27.13235309</v>
      </c>
      <c r="N62" s="194"/>
      <c r="O62" s="194"/>
      <c r="P62" s="194"/>
      <c r="Q62" s="194"/>
      <c r="R62" s="194"/>
      <c r="S62" s="194"/>
      <c r="T62" s="196">
        <f>$B$19*(T23+T35*$C$152+T42*MIN((C152-1)*C106+1,2*C106+1)+T51*IF($C$152&lt;=5,IF($C$152&lt;3,$C$152,2+IF(C43&gt;0,$C$152-2,0)*10/S40+2*(S40-10)/S40),2+IF(C43&gt;0,3,0)*10/S40+2*(S40-10)/S40)+T57)</f>
        <v>0</v>
      </c>
      <c r="U62" s="194"/>
      <c r="V62" s="196">
        <f t="shared" si="58"/>
        <v>0</v>
      </c>
      <c r="W62" s="196">
        <f t="shared" si="59"/>
        <v>0</v>
      </c>
      <c r="X62" s="196">
        <f t="shared" ref="X62:X66" si="61">T62*M62</f>
        <v>0</v>
      </c>
      <c r="Y62" s="196">
        <f t="shared" ref="Y62:Y66" si="62">X62*(1-$C$144)</f>
        <v>0</v>
      </c>
      <c r="Z62" s="194"/>
      <c r="AA62" s="194"/>
      <c r="AB62" s="194"/>
    </row>
    <row r="63">
      <c r="A63" s="97"/>
      <c r="B63" s="276" t="s">
        <v>143</v>
      </c>
      <c r="C63" s="25">
        <f>Inputs!C65</f>
        <v>1</v>
      </c>
      <c r="D63" s="78"/>
      <c r="G63" s="276" t="s">
        <v>345</v>
      </c>
      <c r="H63" s="253">
        <f>3.07125*1.2*1.2</f>
        <v>4.4226</v>
      </c>
      <c r="I63" s="204">
        <v>1.15</v>
      </c>
      <c r="J63" s="207">
        <f>($J$6*(1+$E$116)*(1+$D$157)+169*15/120*$C$24+$C$14*6)*H63*$J$10*$L$11*I63*(1+0.01*E25)*1.05</f>
        <v>33706.25566</v>
      </c>
      <c r="K63" s="196">
        <f>J63*$J$8*$J$14*(1+0.15*$B$19*(1+0.2*$C$63))*(1+0.08*C120*D120)</f>
        <v>50359.05019</v>
      </c>
      <c r="L63" s="196">
        <f t="shared" si="57"/>
        <v>50359.05019</v>
      </c>
      <c r="M63" s="196">
        <f t="shared" si="60"/>
        <v>9316.424285</v>
      </c>
      <c r="N63" s="197">
        <v>-2.0</v>
      </c>
      <c r="O63" s="211">
        <f>20</f>
        <v>20</v>
      </c>
      <c r="P63" s="204">
        <f>3</f>
        <v>3</v>
      </c>
      <c r="Q63" s="196">
        <f>1.5/$J$9</f>
        <v>0.9820799709</v>
      </c>
      <c r="R63" s="204">
        <v>45.0</v>
      </c>
      <c r="S63" s="198">
        <f>2*R63/(2+C137)+$C$151</f>
        <v>45.8</v>
      </c>
      <c r="T63" s="196">
        <f>1/S63*C130</f>
        <v>0</v>
      </c>
      <c r="U63" s="199">
        <f>T63*Q63</f>
        <v>0</v>
      </c>
      <c r="V63" s="196">
        <f t="shared" si="58"/>
        <v>0</v>
      </c>
      <c r="W63" s="196">
        <f t="shared" si="59"/>
        <v>0</v>
      </c>
      <c r="X63" s="196">
        <f t="shared" si="61"/>
        <v>0</v>
      </c>
      <c r="Y63" s="196">
        <f t="shared" si="62"/>
        <v>0</v>
      </c>
      <c r="Z63" s="196">
        <f>T63*N63</f>
        <v>0</v>
      </c>
      <c r="AA63" s="196">
        <f>T63*O63</f>
        <v>0</v>
      </c>
      <c r="AB63" s="196">
        <f>P63*T63</f>
        <v>0</v>
      </c>
    </row>
    <row r="64">
      <c r="A64" s="329" t="s">
        <v>144</v>
      </c>
      <c r="B64" s="276" t="s">
        <v>145</v>
      </c>
      <c r="C64" s="25">
        <f>Inputs!C66</f>
        <v>0</v>
      </c>
      <c r="D64" s="78"/>
      <c r="G64" s="276" t="s">
        <v>346</v>
      </c>
      <c r="H64" s="253">
        <f>0.3779*1.2</f>
        <v>0.45348</v>
      </c>
      <c r="I64" s="204">
        <v>1.15</v>
      </c>
      <c r="J64" s="207">
        <f>($J$6*(1+$E$116)*(1+$D$157)+169*15/120*$C$24+$C$14*6)*H64*$J$10*$L$11*I64*(1+0.01*E25)*1.05</f>
        <v>3456.137299</v>
      </c>
      <c r="K64" s="196">
        <f>J64*$J$8*$J$14*(1+0.15*$B$19*(1+0.2*$C$63))*$H$134*(1+0.15)*(1+0.05*(1+H8))*(1+0.08*C120*D120)</f>
        <v>252008.7672</v>
      </c>
      <c r="L64" s="196">
        <f t="shared" si="57"/>
        <v>252008.7672</v>
      </c>
      <c r="M64" s="196">
        <f t="shared" si="60"/>
        <v>46621.62194</v>
      </c>
      <c r="N64" s="194"/>
      <c r="O64" s="194"/>
      <c r="P64" s="194"/>
      <c r="Q64" s="194"/>
      <c r="R64" s="194"/>
      <c r="S64" s="194"/>
      <c r="T64" s="196">
        <f>T63</f>
        <v>0</v>
      </c>
      <c r="U64" s="194"/>
      <c r="V64" s="196">
        <f t="shared" si="58"/>
        <v>0</v>
      </c>
      <c r="W64" s="196">
        <f t="shared" si="59"/>
        <v>0</v>
      </c>
      <c r="X64" s="196">
        <f t="shared" si="61"/>
        <v>0</v>
      </c>
      <c r="Y64" s="196">
        <f t="shared" si="62"/>
        <v>0</v>
      </c>
      <c r="Z64" s="194"/>
      <c r="AA64" s="194"/>
      <c r="AB64" s="194"/>
    </row>
    <row r="65">
      <c r="A65" s="97"/>
      <c r="B65" s="276" t="s">
        <v>146</v>
      </c>
      <c r="C65" s="25">
        <f>Inputs!C67</f>
        <v>0</v>
      </c>
      <c r="D65" s="78"/>
      <c r="G65" s="281" t="s">
        <v>347</v>
      </c>
      <c r="H65" s="263">
        <v>0.5</v>
      </c>
      <c r="I65" s="194"/>
      <c r="J65" s="219">
        <f>(360+343*0.429/0.5*(1+0.05*C21)+$J$6*(1+$E$116)*(1+$D$157)+$C$14*6)*H65*$J$10*$L$11</f>
        <v>3655.073927</v>
      </c>
      <c r="K65" s="209">
        <f>J65*$J$8*$J$14*(1+0.08*C120*D120)</f>
        <v>5460.88694</v>
      </c>
      <c r="L65" s="196">
        <f t="shared" si="57"/>
        <v>5460.88694</v>
      </c>
      <c r="M65" s="196">
        <f t="shared" si="60"/>
        <v>1010.264084</v>
      </c>
      <c r="N65" s="194"/>
      <c r="O65" s="194"/>
      <c r="P65" s="194"/>
      <c r="Q65" s="196">
        <f>1.5/$J$9</f>
        <v>0.9820799709</v>
      </c>
      <c r="R65" s="197">
        <v>90.0</v>
      </c>
      <c r="S65" s="198">
        <f>R65+$C$151</f>
        <v>90.8</v>
      </c>
      <c r="T65" s="196">
        <f>1/S65*C29</f>
        <v>0</v>
      </c>
      <c r="U65" s="199">
        <f>T65*Q65</f>
        <v>0</v>
      </c>
      <c r="V65" s="196">
        <f t="shared" si="58"/>
        <v>0</v>
      </c>
      <c r="W65" s="196">
        <f t="shared" si="59"/>
        <v>0</v>
      </c>
      <c r="X65" s="196">
        <f t="shared" si="61"/>
        <v>0</v>
      </c>
      <c r="Y65" s="196">
        <f t="shared" si="62"/>
        <v>0</v>
      </c>
      <c r="Z65" s="194"/>
      <c r="AA65" s="194"/>
      <c r="AB65" s="194"/>
    </row>
    <row r="66">
      <c r="A66" s="97"/>
      <c r="B66" s="276" t="s">
        <v>147</v>
      </c>
      <c r="C66" s="25">
        <f>Inputs!C68</f>
        <v>1</v>
      </c>
      <c r="D66" s="78"/>
      <c r="E66" s="2"/>
      <c r="G66" s="276" t="s">
        <v>348</v>
      </c>
      <c r="H66" s="27"/>
      <c r="I66" s="194"/>
      <c r="J66" s="194"/>
      <c r="K66" s="194"/>
      <c r="L66" s="194"/>
      <c r="M66" s="196">
        <f>$L$7*0.48*(1+0.2*C63)</f>
        <v>969347.2896</v>
      </c>
      <c r="N66" s="194"/>
      <c r="O66" s="194"/>
      <c r="P66" s="194"/>
      <c r="Q66" s="194"/>
      <c r="R66" s="204">
        <v>360.0</v>
      </c>
      <c r="S66" s="204">
        <v>360.0</v>
      </c>
      <c r="T66" s="196">
        <f>1/S66*C19</f>
        <v>0.002777777778</v>
      </c>
      <c r="U66" s="194"/>
      <c r="V66" s="194"/>
      <c r="W66" s="194"/>
      <c r="X66" s="196">
        <f t="shared" si="61"/>
        <v>2692.63136</v>
      </c>
      <c r="Y66" s="196">
        <f t="shared" si="62"/>
        <v>2154.105088</v>
      </c>
      <c r="Z66" s="194"/>
      <c r="AA66" s="194"/>
      <c r="AB66" s="194"/>
    </row>
    <row r="67">
      <c r="A67" s="97"/>
      <c r="B67" s="276" t="s">
        <v>148</v>
      </c>
      <c r="C67" s="25">
        <f>Inputs!C69</f>
        <v>1</v>
      </c>
      <c r="D67" s="78"/>
      <c r="E67" s="2"/>
      <c r="G67" s="276" t="s">
        <v>113</v>
      </c>
      <c r="H67" s="27"/>
      <c r="I67" s="194"/>
      <c r="J67" s="194"/>
      <c r="K67" s="194"/>
      <c r="L67" s="194"/>
      <c r="M67" s="194"/>
      <c r="N67" s="194"/>
      <c r="O67" s="211">
        <v>3.0</v>
      </c>
      <c r="P67" s="194"/>
      <c r="Q67" s="194"/>
      <c r="R67" s="285">
        <f>60/10.8</f>
        <v>5.555555556</v>
      </c>
      <c r="S67" s="198">
        <f>1/(10.8*J9*1.13/60)</f>
        <v>3.218878961</v>
      </c>
      <c r="T67" s="196">
        <f>1/S67*C41</f>
        <v>0.3106671646</v>
      </c>
      <c r="U67" s="194"/>
      <c r="V67" s="194"/>
      <c r="W67" s="194"/>
      <c r="X67" s="194"/>
      <c r="Y67" s="194"/>
      <c r="Z67" s="194"/>
      <c r="AA67" s="196">
        <f>T67*O67</f>
        <v>0.9320014939</v>
      </c>
      <c r="AB67" s="194"/>
    </row>
    <row r="68">
      <c r="A68" s="97"/>
      <c r="B68" s="276" t="s">
        <v>149</v>
      </c>
      <c r="C68" s="25">
        <f>Inputs!C70</f>
        <v>1</v>
      </c>
      <c r="D68" s="78"/>
      <c r="G68" s="276" t="s">
        <v>220</v>
      </c>
      <c r="H68" s="253">
        <v>2.76</v>
      </c>
      <c r="I68" s="194"/>
      <c r="J68" s="207">
        <f>($J$6*(1+$E$116)*(1+$D$157)+169*15/120*$C$24+$C$14*6)*H68*$J$10*$L$11*(1+0.01*$E$25)</f>
        <v>17420.26638</v>
      </c>
      <c r="K68" s="196">
        <f>J68*$J$8*$J$14*(1+$C$131*0.05*MIN(1,5/$C$152))*$C$152/SQRT(MAX(1,$C$152/8))*(1+0.02*-AA42*8*((O42-5*IF(C42&gt;0,1,0))/O42))*(1+0.08*C120*D120)</f>
        <v>488326.127</v>
      </c>
      <c r="L68" s="209">
        <f t="shared" ref="L68:L69" si="63">K68/$C$152</f>
        <v>97665.22541</v>
      </c>
      <c r="M68" s="196">
        <f>K68*(0.18+$L$12)</f>
        <v>178239.0364</v>
      </c>
      <c r="N68" s="194"/>
      <c r="O68" s="194"/>
      <c r="P68" s="194"/>
      <c r="Q68" s="194"/>
      <c r="R68" s="194"/>
      <c r="S68" s="194"/>
      <c r="T68" s="196">
        <f>T28*C123</f>
        <v>0</v>
      </c>
      <c r="U68" s="194"/>
      <c r="V68" s="196">
        <f t="shared" ref="V68:V69" si="64">T68*K68</f>
        <v>0</v>
      </c>
      <c r="W68" s="196">
        <f t="shared" ref="W68:W69" si="65">T68*L68</f>
        <v>0</v>
      </c>
      <c r="X68" s="196">
        <f t="shared" ref="X68:X69" si="66">T68*M68</f>
        <v>0</v>
      </c>
      <c r="Y68" s="196">
        <f t="shared" ref="Y68:Y69" si="67">X68*(1-$C$144)</f>
        <v>0</v>
      </c>
      <c r="Z68" s="194"/>
      <c r="AA68" s="194"/>
      <c r="AB68" s="194"/>
    </row>
    <row r="69">
      <c r="A69" s="97"/>
      <c r="B69" s="276" t="s">
        <v>151</v>
      </c>
      <c r="C69" s="25">
        <f>Inputs!C71</f>
        <v>1</v>
      </c>
      <c r="D69" s="78"/>
      <c r="G69" s="276" t="s">
        <v>349</v>
      </c>
      <c r="H69" s="27"/>
      <c r="I69" s="204">
        <v>1.15</v>
      </c>
      <c r="J69" s="194"/>
      <c r="K69" s="196">
        <f>K64*1/10*($C$152-1)*$I$69*1.05*IF(D100=2,(1+0.06*C119*(1-T40*(1-(0.75)^((5+(H15/2))/H15))/(1+3*(1-(0.75)^((5+(H15/2))/H15))*C82)/(1-(0.75)^((5+(H15/2))/H15)))),(1+0.06*(14-5*C131*E137)*C119*(1/S40)))</f>
        <v>129023.4487</v>
      </c>
      <c r="L69" s="196">
        <f t="shared" si="63"/>
        <v>25804.68973</v>
      </c>
      <c r="M69" s="196">
        <f>K69*$L$12</f>
        <v>23869.338</v>
      </c>
      <c r="N69" s="194"/>
      <c r="O69" s="194"/>
      <c r="P69" s="194"/>
      <c r="Q69" s="194"/>
      <c r="R69" s="194"/>
      <c r="S69" s="194"/>
      <c r="T69" s="196">
        <f>T64</f>
        <v>0</v>
      </c>
      <c r="U69" s="194"/>
      <c r="V69" s="196">
        <f t="shared" si="64"/>
        <v>0</v>
      </c>
      <c r="W69" s="196">
        <f t="shared" si="65"/>
        <v>0</v>
      </c>
      <c r="X69" s="196">
        <f t="shared" si="66"/>
        <v>0</v>
      </c>
      <c r="Y69" s="196">
        <f t="shared" si="67"/>
        <v>0</v>
      </c>
      <c r="Z69" s="194"/>
      <c r="AA69" s="194"/>
      <c r="AB69" s="194"/>
    </row>
    <row r="70">
      <c r="A70" s="329" t="s">
        <v>152</v>
      </c>
      <c r="B70" s="276" t="s">
        <v>153</v>
      </c>
      <c r="C70" s="25">
        <f>Inputs!C72</f>
        <v>0</v>
      </c>
      <c r="D70" s="78"/>
      <c r="E70" s="2"/>
      <c r="G70" s="276"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276" t="s">
        <v>154</v>
      </c>
      <c r="C71" s="25">
        <f>Inputs!C73</f>
        <v>1</v>
      </c>
      <c r="D71" s="78"/>
      <c r="G71" s="281" t="s">
        <v>351</v>
      </c>
      <c r="H71" s="263">
        <f>1.25*0.25</f>
        <v>0.3125</v>
      </c>
      <c r="I71" s="194"/>
      <c r="J71" s="207">
        <f>($J$6*(1+$E$116)*(1+$D$157)+$C$14*6)*H71*$J$10*$L$11</f>
        <v>1972.403349</v>
      </c>
      <c r="K71" s="196">
        <f>J71*$J$8*$J$14*(1+0.08*C120*D120)*(1+$C$131*0.05*MIN(1,5/$C$152))</f>
        <v>3094.226136</v>
      </c>
      <c r="L71" s="196">
        <f>K71</f>
        <v>3094.226136</v>
      </c>
      <c r="M71" s="196">
        <f>K71*(1+$L$12)</f>
        <v>3666.657971</v>
      </c>
      <c r="N71" s="194"/>
      <c r="O71" s="194"/>
      <c r="P71" s="194"/>
      <c r="Q71" s="195"/>
      <c r="R71" s="197">
        <v>15.0</v>
      </c>
      <c r="S71" s="288">
        <f>15</f>
        <v>15</v>
      </c>
      <c r="T71" s="196">
        <f>1/S71*C25</f>
        <v>0</v>
      </c>
      <c r="U71" s="222"/>
      <c r="V71" s="196">
        <f>T71*K71</f>
        <v>0</v>
      </c>
      <c r="W71" s="196">
        <f>T71*L71</f>
        <v>0</v>
      </c>
      <c r="X71" s="196">
        <f t="shared" ref="X71:X75" si="68">T71*M71</f>
        <v>0</v>
      </c>
      <c r="Y71" s="196">
        <f>X71*(1-$C$144)</f>
        <v>0</v>
      </c>
      <c r="Z71" s="194"/>
      <c r="AA71" s="194"/>
      <c r="AB71" s="194"/>
    </row>
    <row r="72">
      <c r="A72" s="98"/>
      <c r="B72" s="276" t="s">
        <v>155</v>
      </c>
      <c r="C72" s="25">
        <f>Inputs!C74</f>
        <v>0</v>
      </c>
      <c r="D72" s="78"/>
      <c r="E72" s="2"/>
      <c r="G72" s="276" t="s">
        <v>223</v>
      </c>
      <c r="H72" s="27"/>
      <c r="I72" s="194"/>
      <c r="J72" s="194"/>
      <c r="K72" s="194"/>
      <c r="L72" s="194"/>
      <c r="M72" s="196">
        <f>MIN(L7,V29*(10+2*C92)*6)*J10*(1+0.15*C46)</f>
        <v>1511079.362</v>
      </c>
      <c r="N72" s="194"/>
      <c r="O72" s="194"/>
      <c r="P72" s="194"/>
      <c r="Q72" s="194"/>
      <c r="R72" s="194"/>
      <c r="S72" s="194"/>
      <c r="T72" s="196">
        <f>T76*C126</f>
        <v>0.04685817352</v>
      </c>
      <c r="U72" s="194"/>
      <c r="V72" s="194"/>
      <c r="W72" s="194"/>
      <c r="X72" s="196">
        <f t="shared" si="68"/>
        <v>70806.41894</v>
      </c>
      <c r="Y72" s="196">
        <f>X72</f>
        <v>70806.41894</v>
      </c>
      <c r="Z72" s="194"/>
      <c r="AA72" s="194"/>
      <c r="AB72" s="194"/>
    </row>
    <row r="73">
      <c r="A73" s="329" t="s">
        <v>156</v>
      </c>
      <c r="B73" s="276" t="s">
        <v>157</v>
      </c>
      <c r="C73" s="25">
        <f>Inputs!C75</f>
        <v>0</v>
      </c>
      <c r="D73" s="78"/>
      <c r="G73" s="281" t="s">
        <v>352</v>
      </c>
      <c r="H73" s="27"/>
      <c r="I73" s="194"/>
      <c r="J73" s="194"/>
      <c r="K73" s="194"/>
      <c r="L73" s="194"/>
      <c r="M73" s="196">
        <f>$L$7*0.04*(1+0.2*C63)</f>
        <v>80778.9408</v>
      </c>
      <c r="N73" s="194"/>
      <c r="O73" s="194"/>
      <c r="P73" s="194"/>
      <c r="Q73" s="194"/>
      <c r="R73" s="197">
        <f>60/3</f>
        <v>20</v>
      </c>
      <c r="S73" s="196">
        <f>R73/1.13/$J$9</f>
        <v>11.58796426</v>
      </c>
      <c r="T73" s="196">
        <f>1/S73*B21</f>
        <v>0</v>
      </c>
      <c r="U73" s="194"/>
      <c r="V73" s="194"/>
      <c r="W73" s="194"/>
      <c r="X73" s="196">
        <f t="shared" si="68"/>
        <v>0</v>
      </c>
      <c r="Y73" s="196">
        <f t="shared" ref="Y73:Y75" si="69">X73*(1-$C$144)</f>
        <v>0</v>
      </c>
      <c r="Z73" s="194"/>
      <c r="AA73" s="194"/>
      <c r="AB73" s="194"/>
    </row>
    <row r="74">
      <c r="A74" s="97"/>
      <c r="B74" s="276" t="s">
        <v>158</v>
      </c>
      <c r="C74" s="25">
        <f>Inputs!C76</f>
        <v>1</v>
      </c>
      <c r="D74" s="78"/>
      <c r="G74" s="276" t="s">
        <v>353</v>
      </c>
      <c r="H74" s="289">
        <f>0.907*1.25</f>
        <v>1.13375</v>
      </c>
      <c r="I74" s="204">
        <v>1.15</v>
      </c>
      <c r="J74" s="207">
        <f>($J$6*(1+$E$116)*(1+$D$157)+169*15/120*$C$24+$C$14*6)*H74*$J$10*$L$11*I74*(1+0.15*C93)*(1+0.01*$E$25)*(1+0.1*C43)</f>
        <v>9052.187378</v>
      </c>
      <c r="K74" s="196">
        <f>J74*$J$8*IF($C$152&lt;=5,IF($C$152&lt;3,$C$152,IF($C$43&gt;0,$C$152,2)*(14-5*C131*E137)/$S$40+2*($S$40-(14-5*C131*E137))/$S$40),IF($C$43&gt;0,5,2)*(14-5*C131*E137)/$S$40+2*($S$40-(14-5*C131*E137))/$S$40)*$J$14*(1+$C$131*0.2)*(1+0.08*C120*D120)</f>
        <v>81146.87607</v>
      </c>
      <c r="L74" s="196">
        <f>K74/IF($C$152&lt;=5,IF($C$152&lt;3,$C$152,IF($C$43&gt;0,$C$152,2)*(14-5*C131*E137)/$S$40+2*($S$40-(14-5*C131*E137))/$S$40),IF($C$43&gt;0,5,2)*(14-5*C131*E137)/$S$40+2*($S$40-(14-5*C131*E137))/$S$40)</f>
        <v>16229.37521</v>
      </c>
      <c r="M74" s="196">
        <f>K74*$L$12+IF($C$152&lt;=5,IF($C$152&lt;3,$C$152,IF($C$43&gt;0,$C$152,2)*(14-5*C131*E137)/$S$40+2*($S$40-(14-5*C131*E137))/$S$40),IF($C$43&gt;0,5,2)*(14-5*C131*E137)/$S$40+2*($S$40-(14-5*C131*E137))/$S$40)*$L$7*0.0025*$C$95+$L$7*0.02*$J$10</f>
        <v>58109.85619</v>
      </c>
      <c r="N74" s="194"/>
      <c r="O74" s="194"/>
      <c r="P74" s="194"/>
      <c r="Q74" s="194"/>
      <c r="R74" s="194"/>
      <c r="S74" s="194"/>
      <c r="T74" s="196">
        <f>C131*((T38*(8+C110*4))*T51+(1-T38*(8+C110*4))*((0.35+0.05*14/S40*E136)*T42+(E140*0.35*0.15)*T42))</f>
        <v>0.1926463675</v>
      </c>
      <c r="U74" s="194"/>
      <c r="V74" s="196">
        <f>(T74+(C131*T38*(8+C110*4))*C116/(9/(1/(0.5+(2/((L14+0.3*(1-(1-(T38*(8+C110*4)))*(1-IF(C127&gt;3,1,0)*(1-0.875^(8*(T40+T43+T51+T57+T63)))))))-1+IF(C152=1,0.5,0))/C152))+9/(1/(0.5+(2/((L14+0.3*(1-(1-(T38*(8+C110*4)))*(1-IF(C127&gt;3,1,0)*(1-0.875^(8*(T40+T43+T51+T57+T63)))))))-1+IF(C152=1,0.5,0))/C152))/2*((0.8/3^(C152-1))/(1-(0.8/3^(C152-1))))+6)+1.5*C131*F127*((T38*(8+C110*4))/(1-(1-(T38*(8+C110*4)))*(1-IF(C127&gt;3,1,0)*(1-0.875^(8*(T40+T43+T51+T57+T63)))))))*K74</f>
        <v>20599.62402</v>
      </c>
      <c r="W74" s="196">
        <f>(T74+(C131*T38*(8+C110*4))*C116/(9/(1/(0.5+(2/((L14+0.3*(1-(1-(T38*(8+C110*4)))*(1-IF(C127&gt;3,1,0)*(1-0.875^(8*(T40+T43+T51+T57+T63)))))))-1+IF(C152=1,0.5,0))/C152))+9/(1/(0.5+(2/((L14+0.3*(1-(1-(T38*(8+C110*4)))*(1-IF(C127&gt;3,1,0)*(1-0.875^(8*(T40+T43+T51+T57+T63)))))))-1+IF(C152=1,0.5,0))/C152))/2*((0.8/3^(C152-1))/(1-(0.8/3^(C152-1))))+6)+1.5*C131*F127*((T38*(8+C110*4))/(1-(1-(T38*(8+C110*4)))*(1-IF(C127&gt;3,1,0)*(1-0.875^(8*(T40+T43+T51+T57+T63)))))))*L74</f>
        <v>4119.924805</v>
      </c>
      <c r="X74" s="196">
        <f t="shared" si="68"/>
        <v>11194.65271</v>
      </c>
      <c r="Y74" s="196">
        <f t="shared" si="69"/>
        <v>8955.722171</v>
      </c>
      <c r="Z74" s="194"/>
      <c r="AA74" s="194"/>
      <c r="AB74" s="293"/>
    </row>
    <row r="75">
      <c r="A75" s="97"/>
      <c r="B75" s="276" t="s">
        <v>160</v>
      </c>
      <c r="C75" s="25">
        <f>Inputs!C77</f>
        <v>1</v>
      </c>
      <c r="D75" s="78"/>
      <c r="G75" s="276" t="s">
        <v>354</v>
      </c>
      <c r="H75" s="253">
        <f>1.766*1.2</f>
        <v>2.1192</v>
      </c>
      <c r="I75" s="204">
        <v>1.15</v>
      </c>
      <c r="J75" s="207">
        <f>($J$6*(1+$E$116)*(1+$D$157)+169*15/120*$C$24+$C$14*6)*H75*$J$10*$L$11*I75*(1+0.01*$E$25)</f>
        <v>15382.09521</v>
      </c>
      <c r="K75" s="196">
        <f>J75*($J$8+2)/2*(1+$C$152)*$J$14*(1+0.15*$B$19*(1+0.2*$C$63))*(H8*0.05/2+1)*(1+0.08*C120*D120)</f>
        <v>183038.3003</v>
      </c>
      <c r="L75" s="196">
        <f>K75*2/(1+$C$152)</f>
        <v>61012.76676</v>
      </c>
      <c r="M75" s="196">
        <f>K75*$L$12</f>
        <v>33862.08555</v>
      </c>
      <c r="N75" s="194"/>
      <c r="O75" s="194"/>
      <c r="P75" s="194"/>
      <c r="Q75" s="194"/>
      <c r="R75" s="194"/>
      <c r="S75" s="194"/>
      <c r="T75" s="196">
        <f>T63</f>
        <v>0</v>
      </c>
      <c r="U75" s="293"/>
      <c r="V75" s="196">
        <f>T75*K75</f>
        <v>0</v>
      </c>
      <c r="W75" s="196">
        <f>T75*L75</f>
        <v>0</v>
      </c>
      <c r="X75" s="196">
        <f t="shared" si="68"/>
        <v>0</v>
      </c>
      <c r="Y75" s="196">
        <f t="shared" si="69"/>
        <v>0</v>
      </c>
      <c r="Z75" s="293"/>
      <c r="AA75" s="293"/>
      <c r="AB75" s="293"/>
    </row>
    <row r="76">
      <c r="A76" s="98"/>
      <c r="B76" s="276" t="s">
        <v>161</v>
      </c>
      <c r="C76" s="25">
        <f>Inputs!C78</f>
        <v>0</v>
      </c>
      <c r="D76" s="78"/>
      <c r="G76" s="281" t="s">
        <v>179</v>
      </c>
      <c r="H76" s="27"/>
      <c r="I76" s="194"/>
      <c r="J76" s="194"/>
      <c r="K76" s="194"/>
      <c r="L76" s="194"/>
      <c r="M76" s="194"/>
      <c r="N76" s="194"/>
      <c r="O76" s="194"/>
      <c r="P76" s="194"/>
      <c r="Q76" s="194"/>
      <c r="R76" s="295">
        <f>90</f>
        <v>90</v>
      </c>
      <c r="S76" s="287">
        <f>R76/(1-AA42/5*C122*((O42-5*IF(C42&gt;0,1,0))/O42))</f>
        <v>21.340994</v>
      </c>
      <c r="T76" s="287">
        <f>1/S76*C89*C149</f>
        <v>0.04685817352</v>
      </c>
      <c r="U76" s="293"/>
      <c r="V76" s="293"/>
      <c r="W76" s="298"/>
      <c r="X76" s="298"/>
      <c r="Y76" s="293"/>
      <c r="Z76" s="293"/>
      <c r="AA76" s="293"/>
      <c r="AB76" s="293"/>
    </row>
    <row r="77">
      <c r="A77" s="329" t="s">
        <v>162</v>
      </c>
      <c r="B77" s="276" t="s">
        <v>163</v>
      </c>
      <c r="C77" s="25">
        <f>Inputs!C79</f>
        <v>2</v>
      </c>
      <c r="D77" s="78"/>
      <c r="T77" s="334" t="s">
        <v>230</v>
      </c>
      <c r="U77" s="300">
        <f t="shared" ref="U77:X77" si="70">sum(U19:U76)</f>
        <v>1</v>
      </c>
      <c r="V77" s="140">
        <f t="shared" si="70"/>
        <v>325145.5474</v>
      </c>
      <c r="W77" s="140">
        <f t="shared" si="70"/>
        <v>112320.1706</v>
      </c>
      <c r="X77" s="140">
        <f t="shared" si="70"/>
        <v>442341.1621</v>
      </c>
      <c r="Y77" s="140">
        <f>sum(Y19:Y76)+W78</f>
        <v>384629.399</v>
      </c>
      <c r="Z77" s="140">
        <f t="shared" ref="Z77:AB77" si="71">sum(Z19:Z76)</f>
        <v>-0.4579619441</v>
      </c>
      <c r="AA77" s="140">
        <f t="shared" si="71"/>
        <v>0</v>
      </c>
      <c r="AB77" s="152">
        <f t="shared" si="71"/>
        <v>0.3269229494</v>
      </c>
    </row>
    <row r="78">
      <c r="A78" s="97"/>
      <c r="B78" s="276" t="s">
        <v>165</v>
      </c>
      <c r="C78" s="25">
        <f>Inputs!C80</f>
        <v>0</v>
      </c>
      <c r="D78" s="78"/>
      <c r="E78" s="2"/>
      <c r="I78" s="325"/>
    </row>
    <row r="79">
      <c r="A79" s="98"/>
      <c r="B79" s="276" t="s">
        <v>166</v>
      </c>
      <c r="C79" s="25">
        <f>Inputs!C81</f>
        <v>2</v>
      </c>
      <c r="D79" s="78"/>
      <c r="E79" s="2"/>
      <c r="V79" s="326">
        <f>8047*20*1.13/60*J8*J10*0.7</f>
        <v>3312.418059</v>
      </c>
      <c r="W79" s="326">
        <f>498629/150*J8*J10*(0.85+0.15*C152)</f>
        <v>8303.518747</v>
      </c>
      <c r="Y79" s="326">
        <f>-(1.13*(1-exp(-1*12/60)))*49872/12*J10*L10</f>
        <v>-937.1879001</v>
      </c>
    </row>
    <row r="80">
      <c r="A80" s="335" t="s">
        <v>168</v>
      </c>
      <c r="B80" s="276" t="s">
        <v>169</v>
      </c>
      <c r="C80" s="25">
        <f>Inputs!C82</f>
        <v>1</v>
      </c>
      <c r="D80" s="78"/>
      <c r="E80" s="2"/>
      <c r="S80" s="301"/>
      <c r="T80" s="301"/>
      <c r="V80" s="326">
        <f>(239640*0.7+129036)*1.13*0.92/60*J8*J10</f>
        <v>8028.074942</v>
      </c>
    </row>
    <row r="81">
      <c r="A81" s="122"/>
      <c r="B81" s="276" t="s">
        <v>171</v>
      </c>
      <c r="C81" s="25">
        <f>Inputs!C83</f>
        <v>0</v>
      </c>
      <c r="D81" s="78"/>
      <c r="E81" s="2"/>
      <c r="S81" s="62"/>
      <c r="T81" s="62"/>
      <c r="V81" s="326">
        <f>221688*0.85*1.13/60*J8*J10*J9*(0.85+0.15*C152)</f>
        <v>13539.6864</v>
      </c>
      <c r="W81" s="326">
        <f>(1.13*(1-exp(-2*10/60)))*8804*5/10*(0.85+0.15*C152)*J8*J10</f>
        <v>3522.163189</v>
      </c>
    </row>
    <row r="82">
      <c r="A82" s="122"/>
      <c r="B82" s="276" t="s">
        <v>172</v>
      </c>
      <c r="C82" s="25">
        <f>Inputs!C84</f>
        <v>1</v>
      </c>
      <c r="D82" s="78"/>
      <c r="E82" s="2"/>
      <c r="S82" s="301"/>
      <c r="T82" s="301"/>
      <c r="U82" s="336"/>
      <c r="V82" s="326">
        <f>150750*1.25*1.13/60*J8*J10*J9*(0.85+0.15*C152)</f>
        <v>13539.88041</v>
      </c>
    </row>
    <row r="83">
      <c r="A83" s="123"/>
      <c r="B83" s="276" t="s">
        <v>173</v>
      </c>
      <c r="C83" s="25">
        <f>Inputs!C85</f>
        <v>0</v>
      </c>
      <c r="D83" s="78"/>
      <c r="E83" s="2"/>
      <c r="V83" s="326">
        <f>124747/6*(1.13*(1-exp(-2*J9*6/60)))*J8*J10</f>
        <v>9654.77214</v>
      </c>
    </row>
    <row r="84">
      <c r="A84" s="2"/>
      <c r="B84" s="2"/>
      <c r="C84" s="2"/>
      <c r="D84" s="2"/>
      <c r="E84" s="2"/>
      <c r="R84" s="302"/>
      <c r="V84" s="326">
        <f>135322*4/150*J8*J10*(0.85+0.15*C152)</f>
        <v>9013.906242</v>
      </c>
    </row>
    <row r="85">
      <c r="A85" s="2"/>
      <c r="B85" s="321" t="s">
        <v>174</v>
      </c>
      <c r="C85" s="283" t="s">
        <v>106</v>
      </c>
      <c r="D85" s="283" t="s">
        <v>107</v>
      </c>
      <c r="E85" s="2"/>
      <c r="V85" s="326">
        <f>15233*1.5*1.13/60*J8*J10*5*5/3</f>
        <v>5598.588682</v>
      </c>
    </row>
    <row r="86">
      <c r="A86" s="337" t="s">
        <v>108</v>
      </c>
      <c r="B86" s="276" t="s">
        <v>175</v>
      </c>
      <c r="C86" s="25">
        <f>Inputs!C88</f>
        <v>1</v>
      </c>
      <c r="D86" s="78"/>
      <c r="E86" s="2"/>
      <c r="U86" s="326">
        <f>(20*0.793)*14698*J8*J10*0.7/60*1.375</f>
        <v>5838.03679</v>
      </c>
      <c r="V86" s="326">
        <f>(20+2/3*(C152*4-2-2/3))*14698*J8*J10*0.7/60*1.375</f>
        <v>11615.54188</v>
      </c>
    </row>
    <row r="87">
      <c r="A87" s="322" t="s">
        <v>112</v>
      </c>
      <c r="B87" s="276" t="s">
        <v>176</v>
      </c>
      <c r="C87" s="25">
        <f>Inputs!C89</f>
        <v>1</v>
      </c>
      <c r="D87" s="25">
        <f>Inputs!D89</f>
        <v>0</v>
      </c>
      <c r="V87" s="326">
        <f>156528*1.13/60*J8*J9*J10*1.5*(0.85+0.15*C152)</f>
        <v>16870.61015</v>
      </c>
    </row>
    <row r="88">
      <c r="A88" s="98"/>
      <c r="B88" s="276" t="s">
        <v>177</v>
      </c>
      <c r="C88" s="25">
        <f>Inputs!C90</f>
        <v>1</v>
      </c>
      <c r="D88" s="78"/>
      <c r="E88" s="2"/>
      <c r="V88" s="326">
        <f>91711*J8*J10/90*(0.85+0.15*C152)*5*0.79+2395/3*J10*J8*C152*0.8</f>
        <v>15039.70349</v>
      </c>
      <c r="W88" s="326">
        <f>80382*J8*J10/90*(0.85+0.15*C152)*5*0.79+2013/3*J10*J8*C152*0.8</f>
        <v>13002.53577</v>
      </c>
      <c r="X88" s="326">
        <f>(660181*J10*1.15*1.5-93582*5*J10*L10*0.79)/90*1.5-2395*J10*L10/3*0.8</f>
        <v>16817.8867</v>
      </c>
      <c r="Y88" s="326">
        <f>(578625*J10*1.15*1.5-82021*5*J10*L10*0.79)/90*1.5-2013*J10*L10/3*0.8</f>
        <v>14765.58097</v>
      </c>
    </row>
    <row r="89">
      <c r="A89" s="329" t="s">
        <v>117</v>
      </c>
      <c r="B89" s="276" t="s">
        <v>179</v>
      </c>
      <c r="C89" s="25">
        <f>Inputs!C91</f>
        <v>1</v>
      </c>
      <c r="D89" s="78"/>
      <c r="E89" s="2"/>
      <c r="U89" s="326">
        <f>205064/1.2^15</f>
        <v>13309.77561</v>
      </c>
      <c r="V89" s="4">
        <f>(304680/(1.2)^15)*3*1.13*1.2^15/60*J8*J9*J10*(127566/205064)*IF(C152&gt;1,1,1)*0.9</f>
        <v>22981.62514</v>
      </c>
      <c r="X89" s="326">
        <f>-V89/2*L10</f>
        <v>-9879.438898</v>
      </c>
    </row>
    <row r="90">
      <c r="A90" s="98"/>
      <c r="B90" s="276" t="s">
        <v>180</v>
      </c>
      <c r="C90" s="25">
        <f>Inputs!C92</f>
        <v>1</v>
      </c>
      <c r="D90" s="78"/>
      <c r="E90" s="2"/>
      <c r="U90" s="326">
        <f>9935*1.2^14</f>
        <v>127557.2995</v>
      </c>
      <c r="V90" s="326">
        <f>7848*1.5*5*1.13/60*J8*J9*J10</f>
        <v>2643.307996</v>
      </c>
      <c r="X90" s="326">
        <f>-1053*1.5*5*1.13/60*J9*J10*L10</f>
        <v>-250.0977547</v>
      </c>
    </row>
    <row r="91">
      <c r="A91" s="329" t="s">
        <v>129</v>
      </c>
      <c r="B91" s="276" t="s">
        <v>181</v>
      </c>
      <c r="C91" s="25">
        <f>Inputs!C93</f>
        <v>1</v>
      </c>
      <c r="D91" s="78"/>
      <c r="E91" s="2"/>
      <c r="V91" s="326">
        <f>V25/C152</f>
        <v>8195.545948</v>
      </c>
      <c r="X91" s="326">
        <f>258568*2*1.13/60*1.15*J9*J10</f>
        <v>21904.89782</v>
      </c>
    </row>
    <row r="92">
      <c r="A92" s="97"/>
      <c r="B92" s="276" t="s">
        <v>182</v>
      </c>
      <c r="C92" s="25">
        <f>Inputs!C94</f>
        <v>2</v>
      </c>
      <c r="D92" s="78"/>
      <c r="E92" s="2"/>
      <c r="V92" s="326">
        <f>69524/60*1.13*2*J9*J8*J10+44080*J9*J8*J10*2/60*0.7*1.13</f>
        <v>9015.808924</v>
      </c>
    </row>
    <row r="93">
      <c r="A93" s="97"/>
      <c r="B93" s="276" t="s">
        <v>184</v>
      </c>
      <c r="C93" s="25">
        <f>Inputs!C95</f>
        <v>0</v>
      </c>
      <c r="D93" s="78"/>
      <c r="X93" s="326">
        <f>1.13*1.21/60*(140745+93831*2)*1.15*J10</f>
        <v>11020.20898</v>
      </c>
    </row>
    <row r="94">
      <c r="A94" s="98"/>
      <c r="B94" s="276" t="s">
        <v>185</v>
      </c>
      <c r="C94" s="25">
        <f>Inputs!C96</f>
        <v>1</v>
      </c>
      <c r="D94" s="78"/>
      <c r="E94" s="2"/>
      <c r="V94" s="326">
        <f>64988*J8*J10/90*(0.85+0.15*C152)*1.31*5+2182/3*J10*J8*C152</f>
        <v>17491.82593</v>
      </c>
      <c r="X94" s="326">
        <f>(409961*J10*1.15-58027*5*(1-L5)*L10)/90*1.5-2396*J10*L10/3</f>
        <v>8154.337484</v>
      </c>
    </row>
    <row r="95">
      <c r="A95" s="329" t="s">
        <v>138</v>
      </c>
      <c r="B95" s="276" t="s">
        <v>186</v>
      </c>
      <c r="C95" s="25">
        <f>Inputs!C97</f>
        <v>0</v>
      </c>
      <c r="D95" s="78"/>
    </row>
    <row r="96">
      <c r="A96" s="97"/>
      <c r="B96" s="276" t="s">
        <v>187</v>
      </c>
      <c r="C96" s="25">
        <f>Inputs!C98</f>
        <v>1</v>
      </c>
      <c r="D96" s="78"/>
      <c r="U96" s="4" t="s">
        <v>368</v>
      </c>
    </row>
    <row r="97">
      <c r="A97" s="97"/>
      <c r="B97" s="276" t="s">
        <v>188</v>
      </c>
      <c r="C97" s="25">
        <f>Inputs!C99</f>
        <v>1</v>
      </c>
      <c r="D97" s="25">
        <f>Inputs!D99</f>
        <v>7</v>
      </c>
      <c r="E97" s="2"/>
      <c r="N97" s="328"/>
    </row>
    <row r="98">
      <c r="A98" s="97"/>
      <c r="B98" s="276" t="s">
        <v>189</v>
      </c>
      <c r="C98" s="25">
        <f>Inputs!C100</f>
        <v>1</v>
      </c>
      <c r="D98" s="78"/>
    </row>
    <row r="99">
      <c r="A99" s="97"/>
      <c r="B99" s="276" t="s">
        <v>190</v>
      </c>
      <c r="C99" s="25">
        <f>Inputs!C101</f>
        <v>1</v>
      </c>
      <c r="D99" s="78"/>
    </row>
    <row r="100">
      <c r="A100" s="97"/>
      <c r="B100" s="276" t="s">
        <v>191</v>
      </c>
      <c r="C100" s="25">
        <f>Inputs!C102</f>
        <v>0</v>
      </c>
      <c r="D100" s="25">
        <f>Inputs!D102</f>
        <v>0</v>
      </c>
      <c r="E100" s="2"/>
    </row>
    <row r="101">
      <c r="A101" s="98"/>
      <c r="B101" s="276" t="s">
        <v>193</v>
      </c>
      <c r="C101" s="25">
        <f>Inputs!C103</f>
        <v>0</v>
      </c>
      <c r="D101" s="25">
        <f>Inputs!D103</f>
        <v>10</v>
      </c>
    </row>
    <row r="102">
      <c r="A102" s="329" t="s">
        <v>144</v>
      </c>
      <c r="B102" s="276" t="s">
        <v>195</v>
      </c>
      <c r="C102" s="25">
        <f>Inputs!C104</f>
        <v>0</v>
      </c>
      <c r="D102" s="78"/>
      <c r="E102" s="2"/>
    </row>
    <row r="103">
      <c r="A103" s="97"/>
      <c r="B103" s="276" t="s">
        <v>196</v>
      </c>
      <c r="C103" s="25">
        <f>Inputs!C105</f>
        <v>1</v>
      </c>
      <c r="D103" s="25">
        <f>Inputs!D105</f>
        <v>0</v>
      </c>
      <c r="E103" s="2"/>
      <c r="Q103" s="326">
        <f>264000/1.1957</f>
        <v>220791.1684</v>
      </c>
    </row>
    <row r="104">
      <c r="A104" s="97"/>
      <c r="B104" s="276" t="s">
        <v>197</v>
      </c>
      <c r="C104" s="25">
        <f>Inputs!C106</f>
        <v>1</v>
      </c>
      <c r="D104" s="78"/>
    </row>
    <row r="105">
      <c r="A105" s="97"/>
      <c r="B105" s="276" t="s">
        <v>199</v>
      </c>
      <c r="C105" s="25">
        <f>Inputs!C107</f>
        <v>1</v>
      </c>
      <c r="D105" s="25">
        <f>Inputs!D107</f>
        <v>5</v>
      </c>
    </row>
    <row r="106">
      <c r="A106" s="97"/>
      <c r="B106" s="276" t="s">
        <v>201</v>
      </c>
      <c r="C106" s="25">
        <f>Inputs!C108</f>
        <v>1</v>
      </c>
      <c r="D106" s="78"/>
      <c r="E106" s="2"/>
    </row>
    <row r="107">
      <c r="A107" s="97"/>
      <c r="B107" s="276" t="s">
        <v>202</v>
      </c>
      <c r="C107" s="25">
        <f>Inputs!C109</f>
        <v>1</v>
      </c>
      <c r="D107" s="78"/>
    </row>
    <row r="108">
      <c r="A108" s="329" t="s">
        <v>152</v>
      </c>
      <c r="B108" s="276" t="s">
        <v>203</v>
      </c>
      <c r="C108" s="25">
        <f>Inputs!C110</f>
        <v>1</v>
      </c>
      <c r="D108" s="78"/>
    </row>
    <row r="109">
      <c r="A109" s="97"/>
      <c r="B109" s="276" t="s">
        <v>204</v>
      </c>
      <c r="C109" s="25">
        <f>Inputs!C111</f>
        <v>1</v>
      </c>
      <c r="D109" s="78"/>
      <c r="E109" s="2"/>
    </row>
    <row r="110">
      <c r="A110" s="97"/>
      <c r="B110" s="276" t="s">
        <v>205</v>
      </c>
      <c r="C110" s="25">
        <f>Inputs!C112</f>
        <v>1</v>
      </c>
      <c r="D110" s="78"/>
      <c r="E110" s="2"/>
    </row>
    <row r="111">
      <c r="A111" s="97"/>
      <c r="B111" s="276" t="s">
        <v>207</v>
      </c>
      <c r="C111" s="25">
        <f>Inputs!C113</f>
        <v>1</v>
      </c>
      <c r="D111" s="78"/>
      <c r="E111" s="2"/>
    </row>
    <row r="112">
      <c r="A112" s="97"/>
      <c r="B112" s="276" t="s">
        <v>208</v>
      </c>
      <c r="C112" s="25">
        <f>Inputs!C114</f>
        <v>0</v>
      </c>
      <c r="D112" s="78"/>
    </row>
    <row r="113">
      <c r="A113" s="329" t="s">
        <v>156</v>
      </c>
      <c r="B113" s="276" t="s">
        <v>209</v>
      </c>
      <c r="C113" s="25">
        <f>Inputs!C115</f>
        <v>0</v>
      </c>
      <c r="D113" s="78"/>
    </row>
    <row r="114">
      <c r="A114" s="97"/>
      <c r="B114" s="276" t="s">
        <v>211</v>
      </c>
      <c r="C114" s="25">
        <f>Inputs!C116</f>
        <v>0</v>
      </c>
      <c r="D114" s="78"/>
      <c r="E114" s="2"/>
    </row>
    <row r="115">
      <c r="A115" s="97"/>
      <c r="B115" s="276" t="s">
        <v>212</v>
      </c>
      <c r="C115" s="25">
        <f>Inputs!C117</f>
        <v>1</v>
      </c>
      <c r="D115" s="78"/>
    </row>
    <row r="116">
      <c r="A116" s="97"/>
      <c r="B116" s="276" t="s">
        <v>213</v>
      </c>
      <c r="C116" s="25">
        <f>Inputs!C118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0.04814575562</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0.004895651003</v>
      </c>
    </row>
    <row r="117">
      <c r="A117" s="97"/>
      <c r="B117" s="276" t="s">
        <v>214</v>
      </c>
      <c r="C117" s="25">
        <f>Inputs!C119</f>
        <v>1</v>
      </c>
      <c r="D117" s="25">
        <f>Inputs!D119</f>
        <v>0.8</v>
      </c>
    </row>
    <row r="118">
      <c r="A118" s="329" t="s">
        <v>162</v>
      </c>
      <c r="B118" s="276" t="s">
        <v>215</v>
      </c>
      <c r="C118" s="25">
        <f>Inputs!C120</f>
        <v>0</v>
      </c>
      <c r="D118" s="78"/>
    </row>
    <row r="119">
      <c r="A119" s="97"/>
      <c r="B119" s="276" t="s">
        <v>216</v>
      </c>
      <c r="C119" s="25">
        <f>Inputs!C121</f>
        <v>1</v>
      </c>
      <c r="D119" s="78"/>
    </row>
    <row r="120">
      <c r="A120" s="97"/>
      <c r="B120" s="276" t="s">
        <v>217</v>
      </c>
      <c r="C120" s="25">
        <f>Inputs!C122</f>
        <v>1</v>
      </c>
      <c r="D120" s="25">
        <f>Inputs!D122</f>
        <v>0.4</v>
      </c>
      <c r="E120" s="2"/>
    </row>
    <row r="121">
      <c r="A121" s="97"/>
      <c r="B121" s="276" t="s">
        <v>218</v>
      </c>
      <c r="C121" s="25">
        <f>Inputs!C123</f>
        <v>0</v>
      </c>
      <c r="D121" s="25">
        <f>Inputs!D123</f>
        <v>1</v>
      </c>
    </row>
    <row r="122">
      <c r="A122" s="97"/>
      <c r="B122" s="276" t="s">
        <v>219</v>
      </c>
      <c r="C122" s="25">
        <f>Inputs!C124</f>
        <v>1</v>
      </c>
      <c r="D122" s="78"/>
    </row>
    <row r="123">
      <c r="A123" s="329" t="s">
        <v>168</v>
      </c>
      <c r="B123" s="276" t="s">
        <v>220</v>
      </c>
      <c r="C123" s="25">
        <f>Inputs!C125</f>
        <v>0</v>
      </c>
      <c r="D123" s="78"/>
    </row>
    <row r="124">
      <c r="A124" s="97"/>
      <c r="B124" s="276" t="s">
        <v>221</v>
      </c>
      <c r="C124" s="25">
        <f>Inputs!C126</f>
        <v>1</v>
      </c>
      <c r="D124" s="78"/>
      <c r="E124" s="2"/>
    </row>
    <row r="125">
      <c r="A125" s="97"/>
      <c r="B125" s="276" t="s">
        <v>222</v>
      </c>
      <c r="C125" s="25">
        <f>Inputs!C127</f>
        <v>0</v>
      </c>
      <c r="D125" s="78"/>
    </row>
    <row r="126">
      <c r="A126" s="97"/>
      <c r="B126" s="276" t="s">
        <v>223</v>
      </c>
      <c r="C126" s="25">
        <f>Inputs!C128</f>
        <v>1</v>
      </c>
      <c r="D126" s="78"/>
      <c r="E126" s="2"/>
    </row>
    <row r="127">
      <c r="A127" s="329" t="s">
        <v>224</v>
      </c>
      <c r="B127" s="276" t="s">
        <v>225</v>
      </c>
      <c r="C127" s="25">
        <f>Inputs!C129</f>
        <v>4</v>
      </c>
      <c r="D127" s="78"/>
      <c r="E127" s="309">
        <f>T38*(8+C110*4)*(1+C110)+IF(C127&gt;3,1,0)*8*0.125*(T40+T43+T51+T57+T63)</f>
        <v>0.8277298621</v>
      </c>
      <c r="F127" s="309">
        <f>IF(C127=4,(1-(1-(1-(1-(T38*(8+C110*4)))*(1-IF(C127&gt;3,1,0)*(1-0.875^(8*(T40+T43-T46+MIN(($L$9+SUM(Z19:Z36,Z38:Z50)+SUM(Z52:Z76))/(-N51),MAX((1-SUM(U18:U24,U26:U41,U43:U50,U52:U76)+SUM(AA19:AA24,AA26:AA41,AA43:AA50,AA52:AA76)/O42*Q42)/Q51*(-O42/(O51-O42)),0))+2*T57+2*T63)))))))/(3+(2/(L13+0.3)-1+IF(C152=1,0.5,0))/C152),IF(C127&gt;0,1,0)*(1-(1-(T38*(8+C110*4))))/(3+(2/(L13+0.3)-1+IF(C152=1,0.5,0))/C152))</f>
        <v>0.1404336998</v>
      </c>
    </row>
    <row r="128">
      <c r="A128" s="2"/>
      <c r="B128" s="2"/>
      <c r="C128" s="2"/>
      <c r="D128" s="2"/>
      <c r="E128" s="2"/>
    </row>
    <row r="129">
      <c r="A129" s="2"/>
      <c r="B129" s="321" t="s">
        <v>229</v>
      </c>
      <c r="C129" s="2"/>
      <c r="D129" s="2"/>
      <c r="E129" s="2"/>
    </row>
    <row r="130">
      <c r="A130" s="2"/>
      <c r="B130" s="339" t="s">
        <v>231</v>
      </c>
      <c r="C130" s="25">
        <f>Inputs!C132</f>
        <v>0</v>
      </c>
      <c r="D130" s="264">
        <f>Inputs!D132</f>
        <v>0.6</v>
      </c>
      <c r="E130" s="2"/>
    </row>
    <row r="131">
      <c r="A131" s="2"/>
      <c r="B131" s="339" t="s">
        <v>233</v>
      </c>
      <c r="C131" s="25">
        <f>Inputs!C133</f>
        <v>1</v>
      </c>
      <c r="D131" s="264">
        <f>Inputs!D133</f>
        <v>0.85</v>
      </c>
      <c r="E131" s="2"/>
    </row>
    <row r="132">
      <c r="A132" s="2"/>
      <c r="B132" s="2"/>
      <c r="C132" s="2"/>
      <c r="D132" s="2"/>
      <c r="E132" s="2"/>
    </row>
    <row r="133">
      <c r="A133" s="2"/>
      <c r="B133" s="340" t="s">
        <v>234</v>
      </c>
      <c r="C133" s="341"/>
      <c r="D133" s="342" t="s">
        <v>235</v>
      </c>
      <c r="E133" s="342"/>
      <c r="G133" s="340" t="s">
        <v>355</v>
      </c>
      <c r="J133" s="340" t="s">
        <v>356</v>
      </c>
    </row>
    <row r="134">
      <c r="A134" s="2"/>
      <c r="B134" s="343" t="s">
        <v>236</v>
      </c>
      <c r="C134" s="150"/>
      <c r="D134" s="339" t="s">
        <v>237</v>
      </c>
      <c r="E134" s="150"/>
      <c r="G134" s="343" t="s">
        <v>357</v>
      </c>
      <c r="H134" s="311">
        <f>MIN(40,1+12*(2*(1+H8)*T25+T26+1/3*(2)*(1/(1-0.15*C107))+T35*2+T40*(11+2*C107)+T42*(2*C136)*(1+C136*H8)+T43+T38*2*(2*(1+H8))+T38*2*(2*(1+H8))+T62*(2*C136)*(1+C136*H8)+2*(2/12+(1+H8)/12)))</f>
        <v>40</v>
      </c>
      <c r="J134" s="343" t="s">
        <v>358</v>
      </c>
      <c r="K134" s="282">
        <f>C131*7*(1+2*T38*(8+C110*4))*D131</f>
        <v>7.522687225</v>
      </c>
    </row>
    <row r="135">
      <c r="A135" s="2"/>
      <c r="B135" s="343" t="s">
        <v>238</v>
      </c>
      <c r="C135" s="25">
        <f>Inputs!C137</f>
        <v>1</v>
      </c>
      <c r="D135" s="339" t="s">
        <v>239</v>
      </c>
      <c r="E135" s="150"/>
      <c r="G135" s="343" t="s">
        <v>359</v>
      </c>
      <c r="H135" s="312">
        <f>1+C130*(0.05*15+0.05*17*H8)*T75</f>
        <v>1</v>
      </c>
    </row>
    <row r="136">
      <c r="A136" s="2"/>
      <c r="B136" s="343" t="s">
        <v>240</v>
      </c>
      <c r="C136" s="25">
        <f>Inputs!C138</f>
        <v>1</v>
      </c>
      <c r="D136" s="339" t="s">
        <v>241</v>
      </c>
      <c r="E136" s="25">
        <f>Inputs!E138</f>
        <v>1</v>
      </c>
    </row>
    <row r="137">
      <c r="A137" s="2"/>
      <c r="B137" s="343" t="s">
        <v>242</v>
      </c>
      <c r="C137" s="25">
        <f>Inputs!C139</f>
        <v>0</v>
      </c>
      <c r="D137" s="339" t="s">
        <v>243</v>
      </c>
      <c r="E137" s="25">
        <f>Inputs!E139</f>
        <v>0</v>
      </c>
    </row>
    <row r="138">
      <c r="A138" s="2"/>
      <c r="B138" s="343" t="s">
        <v>244</v>
      </c>
      <c r="C138" s="25">
        <f>Inputs!C140</f>
        <v>1</v>
      </c>
      <c r="D138" s="339" t="s">
        <v>245</v>
      </c>
      <c r="E138" s="25">
        <f>Inputs!E140</f>
        <v>0</v>
      </c>
    </row>
    <row r="139">
      <c r="A139" s="2"/>
      <c r="B139" s="343" t="s">
        <v>246</v>
      </c>
      <c r="C139" s="150"/>
      <c r="D139" s="339" t="s">
        <v>247</v>
      </c>
      <c r="E139" s="25">
        <f>Inputs!E141</f>
        <v>1</v>
      </c>
    </row>
    <row r="140">
      <c r="A140" s="2"/>
      <c r="B140" s="2"/>
      <c r="C140" s="2"/>
      <c r="D140" s="339" t="s">
        <v>248</v>
      </c>
      <c r="E140" s="25">
        <f>Inputs!E142</f>
        <v>0</v>
      </c>
    </row>
    <row r="141">
      <c r="A141" s="2"/>
      <c r="B141" s="2"/>
      <c r="C141" s="2"/>
      <c r="D141" s="339" t="s">
        <v>249</v>
      </c>
      <c r="E141" s="25">
        <f>Inputs!E143</f>
        <v>1</v>
      </c>
    </row>
    <row r="142">
      <c r="A142" s="2"/>
      <c r="B142" s="2"/>
      <c r="C142" s="2"/>
      <c r="D142" s="2"/>
      <c r="E142" s="2"/>
    </row>
    <row r="143">
      <c r="A143" s="2"/>
      <c r="B143" s="294" t="s">
        <v>250</v>
      </c>
      <c r="C143" s="2"/>
      <c r="D143" s="2"/>
      <c r="E143" s="2"/>
    </row>
    <row r="144">
      <c r="A144" s="2"/>
      <c r="B144" s="281" t="s">
        <v>251</v>
      </c>
      <c r="C144" s="313">
        <f>Inputs!C146</f>
        <v>0.2</v>
      </c>
      <c r="D144" s="2"/>
      <c r="E144" s="2"/>
    </row>
    <row r="145">
      <c r="A145" s="2"/>
      <c r="B145" s="276" t="s">
        <v>252</v>
      </c>
      <c r="C145" s="25">
        <f>Inputs!C147</f>
        <v>400000</v>
      </c>
      <c r="D145" s="2"/>
      <c r="E145" s="2"/>
    </row>
    <row r="146">
      <c r="A146" s="2"/>
      <c r="B146" s="281" t="s">
        <v>254</v>
      </c>
      <c r="C146" s="313">
        <f>Inputs!C148</f>
        <v>0.2</v>
      </c>
      <c r="D146" s="2"/>
      <c r="E146" s="2"/>
    </row>
    <row r="147">
      <c r="A147" s="2"/>
      <c r="B147" s="281" t="s">
        <v>257</v>
      </c>
      <c r="C147" s="313">
        <f>Inputs!C149</f>
        <v>0</v>
      </c>
      <c r="D147" s="2"/>
      <c r="E147" s="2"/>
    </row>
    <row r="148">
      <c r="A148" s="2"/>
      <c r="B148" s="281" t="s">
        <v>258</v>
      </c>
      <c r="C148" s="313">
        <f>Inputs!C150</f>
        <v>0</v>
      </c>
      <c r="D148" s="2"/>
      <c r="E148" s="2"/>
    </row>
    <row r="149">
      <c r="A149" s="2"/>
      <c r="B149" s="281" t="s">
        <v>259</v>
      </c>
      <c r="C149" s="313">
        <f>Inputs!C151</f>
        <v>1</v>
      </c>
      <c r="D149" s="2"/>
      <c r="E149" s="2"/>
    </row>
    <row r="150">
      <c r="A150" s="2"/>
      <c r="B150" s="276" t="s">
        <v>260</v>
      </c>
      <c r="C150" s="313">
        <f>Inputs!C152</f>
        <v>0.4</v>
      </c>
      <c r="D150" s="2"/>
      <c r="E150" s="2"/>
    </row>
    <row r="151">
      <c r="A151" s="2"/>
      <c r="B151" s="276" t="s">
        <v>261</v>
      </c>
      <c r="C151" s="174">
        <f>Inputs!C153</f>
        <v>0.8</v>
      </c>
      <c r="D151" s="2"/>
      <c r="E151" s="2"/>
    </row>
    <row r="152">
      <c r="A152" s="2"/>
      <c r="B152" s="281" t="s">
        <v>262</v>
      </c>
      <c r="C152" s="25">
        <f>Inputs!C154</f>
        <v>5</v>
      </c>
      <c r="D152" s="2"/>
      <c r="E152" s="2"/>
      <c r="F152" s="2"/>
    </row>
    <row r="153">
      <c r="A153" s="2"/>
      <c r="B153" s="276" t="s">
        <v>263</v>
      </c>
      <c r="C153" s="25">
        <f>Inputs!C155</f>
        <v>90</v>
      </c>
      <c r="D153" s="2"/>
      <c r="E153" s="2"/>
      <c r="F153" s="2"/>
    </row>
    <row r="154">
      <c r="A154" s="2"/>
      <c r="B154" s="281" t="s">
        <v>265</v>
      </c>
      <c r="C154" s="174">
        <f>Inputs!C156</f>
        <v>3966.55</v>
      </c>
      <c r="D154" s="2"/>
      <c r="E154" s="2"/>
      <c r="F154" s="2"/>
    </row>
    <row r="155">
      <c r="A155" s="2"/>
      <c r="D155" s="2"/>
      <c r="E155" s="2"/>
      <c r="F155" s="2"/>
    </row>
    <row r="156">
      <c r="B156" s="344" t="s">
        <v>267</v>
      </c>
      <c r="C156" s="345" t="s">
        <v>268</v>
      </c>
      <c r="D156" s="2"/>
      <c r="E156" s="2"/>
      <c r="F156" s="2"/>
    </row>
    <row r="157">
      <c r="B157" s="346" t="s">
        <v>269</v>
      </c>
      <c r="C157" s="25">
        <f>Inputs!C159</f>
        <v>1</v>
      </c>
      <c r="D157" s="309">
        <f>C157*(0.025+0.1*T42)</f>
        <v>0.06521544521</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0.006618618057</v>
      </c>
      <c r="F157" s="2"/>
    </row>
    <row r="158">
      <c r="B158" s="346" t="s">
        <v>271</v>
      </c>
      <c r="C158" s="25">
        <f>Inputs!C160</f>
        <v>1</v>
      </c>
      <c r="D158" s="2"/>
      <c r="E158" s="2"/>
      <c r="F158" s="2"/>
      <c r="G158" s="2"/>
      <c r="H158" s="2"/>
    </row>
    <row r="159">
      <c r="D159" s="2"/>
      <c r="E159" s="2"/>
      <c r="F159" s="2"/>
      <c r="G159" s="2"/>
      <c r="H159" s="2"/>
    </row>
    <row r="160">
      <c r="B160" s="296" t="s">
        <v>274</v>
      </c>
      <c r="C160" s="2"/>
      <c r="D160" s="2"/>
      <c r="E160" s="2"/>
      <c r="F160" s="2"/>
      <c r="G160" s="2"/>
      <c r="H160" s="2"/>
    </row>
    <row r="161">
      <c r="B161" s="281" t="s">
        <v>275</v>
      </c>
      <c r="C161" s="347"/>
      <c r="D161" s="1"/>
      <c r="E161" s="1"/>
      <c r="F161" s="2"/>
      <c r="G161" s="2"/>
      <c r="H161" s="2"/>
    </row>
    <row r="162">
      <c r="B162" s="281" t="s">
        <v>276</v>
      </c>
      <c r="C162" s="173"/>
      <c r="D162" s="2"/>
      <c r="E162" s="1"/>
      <c r="F162" s="2"/>
      <c r="G162" s="2"/>
      <c r="H162" s="2"/>
    </row>
    <row r="163">
      <c r="B163" s="281" t="s">
        <v>361</v>
      </c>
      <c r="C163" s="315"/>
      <c r="D163" s="2"/>
      <c r="E163" s="2"/>
      <c r="F163" s="2"/>
      <c r="G163" s="2"/>
      <c r="H163" s="2"/>
    </row>
    <row r="164">
      <c r="B164" s="281" t="s">
        <v>362</v>
      </c>
      <c r="C164" s="235"/>
      <c r="D164" s="2"/>
      <c r="E164" s="2"/>
      <c r="G164" s="2"/>
      <c r="H164" s="2"/>
    </row>
    <row r="165">
      <c r="B165" s="281" t="s">
        <v>278</v>
      </c>
      <c r="C165" s="316"/>
      <c r="G165" s="2"/>
      <c r="H165" s="2"/>
    </row>
    <row r="166">
      <c r="B166" s="281" t="s">
        <v>280</v>
      </c>
      <c r="C166" s="27"/>
      <c r="G166" s="2"/>
      <c r="H166" s="2"/>
    </row>
    <row r="167">
      <c r="B167" s="281" t="s">
        <v>363</v>
      </c>
      <c r="C167" s="317"/>
      <c r="G167" s="2"/>
      <c r="H167" s="2"/>
    </row>
    <row r="168">
      <c r="B168" s="281" t="s">
        <v>364</v>
      </c>
      <c r="C168" s="236"/>
      <c r="D168" s="202"/>
      <c r="G168" s="2"/>
      <c r="H168" s="2"/>
    </row>
    <row r="169">
      <c r="B169" s="318"/>
      <c r="C169" s="202"/>
      <c r="D169" s="202"/>
      <c r="G169" s="2"/>
      <c r="H169" s="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row r="196">
      <c r="N196" s="4" t="s">
        <v>366</v>
      </c>
      <c r="O196" s="4">
        <v>3.0</v>
      </c>
      <c r="P196" s="326">
        <f>SUM(P167:Q167)</f>
        <v>0</v>
      </c>
    </row>
    <row r="197">
      <c r="O197" s="4">
        <v>4.0</v>
      </c>
      <c r="P197" s="326">
        <f>SUM(P167:Q167)</f>
        <v>0</v>
      </c>
    </row>
    <row r="198">
      <c r="O198" s="4">
        <v>5.0</v>
      </c>
      <c r="P198" s="326">
        <f>SUM(P167:Q167)</f>
        <v>0</v>
      </c>
    </row>
    <row r="199">
      <c r="O199" s="4">
        <v>6.0</v>
      </c>
      <c r="P199" s="326">
        <f>SUM(P167:X167)</f>
        <v>0</v>
      </c>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17.75"/>
    <col customWidth="1" min="9" max="9" width="23.25"/>
    <col customWidth="1" min="10" max="10" width="17.88"/>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2.5"/>
    <col customWidth="1" min="19" max="19" width="15.25"/>
    <col customWidth="1" min="20" max="20" width="15.88"/>
    <col customWidth="1" min="21" max="21" width="12.38"/>
    <col customWidth="1" min="22" max="22" width="11.75"/>
    <col customWidth="1" min="23" max="23" width="19.25"/>
    <col customWidth="1" min="24" max="24" width="19.13"/>
    <col customWidth="1" min="25" max="25" width="11.25"/>
    <col customWidth="1" min="26" max="26" width="15.0"/>
    <col customWidth="1" min="27" max="27" width="19.63"/>
    <col customWidth="1" min="28" max="28" width="19.13"/>
  </cols>
  <sheetData>
    <row r="2">
      <c r="B2" s="266" t="s">
        <v>370</v>
      </c>
    </row>
    <row r="4">
      <c r="B4" s="267" t="s">
        <v>1</v>
      </c>
      <c r="C4" s="268" t="s">
        <v>3</v>
      </c>
      <c r="D4" s="269" t="s">
        <v>5</v>
      </c>
      <c r="E4" s="269" t="s">
        <v>7</v>
      </c>
      <c r="G4" s="267" t="s">
        <v>9</v>
      </c>
      <c r="J4" s="229"/>
      <c r="N4" s="270" t="s">
        <v>10</v>
      </c>
    </row>
    <row r="5">
      <c r="B5" s="271" t="s">
        <v>12</v>
      </c>
      <c r="C5" s="231">
        <f>H5*(1+C21*0.05*(1+0.2*C63))</f>
        <v>3852</v>
      </c>
      <c r="D5" s="27"/>
      <c r="E5" s="27"/>
      <c r="G5" s="271" t="s">
        <v>21</v>
      </c>
      <c r="H5" s="277">
        <f>Baseline!H5</f>
        <v>3852</v>
      </c>
      <c r="I5" s="272" t="s">
        <v>31</v>
      </c>
      <c r="J5" s="49">
        <f>(C5*1.45+((J6*(1+E116)*(1+D157)*1.8)+IF(E28=3,1,0)*1.13*(1-exp(-1*$J$9*12/60))*($J$6*(1+E116)*(1+D157)*0.02*$J$10)))*(1+0.06*C75)</f>
        <v>12077.95171</v>
      </c>
      <c r="K5" s="272" t="s">
        <v>41</v>
      </c>
      <c r="L5" s="52">
        <f>(J5 / (J5 + C154))</f>
        <v>0.752778237</v>
      </c>
      <c r="N5" s="273" t="s">
        <v>46</v>
      </c>
      <c r="O5" s="274" t="s">
        <v>47</v>
      </c>
      <c r="P5" s="274" t="s">
        <v>49</v>
      </c>
      <c r="Q5" s="275" t="s">
        <v>325</v>
      </c>
      <c r="R5" s="275" t="s">
        <v>53</v>
      </c>
      <c r="S5" s="275" t="s">
        <v>326</v>
      </c>
      <c r="T5" s="274" t="s">
        <v>56</v>
      </c>
      <c r="U5" s="275" t="s">
        <v>57</v>
      </c>
      <c r="V5" s="276" t="s">
        <v>59</v>
      </c>
      <c r="W5" s="269" t="s">
        <v>60</v>
      </c>
      <c r="X5" s="268" t="s">
        <v>63</v>
      </c>
    </row>
    <row r="6">
      <c r="B6" s="271" t="s">
        <v>36</v>
      </c>
      <c r="C6" s="231">
        <f>(H6+C34*33)*(1+C21*0.05*(1+0.2*C63))</f>
        <v>2672</v>
      </c>
      <c r="D6" s="27"/>
      <c r="E6" s="27"/>
      <c r="G6" s="271" t="s">
        <v>65</v>
      </c>
      <c r="H6" s="277">
        <f>Baseline!H6</f>
        <v>2672</v>
      </c>
      <c r="I6" s="271" t="s">
        <v>67</v>
      </c>
      <c r="J6" s="52">
        <f>(C6+E32*252*8/120+E34*50)*(1+B21*1.13*(1-exp(-3*J9*15/60))*0.15*(1+0.2*C63))*(1+0.03*C77*(1-(0.85)^(8*L9)))*(1+0.1*12*(1/S40)*C131*(1-IF(OR(D100=1,AND(C152&lt;4,C131=1)),0,1)*IF(D100=2,1-(1-(0.75)^((5+(H15/2))/H15))/(1+3*(1-(0.75)^((5+(H15/2))/H15))*C82),1)*IF(NOT(OR(OR(D100=1,AND(C152&lt;4,C131=1)),D100=2)),1-(1-(0.75)^((4+(H15/2))/H15)),1)))*(1+0.1*T69*8*IF(C152=1,1,0))</f>
        <v>2890.654188</v>
      </c>
      <c r="K6" s="271" t="s">
        <v>82</v>
      </c>
      <c r="L6" s="84">
        <f>(J6-622)/19130</f>
        <v>0.1185914369</v>
      </c>
      <c r="N6" s="276" t="s">
        <v>87</v>
      </c>
      <c r="O6" s="250">
        <f>Baseline!O6</f>
        <v>3608042.253</v>
      </c>
      <c r="P6" s="94">
        <f>(O6-E26*C152/2*C7*0.0003*30)*(1-$L$14)*(1-$L$5)*$L$10*(1-0.01*E32)*(1-0.2/C152*C74)*(1-C51*0.12/C152*1.13*(1-exp(-3*6/60*55/120)))*(1-$C$135*$C$130*$D$130*0.075)*(1-$C$131*E136*10/S40*0.08)*(1-F116)*(1-E157)*(1-IF(C127&gt;1,1)*0.06*E127)*(1-(0.04*10*(1/S40)*C100*(1-IF(OR(D100=1,AND(C152&lt;4,C131=1)),0,1)*IF(D100=2,1-(1-(0.75)^((5+(H15/2))/H15))/(1+3*(1-(0.75)^((5+(H15/2))/H15))*C82),1)*IF(NOT(OR(OR(D100=1,AND(C152&lt;4,C131=1)),D100=2)),1-(1-(0.75)^((4+(H15/2))/H15)),1))))*(1-C120*0.025)</f>
        <v>427926.8069</v>
      </c>
      <c r="Q6" s="99">
        <f>P6*(1-((1-(1-(T38*(8+C110*4)))*(1-IF(C127&gt;3,1,0)*(1-0.875^(8*(T40+T43+T51+T57+T63)))))*MIN(0.3/(1-$L$14),1)))</f>
        <v>328414.5018</v>
      </c>
      <c r="R6" s="94">
        <f>Q6*(1-($T$52*8)*(0.3+0.1*$E$139))</f>
        <v>319656.7818</v>
      </c>
      <c r="S6" s="102">
        <f t="shared" ref="S6:S7" si="1">R6*(1-($T$70*8)*0.1)*(1-($T$26*8)*0.1)</f>
        <v>319656.7818</v>
      </c>
      <c r="T6" s="94">
        <f t="shared" ref="T6:T9" si="2">S6</f>
        <v>319656.7818</v>
      </c>
      <c r="U6" s="107"/>
      <c r="V6" s="27"/>
      <c r="W6" s="27"/>
      <c r="X6" s="27"/>
    </row>
    <row r="7">
      <c r="B7" s="271" t="s">
        <v>40</v>
      </c>
      <c r="C7" s="231">
        <f>(H7+C26*99)*(1+C21*0.05*(1+0.2*C63))*1.05*(1+0.2*C55)*(1.4)</f>
        <v>77197</v>
      </c>
      <c r="D7" s="27"/>
      <c r="E7" s="27"/>
      <c r="G7" s="271" t="s">
        <v>121</v>
      </c>
      <c r="H7" s="277">
        <f>Baseline!H7</f>
        <v>43762.47166</v>
      </c>
      <c r="I7" s="280" t="s">
        <v>124</v>
      </c>
      <c r="J7" s="109">
        <f>C7*20</f>
        <v>1543940</v>
      </c>
      <c r="K7" s="280" t="s">
        <v>127</v>
      </c>
      <c r="L7" s="111">
        <f>(J7+IF(E28=3,1,0)*1.13*(1-exp(-1*$J$9*12/60))*($J$6*1.3*$J$10))*(1+0.01*C97*(D97+2*C104))</f>
        <v>1682894.6</v>
      </c>
      <c r="N7" s="281" t="s">
        <v>131</v>
      </c>
      <c r="O7" s="250">
        <f>Baseline!O7</f>
        <v>0</v>
      </c>
      <c r="P7" s="94">
        <f>O7*$J$13*(1-$L$5)*$L$10*(1-0.01*E32)*(1-C51*0.12/C152*1.13*(1-exp(-3*6/60*55/120)))*(1-$C$135*$C$130*$D$130*0.075)*(1-$C$131*E136*10/S40*0.08)*(1-IF(C127&gt;1,1)*0.06*E127)*(1-(0.04*10*(1/S40)*C100*(1-IF(OR(D100=1,AND(C152&lt;4,C131=1)),0,1)*IF(D100=2,1-(1-(0.75)^((5+(H15/2))/H15))/(1+3*(1-(0.75)^((5+(H15/2))/H15))*C82),1)*IF(NOT(OR(OR(D100=1,AND(C152&lt;4,C131=1)),D100=2)),1-(1-(0.75)^((4+(H15/2))/H15)),1))))*(1-C120*0.025)</f>
        <v>0</v>
      </c>
      <c r="Q7" s="27"/>
      <c r="R7" s="94">
        <f t="shared" ref="R7:R9" si="3">P7*(1-($T$52*8)*(0.3+0.1*$E$139))</f>
        <v>0</v>
      </c>
      <c r="S7" s="102">
        <f t="shared" si="1"/>
        <v>0</v>
      </c>
      <c r="T7" s="94">
        <f t="shared" si="2"/>
        <v>0</v>
      </c>
      <c r="U7" s="107"/>
      <c r="V7" s="27"/>
      <c r="W7" s="27"/>
      <c r="X7" s="27"/>
    </row>
    <row r="8">
      <c r="B8" s="271" t="s">
        <v>44</v>
      </c>
      <c r="C8" s="25">
        <f>Inputs!C10</f>
        <v>778.5</v>
      </c>
      <c r="D8" s="282">
        <f>(C8+225*15/2/120*IF(1&lt;(IF(C8&gt;C9,1,0)+IF(C8&gt;C10,1,0)+IF(C8&gt;C11,1,0)),E27,0))*(1+0.02*C30)/(1+0.02*Baseline!C30)</f>
        <v>778.5</v>
      </c>
      <c r="E8" s="282">
        <f>IF(D8&lt;=1380,D8,IF(D8&lt;=1840,1380+0.9*(D8-1380),IF(D8&lt;=2300,1794+0.8*(D8-1840),IF(D8&lt;=2760,2162+0.7*(D8-2300),IF(D8&lt;=3680,2484+0.6*(D8-2760),IF(D8&lt;=9200,3036+0.5*(D8-3680),5796))))))</f>
        <v>778.5</v>
      </c>
      <c r="F8" s="4"/>
      <c r="G8" s="271" t="s">
        <v>159</v>
      </c>
      <c r="H8" s="118">
        <f>E8/4600+0.05+(C28+C32+C35)*0.01+IF(E28=4,1,0)*1.13*(1-exp(-1*$J$9*12/60))*0.04</f>
        <v>0.2192391304</v>
      </c>
      <c r="I8" s="271" t="s">
        <v>164</v>
      </c>
      <c r="J8" s="119">
        <f>1+H8*(1+2*0.02*(C26+C31))</f>
        <v>1.21923913</v>
      </c>
      <c r="K8" s="271" t="s">
        <v>167</v>
      </c>
      <c r="L8" s="84">
        <f>E8/5200/(1+0.02*C30)</f>
        <v>0.1497115385</v>
      </c>
      <c r="N8" s="276" t="s">
        <v>170</v>
      </c>
      <c r="O8" s="250">
        <f>Baseline!O8</f>
        <v>112528.835</v>
      </c>
      <c r="P8" s="94">
        <f>O8*$L$10*(1-C51*0.12/C152*1.13*(1-exp(-3*6/60*55/120)))*(1-$C$135*$C$130*$D$130*0.075)*(1-0.08*$C$80)*(1-IF(C127&gt;1,1)*0.06*E127)*(1-(0.04*10*(1/S40)*C100*(1-IF(OR(D100=1,AND(C152&lt;4,C131=1)),0,1)*IF(D100=2,1-(1-(0.75)^((5+(H15/2))/H15))/(1+3*(1-(0.75)^((5+(H15/2))/H15))*C82),1)*IF(NOT(OR(OR(D100=1,AND(C152&lt;4,C131=1)),D100=2)),1-(1-(0.75)^((4+(H15/2))/H15)),1))))*(1-C120*0.025)</f>
        <v>82103.33734</v>
      </c>
      <c r="Q8" s="27"/>
      <c r="R8" s="94">
        <f t="shared" si="3"/>
        <v>79913.91501</v>
      </c>
      <c r="S8" s="102">
        <f t="shared" ref="S8:S9" si="4">R8*(1-($T$26*8)*0.1)</f>
        <v>79913.91501</v>
      </c>
      <c r="T8" s="94">
        <f t="shared" si="2"/>
        <v>79913.91501</v>
      </c>
      <c r="U8" s="94">
        <f>T8*(T20*(6+2*C67))*0.15</f>
        <v>0</v>
      </c>
      <c r="V8" s="99">
        <f>IF(T8-U8-$T$19*(($L$7*0.3*$J$10*(1+0.4*$C$68)*(1+0.15*$C$46)))&gt;0,$T$19*($L$7*0.3*$J$10*(1+0.4*$C$68)*(1+0.15*$C$46)),T8-U8)</f>
        <v>11782.6837</v>
      </c>
      <c r="W8" s="27"/>
      <c r="X8" s="27"/>
    </row>
    <row r="9">
      <c r="B9" s="271" t="s">
        <v>50</v>
      </c>
      <c r="C9" s="25">
        <f>Inputs!C11</f>
        <v>1053.5</v>
      </c>
      <c r="D9" s="282">
        <f>(C9+225*15/2/120*IF(1&lt;(IF(C9&gt;C8,1,0)+IF(C9&gt;C10,1,0)+IF(C9&gt;C11,1,0)),E27,0))*(1+0.02*C30)/(1+0.02*Baseline!C30)</f>
        <v>1053.5</v>
      </c>
      <c r="E9" s="282">
        <f>IF(D9&lt;=1320,D9,IF(D9&lt;=1760,1320+0.9*(D9-1320),IF(D9&lt;=2200,1716+0.8*(D9-1760),IF(D9&lt;=2640,2068+0.7*(D9-2200),IF(D9&lt;=3520,2376+0.6*(D9-2640),IF(D9&lt;=8800,2904+0.5*(D9-3520),5544))))))</f>
        <v>1053.5</v>
      </c>
      <c r="F9" s="4"/>
      <c r="G9" s="271" t="s">
        <v>192</v>
      </c>
      <c r="H9" s="118">
        <f>(1+(C29+C33)*0.01)*E9/4400+(C29+C33)*0.01</f>
        <v>0.2394318182</v>
      </c>
      <c r="I9" s="271" t="s">
        <v>194</v>
      </c>
      <c r="J9" s="132">
        <f>(1+H9)*(1+C27*0.15/18)*(1+0.1*C104)*(1+0.02*C49)*(1+0.01*K134)</f>
        <v>1.524574934</v>
      </c>
      <c r="K9" s="283" t="s">
        <v>198</v>
      </c>
      <c r="L9" s="133">
        <f>3/10*J9</f>
        <v>0.4573724803</v>
      </c>
      <c r="N9" s="284" t="s">
        <v>200</v>
      </c>
      <c r="O9" s="250">
        <f>Baseline!O9</f>
        <v>0</v>
      </c>
      <c r="P9" s="135">
        <f>O9*$J$13*$L$10*(1-C51*0.12/C152*1.13*(1-exp(-3*6/60*55/120)))*(1-$C$135*$C$130*$D$130*0.075)*(1-0.08*$C$80)*(1-IF(C127&gt;1,1)*0.06*E127)*(1-(0.04*10*(1/S40)*C100*(1-IF(OR(D100=1,AND(C152&lt;4,C131=1)),0,1)*IF(D100=2,1-(1-(0.75)^((5+(H15/2))/H15))/(1+3*(1-(0.75)^((5+(H15/2))/H15))*C82),1)*IF(NOT(OR(OR(D100=1,AND(C152&lt;4,C131=1)),D100=2)),1-(1-(0.75)^((4+(H15/2))/H15)),1))))*(1-C120*0.025)</f>
        <v>0</v>
      </c>
      <c r="Q9" s="136"/>
      <c r="R9" s="135">
        <f t="shared" si="3"/>
        <v>0</v>
      </c>
      <c r="S9" s="102">
        <f t="shared" si="4"/>
        <v>0</v>
      </c>
      <c r="T9" s="94">
        <f t="shared" si="2"/>
        <v>0</v>
      </c>
      <c r="U9" s="135">
        <f>T8*(T20*(6+2*C67))*0.15</f>
        <v>0</v>
      </c>
      <c r="V9" s="135">
        <f>IF(T8+T9-U8-U9-V8&gt;0,MIN($T$19*($L$7*0.3*$J$10*(1+0.4*$C$68)*(1+0.15*$C$46))-V8,T8+T9-U8-U9-V8),0)
</f>
        <v>0</v>
      </c>
      <c r="W9" s="136"/>
      <c r="X9" s="136"/>
    </row>
    <row r="10">
      <c r="B10" s="271" t="s">
        <v>55</v>
      </c>
      <c r="C10" s="231">
        <f>Inputs!C12+10</f>
        <v>1524.5</v>
      </c>
      <c r="D10" s="282">
        <f>(C10+65*E24+225*15/2/120*IF(1&lt;(IF(C10&gt;C8,1,0)+IF(C10&gt;C9,0)+IF(C10&gt;C11,1,0)),E27,0))*(1+0.02*C30)/(1+0.02*Baseline!C30)</f>
        <v>1524.5</v>
      </c>
      <c r="E10" s="282">
        <f>IF(D10&lt;=1620,D10,IF(D10&lt;=2160,1622+0.9*(D10-1620),IF(D10&lt;=2700,2106+0.8*(D10-2160),IF(D10&lt;=3240,2538+0.7*(D10-2700),IF(D10&lt;=4320,2916+0.6*(D10-3240),IF(D10&lt;=10800,3564+0.5*(D10-4320),6804))))))</f>
        <v>1524.5</v>
      </c>
      <c r="F10" s="4"/>
      <c r="G10" s="271" t="s">
        <v>210</v>
      </c>
      <c r="H10" s="118">
        <f>E10/5400+(E26+E33)*0.01</f>
        <v>0.2823148148</v>
      </c>
      <c r="I10" s="281" t="s">
        <v>226</v>
      </c>
      <c r="J10" s="119">
        <f>1+H10</f>
        <v>1.282314815</v>
      </c>
      <c r="K10" s="281" t="s">
        <v>228</v>
      </c>
      <c r="L10" s="119">
        <f>1-H10/2</f>
        <v>0.8588425926</v>
      </c>
      <c r="N10" s="286" t="s">
        <v>230</v>
      </c>
      <c r="O10" s="140">
        <f t="shared" ref="O10:U10" si="5">SUM(O6:O9)</f>
        <v>3720571.088</v>
      </c>
      <c r="P10" s="140">
        <f t="shared" si="5"/>
        <v>510030.1443</v>
      </c>
      <c r="Q10" s="140">
        <f t="shared" si="5"/>
        <v>328414.5018</v>
      </c>
      <c r="R10" s="140">
        <f t="shared" si="5"/>
        <v>399570.6968</v>
      </c>
      <c r="S10" s="140">
        <f t="shared" si="5"/>
        <v>399570.6968</v>
      </c>
      <c r="T10" s="140">
        <f t="shared" si="5"/>
        <v>399570.6968</v>
      </c>
      <c r="U10" s="140">
        <f t="shared" si="5"/>
        <v>0</v>
      </c>
      <c r="V10" s="140">
        <f>sum(V6:V9)</f>
        <v>11782.6837</v>
      </c>
      <c r="W10" s="140">
        <f>(Y77+C27*0.0011*L7*(1-C144))</f>
        <v>384833.1119</v>
      </c>
      <c r="X10" s="152">
        <f>(MAX((T10-U10-V10-W10),0)*(1-$T$76*(10+2*C92))+MAX((T10-U10-V10-W10*(1.3+0.05*C92)),0)*($T$76*(10+2*C92))/(1.3+0.05*C92))/IF(D100=2,(1+0.06*(1-T40*(1-(0.75)^((5+(H15/2))/H15))/(1+3*(1-(0.75)^((5+(H15/2))/H15))*C82)/(1-(0.75)^((5+(H15/2))/H15)))),(1+0.02*C49))</f>
        <v>980.146107</v>
      </c>
    </row>
    <row r="11">
      <c r="B11" s="271" t="s">
        <v>62</v>
      </c>
      <c r="C11" s="25">
        <f>Inputs!C13</f>
        <v>479.5</v>
      </c>
      <c r="D11" s="282">
        <f>(C11+225*15/2/120*IF(1&lt;(IF(C11&gt;C8,1,0)+IF(C11&gt;C10,1,0)+IF(C11&gt;C9,1,0)),E27,0))*(1+0.02*C30)/(1+0.02*Baseline!C30)</f>
        <v>479.5</v>
      </c>
      <c r="E11" s="282">
        <f>IF(D11&lt;=1380,D11,IF(D11&lt;=1840,1380+0.9*(D11-1380),IF(D11&lt;=2300,1794+0.8*(D11-1840),IF(D11&lt;=2760,2162+0.7*(D11-2300),IF(D11&lt;=3680,2484+0.6*(D11-2760),IF(D11&lt;=9200,3036+0.5*(D11-3680),5796))))))</f>
        <v>479.5</v>
      </c>
      <c r="F11" s="4"/>
      <c r="G11" s="271" t="s">
        <v>232</v>
      </c>
      <c r="H11" s="118">
        <f>0.16+E11/2300+0.002*(C131*K134)</f>
        <v>0.3835236353</v>
      </c>
      <c r="I11" s="283" t="s">
        <v>253</v>
      </c>
      <c r="J11" s="119">
        <f t="shared" ref="J11:J12" si="6">H11</f>
        <v>0.3835236353</v>
      </c>
      <c r="K11" s="271" t="s">
        <v>255</v>
      </c>
      <c r="L11" s="52">
        <f>1+H11/2</f>
        <v>1.191761818</v>
      </c>
    </row>
    <row r="12">
      <c r="B12" s="281" t="s">
        <v>64</v>
      </c>
      <c r="C12" s="25">
        <f>Inputs!C14</f>
        <v>0</v>
      </c>
      <c r="D12" s="115">
        <f t="shared" ref="D12:D13" si="7">C12</f>
        <v>0</v>
      </c>
      <c r="E12" s="115">
        <f>IF(D12&lt;=690,D12,IF(D12&lt;=1035,690+0.8*(D12-690),IF(D12&lt;=1380,966+0.6*(D12-1035),1173+0.4*(D12-1380))))</f>
        <v>0</v>
      </c>
      <c r="F12" s="4"/>
      <c r="G12" s="271" t="s">
        <v>256</v>
      </c>
      <c r="H12" s="159">
        <f>E12/6900+C71*0.03+C131*E138*0.02</f>
        <v>0.03</v>
      </c>
      <c r="I12" s="271" t="s">
        <v>264</v>
      </c>
      <c r="J12" s="119">
        <f t="shared" si="6"/>
        <v>0.03</v>
      </c>
      <c r="K12" s="271" t="s">
        <v>266</v>
      </c>
      <c r="L12" s="119">
        <f>J12+C111*0.15*MIN(8*T42,1)+0.06*(10+2*$C$72)*T54*(1+C131*E138)</f>
        <v>0.185</v>
      </c>
    </row>
    <row r="13">
      <c r="B13" s="281" t="s">
        <v>66</v>
      </c>
      <c r="C13" s="25">
        <f>Inputs!C15</f>
        <v>0</v>
      </c>
      <c r="D13" s="115">
        <f t="shared" si="7"/>
        <v>0</v>
      </c>
      <c r="E13" s="115">
        <f>IF(D13&lt;=368,D13,IF(D13&lt;=552,368+0.8*(D13-368),IF(D13&lt;=736,515.2+0.6*(D13-552),625.6+0.4*(D13-736))))</f>
        <v>0</v>
      </c>
      <c r="F13" s="4"/>
      <c r="G13" s="271" t="s">
        <v>270</v>
      </c>
      <c r="H13" s="159">
        <f>E13/3680+C70*0.03</f>
        <v>0</v>
      </c>
      <c r="I13" s="271" t="s">
        <v>272</v>
      </c>
      <c r="J13" s="119">
        <f>1-H13</f>
        <v>1</v>
      </c>
      <c r="K13" s="271" t="s">
        <v>273</v>
      </c>
      <c r="L13" s="84">
        <f>622/19130+0.03+(L6+L8)/((L6+L8)*1+1/0.94)+0.05*8*T28</f>
        <v>0.2639229608</v>
      </c>
      <c r="N13" s="290" t="s">
        <v>24</v>
      </c>
      <c r="V13" s="171"/>
    </row>
    <row r="14">
      <c r="B14" s="271" t="s">
        <v>68</v>
      </c>
      <c r="C14" s="174">
        <f>Inputs!C16</f>
        <v>151.4</v>
      </c>
      <c r="D14" s="27"/>
      <c r="E14" s="27"/>
      <c r="F14" s="4"/>
      <c r="G14" s="271" t="s">
        <v>277</v>
      </c>
      <c r="H14" s="159">
        <f>0.03+0.02*C32</f>
        <v>0.03</v>
      </c>
      <c r="I14" s="283" t="s">
        <v>279</v>
      </c>
      <c r="J14" s="133">
        <f>(1+E30*0.05*(1.13*(1-exp(-1*J9*15/60))))*(1+C57*0.06*(1-0.85^(5/(3/((1/(1-0.15*C107))*(1+C130))))))*(1+C117*0.05)*IF(D100=2,(1+0.06*C119*(1-T40*(1-(0.75)^((5+(H15/2))/H15))/(1+3*(1-(0.75)^((5+(H15/2))/H15))*C82)/(1-(0.75)^((5+(H15/2))/H15)))),(1+0.06*(14-5*C131*E137)*C119*(1/S40)))*(1+IF(C127&gt;2,2,IF(C127=2,1,0))*0.03*E127)</f>
        <v>1.187330976</v>
      </c>
      <c r="K14" s="283" t="s">
        <v>281</v>
      </c>
      <c r="L14" s="84">
        <f>MAX(L13-0.015*(C153-90),0)+MAX(H14-0.015*(C153-90),0)+MAX(0.03-0.015*(C153-90),0)</f>
        <v>0.3239229608</v>
      </c>
      <c r="N14" s="291" t="s">
        <v>71</v>
      </c>
      <c r="O14" s="291" t="s">
        <v>115</v>
      </c>
      <c r="P14" s="291" t="s">
        <v>150</v>
      </c>
      <c r="Q14" s="291" t="s">
        <v>282</v>
      </c>
      <c r="R14" s="291" t="s">
        <v>283</v>
      </c>
      <c r="S14" s="291" t="s">
        <v>284</v>
      </c>
    </row>
    <row r="15">
      <c r="B15" s="281" t="s">
        <v>69</v>
      </c>
      <c r="C15" s="174">
        <f>Inputs!C17</f>
        <v>3.6</v>
      </c>
      <c r="D15" s="27"/>
      <c r="E15" s="27"/>
      <c r="F15" s="4"/>
      <c r="G15" s="271" t="s">
        <v>285</v>
      </c>
      <c r="H15" s="178">
        <f>C15/(J9*(1+0.06*(3+1.5*C130*C136)*C59*D59))/((195.5+21.9*C152-0.673*C152^2)/195.5)</f>
        <v>1.378599312</v>
      </c>
      <c r="I15" s="291" t="s">
        <v>286</v>
      </c>
      <c r="J15" s="133">
        <f>(1+E30*0.05*(1.13*(1-exp(-1*J9*15/60))))*IF(D100=2,(1+0.06*C119*(1-T40*(1-(0.75)^((5+(H15/2))/H15))/(1+3*(1-(0.75)^((5+(H15/2))/H15))*C82)/(1-(0.75)^((5+(H15/2))/H15)))),(1+0.02*C49))*(1+C73*0.15*(5+2*C68)*(1/S19*C149*(1-C150)))*(1+0.01*E31)</f>
        <v>1.04</v>
      </c>
      <c r="K15" s="291" t="s">
        <v>288</v>
      </c>
      <c r="L15" s="133">
        <f>IF(C127=4,1/(2.5+(2/(1-(L14+0.3*(0.151+0.367*(J8)-0.0791*(J8)^2+0.0086*(J8)^3)))-1+IF(C152=1,0.5,0))/C152),1/(2.5+(2/(1-(L14+0.3*T38*(8+C110*4)))-1+IF(C152=1,0.5,0))/C152))</f>
        <v>0.3269240909</v>
      </c>
      <c r="N15" s="181">
        <f>IF(X10=0,"Self-Sufficient (+"&amp;Round(-((T10-U10-V10-W10)*(1-$T$76*(10+2*C92))+(T10-U10-V10-W10*(1.3+0.05*C92))*($T$76*(10+2*C92)))/O10%,2)&amp;"%)",($O$10-$X$10)/$O$10)</f>
        <v>0.9997365603</v>
      </c>
      <c r="O15" s="182">
        <f t="shared" ref="O15:P15" si="8">V77</f>
        <v>324907.5826</v>
      </c>
      <c r="P15" s="182">
        <f t="shared" si="8"/>
        <v>112231.5124</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9379466.974</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11530085.91</v>
      </c>
      <c r="S15" s="182">
        <f>$L$7*O10/T10*(0.7+0.3/(1-0.15*C79-0.05*IF(C79&gt;0,1,0)))*(1+($T$76*(10+2*C92))*0.3)</f>
        <v>21778224.44</v>
      </c>
    </row>
    <row r="17">
      <c r="A17" s="2"/>
      <c r="B17" s="294" t="s">
        <v>70</v>
      </c>
      <c r="C17" s="2"/>
      <c r="D17" s="2"/>
      <c r="E17" s="2"/>
      <c r="G17" s="296" t="s">
        <v>292</v>
      </c>
      <c r="H17" s="269" t="s">
        <v>255</v>
      </c>
      <c r="I17" s="268" t="s">
        <v>293</v>
      </c>
      <c r="J17" s="268" t="s">
        <v>294</v>
      </c>
      <c r="K17" s="269" t="s">
        <v>295</v>
      </c>
      <c r="L17" s="269" t="s">
        <v>296</v>
      </c>
      <c r="M17" s="268" t="s">
        <v>297</v>
      </c>
      <c r="N17" s="268" t="s">
        <v>298</v>
      </c>
      <c r="O17" s="268" t="s">
        <v>299</v>
      </c>
      <c r="P17" s="269" t="s">
        <v>300</v>
      </c>
      <c r="Q17" s="268" t="s">
        <v>301</v>
      </c>
      <c r="R17" s="268" t="s">
        <v>302</v>
      </c>
      <c r="S17" s="268" t="s">
        <v>303</v>
      </c>
      <c r="T17" s="268" t="s">
        <v>304</v>
      </c>
      <c r="U17" s="268" t="s">
        <v>305</v>
      </c>
      <c r="V17" s="269" t="s">
        <v>115</v>
      </c>
      <c r="W17" s="269" t="s">
        <v>150</v>
      </c>
      <c r="X17" s="268" t="s">
        <v>306</v>
      </c>
      <c r="Y17" s="269" t="s">
        <v>307</v>
      </c>
      <c r="Z17" s="268" t="s">
        <v>308</v>
      </c>
      <c r="AA17" s="268" t="s">
        <v>309</v>
      </c>
      <c r="AB17" s="269" t="s">
        <v>310</v>
      </c>
    </row>
    <row r="18">
      <c r="A18" s="2"/>
      <c r="B18" s="276" t="s">
        <v>72</v>
      </c>
      <c r="C18" s="276" t="s">
        <v>73</v>
      </c>
      <c r="D18" s="276" t="s">
        <v>74</v>
      </c>
      <c r="E18" s="276" t="s">
        <v>75</v>
      </c>
      <c r="G18" s="297" t="s">
        <v>195</v>
      </c>
      <c r="H18" s="194"/>
      <c r="I18" s="194"/>
      <c r="J18" s="194"/>
      <c r="K18" s="194"/>
      <c r="L18" s="194"/>
      <c r="M18" s="194"/>
      <c r="N18" s="194"/>
      <c r="O18" s="195"/>
      <c r="P18" s="194"/>
      <c r="Q18" s="196">
        <f>1.5/$J$9</f>
        <v>0.983880796</v>
      </c>
      <c r="R18" s="197">
        <v>120.0</v>
      </c>
      <c r="S18" s="198">
        <f>R18+$C$151</f>
        <v>120.8</v>
      </c>
      <c r="T18" s="196">
        <f>1/S18*C102*D102</f>
        <v>0</v>
      </c>
      <c r="U18" s="199">
        <f>T18*Q18</f>
        <v>0</v>
      </c>
      <c r="V18" s="194"/>
      <c r="W18" s="194"/>
      <c r="X18" s="194"/>
      <c r="Y18" s="194"/>
      <c r="Z18" s="194"/>
      <c r="AA18" s="195"/>
      <c r="AB18" s="194"/>
    </row>
    <row r="19">
      <c r="A19" s="2"/>
      <c r="B19" s="174" t="str">
        <f>Inputs!B21</f>
        <v/>
      </c>
      <c r="C19" s="174">
        <f>Inputs!C21</f>
        <v>1</v>
      </c>
      <c r="D19" s="79"/>
      <c r="E19" s="79"/>
      <c r="G19" s="281" t="s">
        <v>311</v>
      </c>
      <c r="H19" s="201"/>
      <c r="I19" s="194"/>
      <c r="J19" s="203"/>
      <c r="K19" s="195"/>
      <c r="L19" s="195"/>
      <c r="M19" s="195"/>
      <c r="N19" s="194"/>
      <c r="O19" s="196">
        <f>AA19/T19</f>
        <v>58.34532407</v>
      </c>
      <c r="P19" s="194"/>
      <c r="Q19" s="194"/>
      <c r="R19" s="197">
        <v>60.0</v>
      </c>
      <c r="S19" s="196">
        <f>(R19-20*C68+20*C81)</f>
        <v>40</v>
      </c>
      <c r="T19" s="196">
        <f>1/S19*C149*C150</f>
        <v>0.01</v>
      </c>
      <c r="U19" s="195"/>
      <c r="V19" s="195"/>
      <c r="W19" s="195"/>
      <c r="X19" s="195"/>
      <c r="Y19" s="194"/>
      <c r="Z19" s="194"/>
      <c r="AA19" s="196">
        <f>T19*$J$10*(1+0.4*$C$68)*(1+0.15*$C$46)*25</f>
        <v>0.5834532407</v>
      </c>
      <c r="AB19" s="194"/>
    </row>
    <row r="20">
      <c r="A20" s="2"/>
      <c r="B20" s="276" t="s">
        <v>76</v>
      </c>
      <c r="C20" s="276" t="s">
        <v>77</v>
      </c>
      <c r="D20" s="276" t="s">
        <v>78</v>
      </c>
      <c r="G20" s="276" t="s">
        <v>141</v>
      </c>
      <c r="H20" s="27"/>
      <c r="I20" s="194"/>
      <c r="J20" s="194"/>
      <c r="K20" s="194"/>
      <c r="L20" s="194"/>
      <c r="M20" s="194"/>
      <c r="N20" s="194"/>
      <c r="O20" s="194"/>
      <c r="P20" s="194"/>
      <c r="Q20" s="196">
        <f t="shared" ref="Q20:Q22" si="9">1.5/$J$9</f>
        <v>0.983880796</v>
      </c>
      <c r="R20" s="204">
        <v>240.0</v>
      </c>
      <c r="S20" s="205">
        <f>240-60*C67</f>
        <v>180</v>
      </c>
      <c r="T20" s="196">
        <f>1/S20*C61*D61</f>
        <v>0</v>
      </c>
      <c r="U20" s="199">
        <f t="shared" ref="U20:U22" si="10">T20*Q20</f>
        <v>0</v>
      </c>
      <c r="V20" s="194"/>
      <c r="W20" s="195"/>
      <c r="X20" s="195"/>
      <c r="Y20" s="194"/>
      <c r="Z20" s="194"/>
      <c r="AA20" s="194"/>
      <c r="AB20" s="194"/>
    </row>
    <row r="21">
      <c r="A21" s="2"/>
      <c r="B21" s="25" t="str">
        <f>Inputs!B23</f>
        <v/>
      </c>
      <c r="C21" s="25" t="str">
        <f>Inputs!C23</f>
        <v/>
      </c>
      <c r="D21" s="78"/>
      <c r="G21" s="276" t="s">
        <v>313</v>
      </c>
      <c r="H21" s="206">
        <v>1.5</v>
      </c>
      <c r="I21" s="194"/>
      <c r="J21" s="207">
        <f>($J$6*(1+$E$116)*(1+$D$157)+$C$14*6)*H21*$J$10*$L$11*(1+0.01*E25)</f>
        <v>9480.037739</v>
      </c>
      <c r="K21" s="196">
        <f>J21*$J$8*$C$152*$J$14*(1+0.08*C120*D120)
</f>
        <v>70814.21719</v>
      </c>
      <c r="L21" s="209">
        <f>K21/$C$152</f>
        <v>14162.84344</v>
      </c>
      <c r="M21" s="209">
        <f>K21*$L$12</f>
        <v>13100.63018</v>
      </c>
      <c r="N21" s="194"/>
      <c r="O21" s="194"/>
      <c r="P21" s="194"/>
      <c r="Q21" s="196">
        <f t="shared" si="9"/>
        <v>0.983880796</v>
      </c>
      <c r="R21" s="197">
        <v>180.0</v>
      </c>
      <c r="S21" s="198">
        <f t="shared" ref="S21:S22" si="11">R21+$C$151</f>
        <v>180.8</v>
      </c>
      <c r="T21" s="196">
        <f>1/S21*E25</f>
        <v>0</v>
      </c>
      <c r="U21" s="199">
        <f t="shared" si="10"/>
        <v>0</v>
      </c>
      <c r="V21" s="196">
        <f>T21*K21</f>
        <v>0</v>
      </c>
      <c r="W21" s="196">
        <f>T21*L21</f>
        <v>0</v>
      </c>
      <c r="X21" s="196">
        <f>T21*M21</f>
        <v>0</v>
      </c>
      <c r="Y21" s="196">
        <f>X21*(1-$C$144)</f>
        <v>0</v>
      </c>
      <c r="Z21" s="194"/>
      <c r="AA21" s="194"/>
      <c r="AB21" s="194"/>
    </row>
    <row r="22">
      <c r="A22" s="2"/>
      <c r="B22" s="2"/>
      <c r="E22" s="2"/>
      <c r="G22" s="281" t="s">
        <v>314</v>
      </c>
      <c r="H22" s="201"/>
      <c r="I22" s="194"/>
      <c r="J22" s="203"/>
      <c r="K22" s="195"/>
      <c r="L22" s="195"/>
      <c r="M22" s="195"/>
      <c r="N22" s="194"/>
      <c r="O22" s="211">
        <f>20</f>
        <v>20</v>
      </c>
      <c r="P22" s="194"/>
      <c r="Q22" s="196">
        <f t="shared" si="9"/>
        <v>0.983880796</v>
      </c>
      <c r="R22" s="197">
        <v>120.0</v>
      </c>
      <c r="S22" s="198">
        <f t="shared" si="11"/>
        <v>120.8</v>
      </c>
      <c r="T22" s="196">
        <f>1/S22*C28</f>
        <v>0</v>
      </c>
      <c r="U22" s="199">
        <f t="shared" si="10"/>
        <v>0</v>
      </c>
      <c r="V22" s="195"/>
      <c r="W22" s="195"/>
      <c r="X22" s="195"/>
      <c r="Y22" s="194"/>
      <c r="Z22" s="194"/>
      <c r="AA22" s="196">
        <f>T22*O22</f>
        <v>0</v>
      </c>
      <c r="AB22" s="194"/>
    </row>
    <row r="23">
      <c r="A23" s="2"/>
      <c r="B23" s="294" t="s">
        <v>79</v>
      </c>
      <c r="C23" s="2"/>
      <c r="D23" s="2"/>
      <c r="E23" s="2"/>
      <c r="G23" s="281" t="s">
        <v>315</v>
      </c>
      <c r="H23" s="212">
        <f>5*C15/12*1.25*1.2</f>
        <v>2.25</v>
      </c>
      <c r="I23" s="194"/>
      <c r="J23" s="207">
        <f>($J$6*(1+$E$116)*(1+$D$157)+169*15/120*$C$24+$C$14*6)*H23*$J$10*$L$11</f>
        <v>14220.05661</v>
      </c>
      <c r="K23" s="196">
        <f>J23*$J$8*0.7*$J$14*(1+0.08*C120*D120)
</f>
        <v>14870.98561</v>
      </c>
      <c r="L23" s="209">
        <f>K23</f>
        <v>14870.98561</v>
      </c>
      <c r="M23" s="209">
        <f>K23*$L$12</f>
        <v>2751.132338</v>
      </c>
      <c r="N23" s="215"/>
      <c r="O23" s="194"/>
      <c r="P23" s="194"/>
      <c r="Q23" s="195"/>
      <c r="R23" s="216">
        <f>C15</f>
        <v>3.6</v>
      </c>
      <c r="S23" s="209">
        <f>H15</f>
        <v>1.378599312</v>
      </c>
      <c r="T23" s="209">
        <f>1/S23</f>
        <v>0.7253739295</v>
      </c>
      <c r="U23" s="217"/>
      <c r="V23" s="196">
        <f t="shared" ref="V23:V24" si="12">T23*K23</f>
        <v>10787.02527</v>
      </c>
      <c r="W23" s="196">
        <f t="shared" ref="W23:W24" si="13">T23*L23</f>
        <v>10787.02527</v>
      </c>
      <c r="X23" s="196">
        <f t="shared" ref="X23:X24" si="14">T23*M23</f>
        <v>1995.599674</v>
      </c>
      <c r="Y23" s="196">
        <f t="shared" ref="Y23:Y29" si="15">X23*(1-$C$144)</f>
        <v>1596.47974</v>
      </c>
      <c r="Z23" s="194"/>
      <c r="AA23" s="194"/>
      <c r="AB23" s="194"/>
    </row>
    <row r="24">
      <c r="A24" s="2"/>
      <c r="B24" s="281" t="s">
        <v>80</v>
      </c>
      <c r="C24" s="25">
        <f>Inputs!C26</f>
        <v>0</v>
      </c>
      <c r="D24" s="308" t="s">
        <v>81</v>
      </c>
      <c r="E24" s="25">
        <f>Inputs!E26</f>
        <v>0</v>
      </c>
      <c r="G24" s="276" t="s">
        <v>316</v>
      </c>
      <c r="H24" s="218">
        <f>0.1115*1.4/6*1.36*1.075*15</f>
        <v>0.5705455</v>
      </c>
      <c r="I24" s="204">
        <v>1.15</v>
      </c>
      <c r="J24" s="219">
        <f>($J$6*(1+$E$116)*(1+$D$157)+169*15/120*$C$24+$C$14*6)*H24*$J$10*$L$11*I24*(1+0.01*C24)</f>
        <v>4146.741202</v>
      </c>
      <c r="K24" s="196">
        <f>(J24*$J$8*INT($J$9*10/1+1)*0.7*$J$14+J24*7.875*1.25*$J$8*$C$152/SQRT(MAX(1,$C$152/8))*$J$14)*(1+0.15*$C$152/SQRT(MAX(1,$C$152/8))*(1+$C$131*0.05*MIN(1,5/$C$152))*J10)</f>
        <v>728949.0134</v>
      </c>
      <c r="L24" s="196">
        <f>(J24*$J$8*INT($J$9*10/1+1)*0.7*$J$14+J24*7.875*1.25*$J$8/SQRT(MAX(1,$C$152/8))*$J$14)+(K24/(1+0.15*$C$152/SQRT(MAX(1,$C$152/8))*(1+$C$131*0.05*MIN(1,5/$C$152))*J10))*(0.15*1/SQRT(MAX(1,$C$152/8))*(1+$C$131*0.05)*J10)</f>
        <v>199576.5934</v>
      </c>
      <c r="M24" s="196">
        <f>K24/((1+$C$131*0.05*MIN(1,5/$C$152)))/$C$152</f>
        <v>138847.4311</v>
      </c>
      <c r="N24" s="194"/>
      <c r="O24" s="194"/>
      <c r="P24" s="194"/>
      <c r="Q24" s="195"/>
      <c r="R24" s="195"/>
      <c r="S24" s="196">
        <f>S38</f>
        <v>90.8</v>
      </c>
      <c r="T24" s="196">
        <f>1/S24*C131</f>
        <v>0.01101321586</v>
      </c>
      <c r="U24" s="222"/>
      <c r="V24" s="196">
        <f t="shared" si="12"/>
        <v>8028.072835</v>
      </c>
      <c r="W24" s="196">
        <f t="shared" si="13"/>
        <v>2197.980104</v>
      </c>
      <c r="X24" s="196">
        <f t="shared" si="14"/>
        <v>1529.15673</v>
      </c>
      <c r="Y24" s="196">
        <f t="shared" si="15"/>
        <v>1223.325384</v>
      </c>
      <c r="Z24" s="194"/>
      <c r="AA24" s="194"/>
      <c r="AB24" s="194"/>
    </row>
    <row r="25">
      <c r="A25" s="2"/>
      <c r="B25" s="281" t="s">
        <v>83</v>
      </c>
      <c r="C25" s="25">
        <f>Inputs!C27</f>
        <v>0</v>
      </c>
      <c r="D25" s="308" t="s">
        <v>84</v>
      </c>
      <c r="E25" s="25">
        <f>Inputs!E27</f>
        <v>0</v>
      </c>
      <c r="G25" s="281" t="s">
        <v>177</v>
      </c>
      <c r="H25" s="206">
        <f>1.4256*1.15</f>
        <v>1.63944</v>
      </c>
      <c r="I25" s="204">
        <v>1.15</v>
      </c>
      <c r="J25" s="207">
        <f>($J$6*(1+$E$116)*(1+$D$157)+169*15/120*$C$24+$C$14*6)*H25*$J$10*$L$11*I25*(1+0.01*$E$25)*(1+0.3*C130)</f>
        <v>11915.49735</v>
      </c>
      <c r="K25" s="196">
        <f>J25*$J$8*$C$152*$J$14*(1+C130*0.15*$B$19*(1+0.2*$C$63))*(1+$C$131*0.05*MIN(1,5/$C$152))*$H$135*(1+0.08*C120*D120)
</f>
        <v>93457.00649</v>
      </c>
      <c r="L25" s="209">
        <f t="shared" ref="L25:L26" si="16">K25/$C$152</f>
        <v>18691.4013</v>
      </c>
      <c r="M25" s="209">
        <f>K25*$L$12</f>
        <v>17289.5462</v>
      </c>
      <c r="N25" s="194"/>
      <c r="O25" s="194"/>
      <c r="P25" s="195"/>
      <c r="Q25" s="196">
        <f>1.5/$J$9</f>
        <v>0.983880796</v>
      </c>
      <c r="R25" s="197">
        <v>7.5</v>
      </c>
      <c r="S25" s="196">
        <f>1/((1/(R25/J9))+(C113/((R25/J9)/((1/(1-0.15*C107))/3*(1+C130)*(1-(1-H8)^C152)*0.25))))</f>
        <v>4.91940398</v>
      </c>
      <c r="T25" s="196">
        <f>MIN(1/S25,MAX((1-SUM(U19:U23,U29:U41,U43:U50,U52:U76)-($L$9+SUM(Z19:Z50,Z52:Z76))*Q51/(-N51)+(SUM(AA19:AA24,AA26:AA41,AA43:AA50,AA52:AA76)+(($L$9+SUM(Z19:Z50)+SUM(Z52:Z76))*O51/(-N51)))/O42*Q42)/Q25*(-O42/(O25-O42)),(1+C130)/24-T47*C130*0.5))</f>
        <v>0.04166666667</v>
      </c>
      <c r="U25" s="199">
        <f>T25*Q25</f>
        <v>0.04099503317</v>
      </c>
      <c r="V25" s="196">
        <f>(T25+C108*T51*(1-(1-0.15)*(1-0.15*MAX(4,C152-1)))*1.5)*K25</f>
        <v>40930.03479</v>
      </c>
      <c r="W25" s="196">
        <f>(T25+C108*T51*(1-(1-0.15)*(1-0.15*MAX(4,C152-1)))*1.5)*L25</f>
        <v>8186.006957</v>
      </c>
      <c r="X25" s="196">
        <f>(T25+C108*T51*0.15*1.5)*M25</f>
        <v>2277.592912</v>
      </c>
      <c r="Y25" s="196">
        <f t="shared" si="15"/>
        <v>1822.07433</v>
      </c>
      <c r="Z25" s="194"/>
      <c r="AA25" s="195"/>
      <c r="AB25" s="195"/>
    </row>
    <row r="26">
      <c r="A26" s="2"/>
      <c r="B26" s="281" t="s">
        <v>85</v>
      </c>
      <c r="C26" s="25">
        <f>Inputs!C28</f>
        <v>0</v>
      </c>
      <c r="D26" s="308" t="s">
        <v>86</v>
      </c>
      <c r="E26" s="25">
        <f>Inputs!E28</f>
        <v>0</v>
      </c>
      <c r="G26" s="276" t="s">
        <v>161</v>
      </c>
      <c r="H26" s="218">
        <v>1.2</v>
      </c>
      <c r="I26" s="204">
        <v>1.15</v>
      </c>
      <c r="J26" s="207">
        <f>($J$6*(1+$E$116)*(1+$D$157)+169*15/120*$C$24+$C$14*6)*H26*$J$10*$L$11*I26*(1+0.01*$E$25)</f>
        <v>8721.63472</v>
      </c>
      <c r="K26" s="196">
        <f>J26*$J$8*$C$152*$J$14*(1+$C$131*0.05*MIN(1,5/$C$152))*(1+0.08*C120*D120)
</f>
        <v>68406.53381</v>
      </c>
      <c r="L26" s="196">
        <f t="shared" si="16"/>
        <v>13681.30676</v>
      </c>
      <c r="M26" s="196">
        <f>K26*(1+$L$12)*1.25</f>
        <v>101327.1782</v>
      </c>
      <c r="N26" s="194"/>
      <c r="O26" s="194"/>
      <c r="P26" s="194"/>
      <c r="Q26" s="195"/>
      <c r="R26" s="204">
        <v>120.0</v>
      </c>
      <c r="S26" s="204">
        <v>120.0</v>
      </c>
      <c r="T26" s="196">
        <f>1/S26*C76</f>
        <v>0</v>
      </c>
      <c r="U26" s="222"/>
      <c r="V26" s="196">
        <f>T26*K26</f>
        <v>0</v>
      </c>
      <c r="W26" s="196">
        <f>T26*L26</f>
        <v>0</v>
      </c>
      <c r="X26" s="196">
        <f t="shared" ref="X26:X28" si="17">T26*M26</f>
        <v>0</v>
      </c>
      <c r="Y26" s="196">
        <f t="shared" si="15"/>
        <v>0</v>
      </c>
      <c r="Z26" s="195"/>
      <c r="AA26" s="195"/>
      <c r="AB26" s="194"/>
    </row>
    <row r="27">
      <c r="A27" s="2"/>
      <c r="B27" s="281" t="s">
        <v>88</v>
      </c>
      <c r="C27" s="25">
        <f>Inputs!C29</f>
        <v>0</v>
      </c>
      <c r="D27" s="308" t="s">
        <v>89</v>
      </c>
      <c r="E27" s="25">
        <f>Inputs!E29</f>
        <v>0</v>
      </c>
      <c r="G27" s="276" t="s">
        <v>208</v>
      </c>
      <c r="H27" s="224"/>
      <c r="I27" s="194"/>
      <c r="J27" s="194"/>
      <c r="K27" s="194"/>
      <c r="L27" s="194"/>
      <c r="M27" s="196">
        <f>V10/T19</f>
        <v>1178268.37</v>
      </c>
      <c r="N27" s="194"/>
      <c r="O27" s="194"/>
      <c r="P27" s="194"/>
      <c r="Q27" s="195"/>
      <c r="R27" s="194"/>
      <c r="S27" s="194"/>
      <c r="T27" s="196">
        <f>T19*C112</f>
        <v>0</v>
      </c>
      <c r="U27" s="222"/>
      <c r="V27" s="222"/>
      <c r="W27" s="222"/>
      <c r="X27" s="196">
        <f t="shared" si="17"/>
        <v>0</v>
      </c>
      <c r="Y27" s="196">
        <f t="shared" si="15"/>
        <v>0</v>
      </c>
      <c r="Z27" s="195"/>
      <c r="AA27" s="194"/>
      <c r="AB27" s="194"/>
    </row>
    <row r="28">
      <c r="A28" s="2"/>
      <c r="B28" s="281" t="s">
        <v>90</v>
      </c>
      <c r="C28" s="25">
        <f>Inputs!C30</f>
        <v>0</v>
      </c>
      <c r="D28" s="308" t="s">
        <v>91</v>
      </c>
      <c r="E28" s="25">
        <f>Inputs!E30</f>
        <v>0</v>
      </c>
      <c r="G28" s="276" t="s">
        <v>215</v>
      </c>
      <c r="H28" s="206">
        <v>0.64</v>
      </c>
      <c r="I28" s="204">
        <v>1.15</v>
      </c>
      <c r="J28" s="207">
        <f>($J$6*(1+$E$116)*(1+$D$157)+169*15/120*$C$24+$C$14*6)*H28*$J$10*$L$11*I28*(1+0.01*E25)</f>
        <v>4651.538517</v>
      </c>
      <c r="K28" s="196">
        <f>J28*$J$8*$C$152/SQRT(MAX(1,$C$152/8))*$J$14*9*(1+0.08*C120*D120)*(1+$C$131*0.05*MIN(1,5/$C$152))</f>
        <v>328351.3623</v>
      </c>
      <c r="L28" s="196">
        <f t="shared" ref="L28:L29" si="18">K28/$C$152</f>
        <v>65670.27245</v>
      </c>
      <c r="M28" s="209">
        <f>K28*$L$12</f>
        <v>60745.00202</v>
      </c>
      <c r="N28" s="194"/>
      <c r="O28" s="219">
        <f>MIN(C152,5)*2*9</f>
        <v>90</v>
      </c>
      <c r="P28" s="194"/>
      <c r="Q28" s="195"/>
      <c r="R28" s="194"/>
      <c r="S28" s="194"/>
      <c r="T28" s="196">
        <f>T38*C118</f>
        <v>0</v>
      </c>
      <c r="U28" s="222"/>
      <c r="V28" s="196">
        <f>T28*K28</f>
        <v>0</v>
      </c>
      <c r="W28" s="196">
        <f>T28*L28</f>
        <v>0</v>
      </c>
      <c r="X28" s="196">
        <f t="shared" si="17"/>
        <v>0</v>
      </c>
      <c r="Y28" s="196">
        <f t="shared" si="15"/>
        <v>0</v>
      </c>
      <c r="Z28" s="195"/>
      <c r="AA28" s="196">
        <f>T28*O28</f>
        <v>0</v>
      </c>
      <c r="AB28" s="194"/>
    </row>
    <row r="29">
      <c r="A29" s="2"/>
      <c r="B29" s="281" t="s">
        <v>92</v>
      </c>
      <c r="C29" s="25">
        <f>Inputs!C31</f>
        <v>0</v>
      </c>
      <c r="D29" s="308" t="s">
        <v>93</v>
      </c>
      <c r="E29" s="25">
        <f>Inputs!E31</f>
        <v>0</v>
      </c>
      <c r="G29" s="281" t="s">
        <v>321</v>
      </c>
      <c r="H29" s="237">
        <f>0.3348*24/3*(1/(1-0.15*C107))</f>
        <v>3.151058824</v>
      </c>
      <c r="I29" s="204">
        <v>1.15</v>
      </c>
      <c r="J29" s="207">
        <f>($J$6*(1+$E$116)*(1+$D$157)+169*15/120*$C$24+$C$14*6)*H29*$J$10*$L$11*I29*(1+0.01*E25)</f>
        <v>22901.9867</v>
      </c>
      <c r="K29" s="196">
        <f>J29*$J$8*$C$152*$J$14*(1+0.4*C117*D117)*(1+$C$131*0.05*MIN(1,5/$C$152))*(1+0.08*C120*D120)*(1+0.15*C131)/(1+0.05*C117)
</f>
        <v>259690.0572</v>
      </c>
      <c r="L29" s="196">
        <f t="shared" si="18"/>
        <v>51938.01145</v>
      </c>
      <c r="M29" s="196">
        <f>K29*(1+0.85*$C$107+$L$12)*1.25</f>
        <v>660586.5831</v>
      </c>
      <c r="N29" s="194"/>
      <c r="O29" s="194"/>
      <c r="P29" s="194"/>
      <c r="Q29" s="195"/>
      <c r="R29" s="194"/>
      <c r="S29" s="194"/>
      <c r="T29" s="195"/>
      <c r="U29" s="222"/>
      <c r="V29" s="196">
        <f>K29/24*(1+C130)</f>
        <v>10820.41905</v>
      </c>
      <c r="W29" s="196">
        <f>L29/24*(1+C130)</f>
        <v>2164.08381</v>
      </c>
      <c r="X29" s="196">
        <f>M29/24*(1+C130)</f>
        <v>27524.44096</v>
      </c>
      <c r="Y29" s="196">
        <f t="shared" si="15"/>
        <v>22019.55277</v>
      </c>
      <c r="Z29" s="195"/>
      <c r="AA29" s="195"/>
      <c r="AB29" s="194"/>
    </row>
    <row r="30">
      <c r="A30" s="2"/>
      <c r="B30" s="276" t="s">
        <v>94</v>
      </c>
      <c r="C30" s="25">
        <f>Inputs!C32</f>
        <v>0</v>
      </c>
      <c r="D30" s="276" t="s">
        <v>95</v>
      </c>
      <c r="E30" s="25">
        <f>Inputs!E32</f>
        <v>0</v>
      </c>
      <c r="G30" s="276" t="s">
        <v>327</v>
      </c>
      <c r="H30" s="224"/>
      <c r="I30" s="194"/>
      <c r="J30" s="194"/>
      <c r="K30" s="194"/>
      <c r="L30" s="194"/>
      <c r="M30" s="209">
        <f>MIN(J11*(MAX(5*0.2*T10*(1+0.05*C111),7/100*L7)*(1+0.15*C42))*$J$10*(1+0.15*C46)*(1+0.2*C115),(0.5+0.15*C114)*L7*MAX(1,T42/0.2)/(1+($T$76*(10+2*C92))*(0.3+0.05*C92)))</f>
        <v>370162.2802</v>
      </c>
      <c r="N30" s="194"/>
      <c r="O30" s="194"/>
      <c r="P30" s="194"/>
      <c r="Q30" s="194"/>
      <c r="R30" s="194"/>
      <c r="S30" s="194"/>
      <c r="T30" s="196">
        <f>T42</f>
        <v>0.4013634798</v>
      </c>
      <c r="U30" s="222"/>
      <c r="V30" s="222"/>
      <c r="W30" s="222"/>
      <c r="X30" s="196">
        <f>MIN(T30,0.2)*M30</f>
        <v>74032.45605</v>
      </c>
      <c r="Y30" s="196">
        <f t="shared" ref="Y30:Y33" si="19">X30</f>
        <v>74032.45605</v>
      </c>
      <c r="Z30" s="195"/>
      <c r="AA30" s="195"/>
      <c r="AB30" s="194"/>
    </row>
    <row r="31">
      <c r="A31" s="2"/>
      <c r="B31" s="276" t="s">
        <v>96</v>
      </c>
      <c r="C31" s="25">
        <f>Inputs!C33</f>
        <v>0</v>
      </c>
      <c r="D31" s="276" t="s">
        <v>97</v>
      </c>
      <c r="E31" s="25">
        <f>Inputs!E33</f>
        <v>0</v>
      </c>
      <c r="G31" s="276" t="s">
        <v>328</v>
      </c>
      <c r="H31" s="218">
        <v>9.0</v>
      </c>
      <c r="I31" s="194"/>
      <c r="J31" s="219">
        <f>($J$6*(1+$E$116)*(1+$D$157)+169*15/120*$C$24+$C$14*6)*H31*$J$10*$L$11*(1+0.01*E25)</f>
        <v>56880.22643</v>
      </c>
      <c r="K31" s="196">
        <f>J31*$J$8*(2*$C$152/3+1/3)*(1+$C$131*0.05*MIN(1,5.5/($C$152+0.5)))*$H$135
</f>
        <v>266999.8016</v>
      </c>
      <c r="L31" s="196">
        <f>K31/(2*$C$152/3+1/3)</f>
        <v>72818.12771</v>
      </c>
      <c r="M31" s="209">
        <f>K31*$L$12</f>
        <v>49394.9633</v>
      </c>
      <c r="N31" s="194"/>
      <c r="O31" s="194"/>
      <c r="P31" s="194"/>
      <c r="Q31" s="195"/>
      <c r="R31" s="195"/>
      <c r="S31" s="195"/>
      <c r="T31" s="196">
        <f>T42/10*C158</f>
        <v>0.04013634798</v>
      </c>
      <c r="U31" s="222"/>
      <c r="V31" s="196">
        <f t="shared" ref="V31:V33" si="20">T31*K31</f>
        <v>10716.39695</v>
      </c>
      <c r="W31" s="196">
        <f t="shared" ref="W31:W33" si="21">T31*L31</f>
        <v>2922.653713</v>
      </c>
      <c r="X31" s="196">
        <f t="shared" ref="X31:X33" si="22">T31*M31</f>
        <v>1982.533435</v>
      </c>
      <c r="Y31" s="196">
        <f t="shared" si="19"/>
        <v>1982.533435</v>
      </c>
      <c r="Z31" s="194"/>
      <c r="AA31" s="194"/>
      <c r="AB31" s="194"/>
    </row>
    <row r="32">
      <c r="A32" s="2"/>
      <c r="B32" s="276" t="s">
        <v>98</v>
      </c>
      <c r="C32" s="25">
        <f>Inputs!C34</f>
        <v>0</v>
      </c>
      <c r="D32" s="276" t="s">
        <v>99</v>
      </c>
      <c r="E32" s="25">
        <f>Inputs!E34</f>
        <v>0</v>
      </c>
      <c r="G32" s="281" t="s">
        <v>193</v>
      </c>
      <c r="H32" s="206">
        <f>0.235*1.4/6*1.075</f>
        <v>0.05894583333</v>
      </c>
      <c r="I32" s="204">
        <v>1.0</v>
      </c>
      <c r="J32" s="219">
        <f>($J$6*(1+$E$116)*(1+$D$157)+169*15/120*$C$24+$C$14*6)*H32*$J$10*$L$11*I32*(1+0.01*C24)</f>
        <v>372.5391497</v>
      </c>
      <c r="K32" s="196">
        <f>J32*$J$8*INT($J$9*D101/1.4+1)*0.7*$J$14</f>
        <v>4152.630935</v>
      </c>
      <c r="L32" s="196">
        <f>K32</f>
        <v>4152.630935</v>
      </c>
      <c r="M32" s="196">
        <f>L7*0.5*0.15</f>
        <v>126217.095</v>
      </c>
      <c r="N32" s="194"/>
      <c r="O32" s="194"/>
      <c r="P32" s="194"/>
      <c r="Q32" s="195"/>
      <c r="R32" s="197">
        <f>60/5</f>
        <v>12</v>
      </c>
      <c r="S32" s="196">
        <f>R32/1.13</f>
        <v>10.61946903</v>
      </c>
      <c r="T32" s="196">
        <f>1/S32*C101</f>
        <v>0</v>
      </c>
      <c r="U32" s="222"/>
      <c r="V32" s="196">
        <f t="shared" si="20"/>
        <v>0</v>
      </c>
      <c r="W32" s="196">
        <f t="shared" si="21"/>
        <v>0</v>
      </c>
      <c r="X32" s="196">
        <f t="shared" si="22"/>
        <v>0</v>
      </c>
      <c r="Y32" s="196">
        <f t="shared" si="19"/>
        <v>0</v>
      </c>
      <c r="Z32" s="194"/>
      <c r="AA32" s="194"/>
      <c r="AB32" s="194"/>
    </row>
    <row r="33">
      <c r="A33" s="2"/>
      <c r="B33" s="276" t="s">
        <v>100</v>
      </c>
      <c r="C33" s="25">
        <f>Inputs!C35</f>
        <v>0</v>
      </c>
      <c r="D33" s="276" t="s">
        <v>101</v>
      </c>
      <c r="E33" s="25">
        <f>Inputs!E35</f>
        <v>0</v>
      </c>
      <c r="G33" s="276" t="s">
        <v>211</v>
      </c>
      <c r="H33" s="218">
        <v>1.1</v>
      </c>
      <c r="I33" s="204">
        <v>1.15</v>
      </c>
      <c r="J33" s="207">
        <f>($J$6*(1+$E$116)*(1+$D$157)+169*15/120*$C$24+$C$14*6)*H33*$J$10*$L$11*I33*(1+0.01*$E$25)</f>
        <v>7994.831827</v>
      </c>
      <c r="K33" s="196">
        <f>J33*$J$8*$J$14*(1+$C$131*0.05*MIN(1,5/$C$152))*$H$135*(1+0.08*C127)
</f>
        <v>16041.06704</v>
      </c>
      <c r="L33" s="196">
        <f>K33/C$152</f>
        <v>3208.213407</v>
      </c>
      <c r="M33" s="209">
        <f>K33*$L$12</f>
        <v>2967.597402</v>
      </c>
      <c r="N33" s="194"/>
      <c r="O33" s="194"/>
      <c r="P33" s="194"/>
      <c r="Q33" s="203"/>
      <c r="R33" s="204">
        <v>0.5</v>
      </c>
      <c r="S33" s="196">
        <f>1/T42</f>
        <v>2.491507201</v>
      </c>
      <c r="T33" s="196">
        <f>1/S33*C114</f>
        <v>0</v>
      </c>
      <c r="U33" s="203"/>
      <c r="V33" s="196">
        <f t="shared" si="20"/>
        <v>0</v>
      </c>
      <c r="W33" s="196">
        <f t="shared" si="21"/>
        <v>0</v>
      </c>
      <c r="X33" s="196">
        <f t="shared" si="22"/>
        <v>0</v>
      </c>
      <c r="Y33" s="196">
        <f t="shared" si="19"/>
        <v>0</v>
      </c>
      <c r="Z33" s="194"/>
      <c r="AA33" s="194"/>
      <c r="AB33" s="194"/>
    </row>
    <row r="34">
      <c r="A34" s="2"/>
      <c r="B34" s="276" t="s">
        <v>102</v>
      </c>
      <c r="C34" s="25">
        <f>Inputs!C36</f>
        <v>0</v>
      </c>
      <c r="D34" s="276" t="s">
        <v>103</v>
      </c>
      <c r="E34" s="25">
        <f>Inputs!E36</f>
        <v>0</v>
      </c>
      <c r="G34" s="276" t="s">
        <v>329</v>
      </c>
      <c r="H34" s="252"/>
      <c r="I34" s="203"/>
      <c r="J34" s="203"/>
      <c r="K34" s="203"/>
      <c r="L34" s="203"/>
      <c r="M34" s="203"/>
      <c r="N34" s="194"/>
      <c r="O34" s="194"/>
      <c r="P34" s="194"/>
      <c r="Q34" s="203"/>
      <c r="R34" s="203"/>
      <c r="S34" s="203"/>
      <c r="T34" s="203"/>
      <c r="U34" s="203"/>
      <c r="V34" s="203"/>
      <c r="W34" s="203"/>
      <c r="X34" s="196">
        <f>T10*0.02*E33</f>
        <v>0</v>
      </c>
      <c r="Y34" s="196">
        <f t="shared" ref="Y34:Y36" si="23">X34*(1-$C$144)</f>
        <v>0</v>
      </c>
      <c r="Z34" s="194"/>
      <c r="AA34" s="194"/>
      <c r="AB34" s="194"/>
    </row>
    <row r="35">
      <c r="A35" s="2"/>
      <c r="B35" s="276" t="s">
        <v>104</v>
      </c>
      <c r="C35" s="25">
        <f>Inputs!C37</f>
        <v>0</v>
      </c>
      <c r="D35" s="276"/>
      <c r="E35" s="25" t="str">
        <f>Inputs!E37</f>
        <v/>
      </c>
      <c r="G35" s="281" t="s">
        <v>218</v>
      </c>
      <c r="H35" s="218">
        <f>4.8084*1.3</f>
        <v>6.25092</v>
      </c>
      <c r="I35" s="204">
        <v>1.15</v>
      </c>
      <c r="J35" s="207">
        <f>($J$6*(1+$E$116)*(1+$D$157)+169*15/120*$C$24+$C$14*6)*H35*$J$10*$L$11*I35*(1+0.01*$E$25)</f>
        <v>45431.86742</v>
      </c>
      <c r="K35" s="196">
        <f>J35*$J$8*$C$152/SQRT(MAX(1,$C$152/8))*$J$14*(1+$C$131*0.05*MIN(1,5/$C$152))*(1+0.08*C120*D120)+24/(1+C130)*V29*D121*0.25*(1+0.08*C120*D120)</f>
        <v>423336.51</v>
      </c>
      <c r="L35" s="196">
        <f>K35/$C$152</f>
        <v>84667.302</v>
      </c>
      <c r="M35" s="196">
        <f>K35*$L$12+24/(1+C130)*V29*D121*0.25*(1+0.08*C120*D120)*(1+0.5*$C$107+$L$12)*1.25+K35*C125*1.5*J11*J10*(1+0.15*C46)*(1+0.2*C115)/(1-$C$144)</f>
        <v>219436.0776</v>
      </c>
      <c r="N35" s="194"/>
      <c r="O35" s="194"/>
      <c r="P35" s="194"/>
      <c r="Q35" s="196">
        <f>(1+0.5*D121)/$J$9</f>
        <v>0.983880796</v>
      </c>
      <c r="R35" s="204">
        <v>45.0</v>
      </c>
      <c r="S35" s="198">
        <f>(R35/(1+$C$125*22.5*1.1/60*1.13*$J$9))+$C$151</f>
        <v>45.8</v>
      </c>
      <c r="T35" s="196">
        <f>1/S35*C121</f>
        <v>0</v>
      </c>
      <c r="U35" s="199">
        <f t="shared" ref="U35:U36" si="24">T35*Q35</f>
        <v>0</v>
      </c>
      <c r="V35" s="196">
        <f t="shared" ref="V35:V36" si="25">T35*K35</f>
        <v>0</v>
      </c>
      <c r="W35" s="196">
        <f t="shared" ref="W35:W36" si="26">T35*L35</f>
        <v>0</v>
      </c>
      <c r="X35" s="196">
        <f t="shared" ref="X35:X36" si="27">T35*M35</f>
        <v>0</v>
      </c>
      <c r="Y35" s="196">
        <f t="shared" si="23"/>
        <v>0</v>
      </c>
      <c r="Z35" s="194"/>
      <c r="AA35" s="194"/>
      <c r="AB35" s="194"/>
    </row>
    <row r="36">
      <c r="A36" s="2"/>
      <c r="B36" s="2"/>
      <c r="C36" s="2"/>
      <c r="D36" s="2"/>
      <c r="E36" s="2"/>
      <c r="G36" s="276" t="s">
        <v>330</v>
      </c>
      <c r="H36" s="253">
        <v>2.52</v>
      </c>
      <c r="I36" s="203"/>
      <c r="J36" s="207">
        <f>($J$6*(1+$E$116)*(1+$D$157)+$C$14*6)*H36*$J$10*$L$11</f>
        <v>15926.4634</v>
      </c>
      <c r="K36" s="196">
        <f>J36*$J$8*$J$14*(1+0.08*C120*D120)</f>
        <v>23793.57698</v>
      </c>
      <c r="L36" s="196">
        <f>K36</f>
        <v>23793.57698</v>
      </c>
      <c r="M36" s="194"/>
      <c r="N36" s="194"/>
      <c r="O36" s="194"/>
      <c r="P36" s="194"/>
      <c r="Q36" s="196">
        <f>1.5/$J$9</f>
        <v>0.983880796</v>
      </c>
      <c r="R36" s="197">
        <v>90.0</v>
      </c>
      <c r="S36" s="198">
        <f>R36+$C$151</f>
        <v>90.8</v>
      </c>
      <c r="T36" s="196">
        <f>1/S36*IF($E$29=1,1,0)</f>
        <v>0</v>
      </c>
      <c r="U36" s="199">
        <f t="shared" si="24"/>
        <v>0</v>
      </c>
      <c r="V36" s="196">
        <f t="shared" si="25"/>
        <v>0</v>
      </c>
      <c r="W36" s="196">
        <f t="shared" si="26"/>
        <v>0</v>
      </c>
      <c r="X36" s="196">
        <f t="shared" si="27"/>
        <v>0</v>
      </c>
      <c r="Y36" s="196">
        <f t="shared" si="23"/>
        <v>0</v>
      </c>
      <c r="Z36" s="194"/>
      <c r="AA36" s="194"/>
      <c r="AB36" s="194"/>
    </row>
    <row r="37">
      <c r="A37" s="2"/>
      <c r="B37" s="321" t="s">
        <v>105</v>
      </c>
      <c r="C37" s="283" t="s">
        <v>106</v>
      </c>
      <c r="D37" s="283" t="s">
        <v>107</v>
      </c>
      <c r="E37" s="2"/>
      <c r="G37" s="276" t="s">
        <v>331</v>
      </c>
      <c r="H37" s="254"/>
      <c r="I37" s="255"/>
      <c r="J37" s="255"/>
      <c r="K37" s="255"/>
      <c r="L37" s="255"/>
      <c r="M37" s="194"/>
      <c r="N37" s="204">
        <v>1.0</v>
      </c>
      <c r="O37" s="194"/>
      <c r="P37" s="255"/>
      <c r="Q37" s="255"/>
      <c r="R37" s="255"/>
      <c r="S37" s="255"/>
      <c r="T37" s="196">
        <f>F127</f>
        <v>0.1402974432</v>
      </c>
      <c r="U37" s="195"/>
      <c r="V37" s="195"/>
      <c r="W37" s="195"/>
      <c r="X37" s="195"/>
      <c r="Y37" s="194"/>
      <c r="Z37" s="196">
        <f>T37*N37</f>
        <v>0.1402974432</v>
      </c>
      <c r="AA37" s="194"/>
      <c r="AB37" s="194"/>
    </row>
    <row r="38">
      <c r="A38" s="322" t="s">
        <v>108</v>
      </c>
      <c r="B38" s="276" t="s">
        <v>109</v>
      </c>
      <c r="C38" s="25">
        <f>Inputs!C40</f>
        <v>1</v>
      </c>
      <c r="D38" s="78"/>
      <c r="E38" s="2"/>
      <c r="G38" s="281"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2068951.823</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642632.2405</v>
      </c>
      <c r="M38" s="194"/>
      <c r="N38" s="194"/>
      <c r="O38" s="194"/>
      <c r="P38" s="256">
        <f>D105*C105</f>
        <v>5</v>
      </c>
      <c r="Q38" s="196">
        <f>1.5/$J$9</f>
        <v>0.983880796</v>
      </c>
      <c r="R38" s="197">
        <v>120.0</v>
      </c>
      <c r="S38" s="196">
        <f>120-30*C105+$C$151</f>
        <v>90.8</v>
      </c>
      <c r="T38" s="196">
        <f>1/S38*C98*C149</f>
        <v>0.01101321586</v>
      </c>
      <c r="U38" s="199">
        <f>T38*Q38</f>
        <v>0.01083569159</v>
      </c>
      <c r="V38" s="196">
        <f t="shared" ref="V38:V40" si="28">T38*K38</f>
        <v>22785.81303</v>
      </c>
      <c r="W38" s="196">
        <f t="shared" ref="W38:W40" si="29">T38*L38</f>
        <v>7077.447583</v>
      </c>
      <c r="X38" s="195"/>
      <c r="Y38" s="194"/>
      <c r="Z38" s="194"/>
      <c r="AA38" s="194"/>
      <c r="AB38" s="196">
        <f>P38*T38</f>
        <v>0.0550660793</v>
      </c>
    </row>
    <row r="39">
      <c r="A39" s="97"/>
      <c r="B39" s="276" t="s">
        <v>110</v>
      </c>
      <c r="C39" s="25">
        <f>Inputs!C41</f>
        <v>1</v>
      </c>
      <c r="D39" s="78"/>
      <c r="E39" s="2"/>
      <c r="G39" s="276"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453436.2201</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179762.2004</v>
      </c>
      <c r="M39" s="194"/>
      <c r="N39" s="255"/>
      <c r="O39" s="255"/>
      <c r="P39" s="194"/>
      <c r="Q39" s="255"/>
      <c r="R39" s="255"/>
      <c r="S39" s="255">
        <f>IF(OR(D100=1,AND(C152&lt;4,C131=1)),MAX((10-5*C131*E137+H15*3.5+C151),12),0)+IF(NOT(OR(D100=1,AND(C152&lt;4,C131=1))),15-5*C131*E137-C82,0)</f>
        <v>14</v>
      </c>
      <c r="T39" s="196">
        <f>IF(C127&gt;3,1,0)*0.1*(T40+T43+T51+T57+T63)</f>
        <v>0.05623399273</v>
      </c>
      <c r="U39" s="195"/>
      <c r="V39" s="196">
        <f t="shared" si="28"/>
        <v>25498.52911</v>
      </c>
      <c r="W39" s="196">
        <f t="shared" si="29"/>
        <v>10108.74627</v>
      </c>
      <c r="X39" s="195"/>
      <c r="Y39" s="194"/>
      <c r="Z39" s="194"/>
      <c r="AA39" s="194"/>
      <c r="AB39" s="195"/>
    </row>
    <row r="40">
      <c r="A40" s="98"/>
      <c r="B40" s="276" t="s">
        <v>111</v>
      </c>
      <c r="C40" s="25">
        <f>Inputs!C42</f>
        <v>1</v>
      </c>
      <c r="D40" s="78"/>
      <c r="E40" s="2"/>
      <c r="G40" s="281" t="s">
        <v>333</v>
      </c>
      <c r="H40" s="237">
        <f>0.083*(11+2*C107)*1.3*1.25</f>
        <v>1.753375</v>
      </c>
      <c r="I40" s="204">
        <f>1.48*1.15</f>
        <v>1.702</v>
      </c>
      <c r="J40" s="207">
        <f>($J$6*(1+$E$116)*(1+$D$157)+169*15/120*$C$24+$C$14*6)*H40*$J$10*$L$11*I40*(1+0.01*E25)</f>
        <v>18860.49874</v>
      </c>
      <c r="K40" s="196">
        <f>J40*$J$8*$C$152*$J$14*(1+$C$131*0.05*MIN(1,5/$C$152))*(1+0.08*C120*D120)
</f>
        <v>147928.8443</v>
      </c>
      <c r="L40" s="196">
        <f>K40/$C$152</f>
        <v>29585.76887</v>
      </c>
      <c r="M40" s="196">
        <f>K40*$L$12+($J$6*(1+$E$116)*(1+$D$157)+4925*15/120*C24+$C$14*6)*0.375*(D97+2*C104)*$J$10*$J$8*$L$11*C94*(1-IF(OR(D100=1,AND(C152&lt;4,C131=1)),0,1)*IF(D100=2,1-(1-(0.75)^((5+(H15/2))/H15))/(1+3*(1-(0.75)^((5+(H15/2))/H15))*C82),1)*IF(NOT(OR(OR(D100=1,AND(C152&lt;4,C131=1)),D100=2)),1-(1-(0.75)^((4+(H15/2))/H15)),1))</f>
        <v>43598.62249</v>
      </c>
      <c r="N40" s="196">
        <f>-1*IF(OR(D100=1,AND(C152&lt;4,C131=1)),0,1)*IF(D100=2,1-(1-(0.75)^((5+(H15/2))/H15))/(1+3*(1-(0.75)^((5+(H15/2))/H15))*C82),1)*IF(NOT(OR(OR(D100=1,AND(C152&lt;4,C131=1)),D100=2)),1-(1-(0.75)^((4+(H15/2))/H15)),1)</f>
        <v>-0.3758559437</v>
      </c>
      <c r="O40" s="196">
        <f>10*IF(OR(D100=1,AND(C152&lt;4,C131=1)),C94,1)*IF(D100=2,IF(C94&gt;0,1,1-(1-(0.75)^((5+(H15/2))/H15))/(1+3*(1-(0.75)^((5+(H15/2))/H15))*C82)),1)*IF(NOT(OR(OR(D100=1,AND(C152&lt;4,C131=1)),D100=2)),IF(C94&gt;0,1,1-(1-(0.75)^((4+(H15/2))/H15))),1)</f>
        <v>10</v>
      </c>
      <c r="P40" s="194"/>
      <c r="Q40" s="196">
        <f>1.5/$J$9</f>
        <v>0.983880796</v>
      </c>
      <c r="R40" s="197">
        <v>15.0</v>
      </c>
      <c r="S40" s="196">
        <f>IF(OR(D100=1,AND(C152&lt;4,C131=1)),MAX((10-5*C131*E137+H15*3.5+C151),12),0)+IF(NOT(OR(D100=1,AND(C152&lt;4,C131=1))),15-5*C131*E137-C82,0)</f>
        <v>14</v>
      </c>
      <c r="T40" s="196">
        <f>1/S40</f>
        <v>0.07142857143</v>
      </c>
      <c r="U40" s="199">
        <f>T40*Q40</f>
        <v>0.07027719971</v>
      </c>
      <c r="V40" s="196">
        <f t="shared" si="28"/>
        <v>10566.34602</v>
      </c>
      <c r="W40" s="196">
        <f t="shared" si="29"/>
        <v>2113.269205</v>
      </c>
      <c r="X40" s="196">
        <f t="shared" ref="X40:X41" si="30">T40*M40</f>
        <v>3114.187321</v>
      </c>
      <c r="Y40" s="196">
        <f>X40*(1-$C$144)</f>
        <v>2491.349856</v>
      </c>
      <c r="Z40" s="196">
        <f>T40*N40</f>
        <v>-0.02684685312</v>
      </c>
      <c r="AA40" s="196">
        <f>T40*O40</f>
        <v>0.7142857143</v>
      </c>
      <c r="AB40" s="194"/>
    </row>
    <row r="41">
      <c r="A41" s="322" t="s">
        <v>112</v>
      </c>
      <c r="B41" s="276" t="s">
        <v>113</v>
      </c>
      <c r="C41" s="25">
        <f>Inputs!C43</f>
        <v>1</v>
      </c>
      <c r="D41" s="78"/>
      <c r="E41" s="2"/>
      <c r="G41" s="276" t="s">
        <v>135</v>
      </c>
      <c r="H41" s="254"/>
      <c r="I41" s="194"/>
      <c r="J41" s="194"/>
      <c r="K41" s="255"/>
      <c r="L41" s="255"/>
      <c r="M41" s="196">
        <f>$L$7*(0.2+0.1*C62)*$J$10</f>
        <v>431600.1355</v>
      </c>
      <c r="N41" s="194"/>
      <c r="O41" s="194"/>
      <c r="P41" s="194"/>
      <c r="Q41" s="194"/>
      <c r="R41" s="197">
        <v>120.0</v>
      </c>
      <c r="S41" s="198">
        <f>R41-30*C62+$C$151</f>
        <v>120.8</v>
      </c>
      <c r="T41" s="196">
        <f>1/S41*C56</f>
        <v>0</v>
      </c>
      <c r="U41" s="222"/>
      <c r="V41" s="222"/>
      <c r="W41" s="222"/>
      <c r="X41" s="196">
        <f t="shared" si="30"/>
        <v>0</v>
      </c>
      <c r="Y41" s="196">
        <f>X41</f>
        <v>0</v>
      </c>
      <c r="Z41" s="194"/>
      <c r="AA41" s="194"/>
      <c r="AB41" s="194"/>
    </row>
    <row r="42">
      <c r="A42" s="97"/>
      <c r="B42" s="276" t="s">
        <v>114</v>
      </c>
      <c r="C42" s="25">
        <f>Inputs!C44</f>
        <v>1</v>
      </c>
      <c r="D42" s="78"/>
      <c r="G42" s="323" t="s">
        <v>110</v>
      </c>
      <c r="H42" s="260">
        <f>1.5312*1.2*1.12</f>
        <v>2.0579328</v>
      </c>
      <c r="I42" s="204">
        <f>2.3</f>
        <v>2.3</v>
      </c>
      <c r="J42" s="207">
        <f>($J$6*(1+$E$116)*(1+$D$157)+169*15/120*$C$24+$C$14*6)*H42*$J$10*$L$11*I42*(1+0.12*C130)</f>
        <v>29914.23027</v>
      </c>
      <c r="K42" s="196">
        <f>J42*$J$8*0.7*(1+C99*0.08*MIN((T25+C108*T51*(1-(1-0.15)*(1-0.15*MAX(4,C152-1))))/T42*C152,5))*(1+0.6*C19*(1+0.2*C63))*$J$14*(1+0.08*C120)*(1+0.05*K134)*MAX((1+0.2*C63*C19),MIN((1+0.2*C63*C19)+C106*0.75*(C152-1),(1+0.2*C63*C19)+C106*1.5))</f>
        <v>273000.9088</v>
      </c>
      <c r="L42" s="196">
        <f>K42*(1+0.2*C63*C19)/MAX((1+0.2*C63*C19),MIN((1+0.2*C63*C19)+C106*0.75*(C152-1),(1+0.2*C63*C19)+C106*1.5))</f>
        <v>121333.7372</v>
      </c>
      <c r="M42" s="196">
        <f>K42*$L$12+MAX(5*0.2*T10*(1+0.05*C111),7/100*L7)*(1+C99*0.08*MIN((T25+C108*T51*(1-(1-0.15)*(1-0.15*MAX(4,C152-1))))/T42*C152,5))*$J$10*$J$15*(1+0.15*C42)</f>
        <v>890080.1592</v>
      </c>
      <c r="N42" s="194"/>
      <c r="O42" s="196">
        <f>(-45)+5*C91+IF(C42&gt;0,5,0)+10*8*T26</f>
        <v>-35</v>
      </c>
      <c r="P42" s="194"/>
      <c r="Q42" s="196">
        <f t="shared" ref="Q42:Q43" si="31">1.5/$J$9</f>
        <v>0.983880796</v>
      </c>
      <c r="R42" s="194"/>
      <c r="S42" s="194"/>
      <c r="T42" s="196">
        <f>-(SUM(AA19:AA41,AA43:AA76))/O42</f>
        <v>0.4013634798</v>
      </c>
      <c r="U42" s="199">
        <f t="shared" ref="U42:U43" si="32">T42*Q42</f>
        <v>0.3948938199</v>
      </c>
      <c r="V42" s="196">
        <f t="shared" ref="V42:V44" si="33">T42*K42</f>
        <v>109572.5947</v>
      </c>
      <c r="W42" s="196">
        <f t="shared" ref="W42:W44" si="34">T42*L42</f>
        <v>48698.93099</v>
      </c>
      <c r="X42" s="196">
        <f>MIN(T42,0.2)*M42</f>
        <v>178016.0318</v>
      </c>
      <c r="Y42" s="196">
        <f t="shared" ref="Y42:Y48" si="35">X42*(1-$C$144)</f>
        <v>142412.8255</v>
      </c>
      <c r="Z42" s="194"/>
      <c r="AA42" s="196">
        <f t="shared" ref="AA42:AA43" si="36">T42*O42</f>
        <v>-14.04772179</v>
      </c>
      <c r="AB42" s="194"/>
    </row>
    <row r="43">
      <c r="A43" s="98"/>
      <c r="B43" s="276" t="s">
        <v>116</v>
      </c>
      <c r="C43" s="25">
        <f>Inputs!C45</f>
        <v>1</v>
      </c>
      <c r="D43" s="78"/>
      <c r="E43" s="2"/>
      <c r="G43" s="281" t="s">
        <v>334</v>
      </c>
      <c r="H43" s="263">
        <f>0.4374</f>
        <v>0.4374</v>
      </c>
      <c r="I43" s="204">
        <v>1.15</v>
      </c>
      <c r="J43" s="207">
        <f>($J$6*(1+$E$116)*(1+$D$157)+169*15/120*$C$24+$C$14*6)*H43*$J$10*$L$11*I43*(1+0.01*E25)</f>
        <v>3179.035855</v>
      </c>
      <c r="K43" s="196">
        <f>J43*$J$8*$J$14*(1+$C$131*0.05)*(1+0.08*C120*D120)</f>
        <v>4986.836314</v>
      </c>
      <c r="L43" s="209">
        <f t="shared" ref="L43:L46" si="37">K43</f>
        <v>4986.836314</v>
      </c>
      <c r="M43" s="209">
        <f>K43*$L$12</f>
        <v>922.5647182</v>
      </c>
      <c r="N43" s="197">
        <v>-1.0</v>
      </c>
      <c r="O43" s="211">
        <v>10.0</v>
      </c>
      <c r="P43" s="204">
        <v>2.0</v>
      </c>
      <c r="Q43" s="196">
        <f t="shared" si="31"/>
        <v>0.983880796</v>
      </c>
      <c r="R43" s="204">
        <v>6.0</v>
      </c>
      <c r="S43" s="198">
        <f>IF(4*Q43&gt;=R43,4*Q43,(IF(5*Q43&gt;=R43,5*Q43,(IF(6*Q43&gt;=R43,6*Q43,(IF(7*Q43&gt;=R43,7*Q43,(8*Q43))))))))</f>
        <v>6.887165572</v>
      </c>
      <c r="T43" s="196">
        <f>MIN(1/S43,(L15-SUM(AB19:AB42)-SUM(AB44:AB56)-SUM(AB61:AB76))/2)*D87</f>
        <v>0</v>
      </c>
      <c r="U43" s="199">
        <f t="shared" si="32"/>
        <v>0</v>
      </c>
      <c r="V43" s="196">
        <f t="shared" si="33"/>
        <v>0</v>
      </c>
      <c r="W43" s="196">
        <f t="shared" si="34"/>
        <v>0</v>
      </c>
      <c r="X43" s="196">
        <f t="shared" ref="X43:X44" si="38">T43*M43</f>
        <v>0</v>
      </c>
      <c r="Y43" s="196">
        <f t="shared" si="35"/>
        <v>0</v>
      </c>
      <c r="Z43" s="196">
        <f>T43*N43</f>
        <v>0</v>
      </c>
      <c r="AA43" s="196">
        <f t="shared" si="36"/>
        <v>0</v>
      </c>
      <c r="AB43" s="196">
        <f>P43*T43</f>
        <v>0</v>
      </c>
    </row>
    <row r="44">
      <c r="A44" s="322" t="s">
        <v>117</v>
      </c>
      <c r="B44" s="276" t="s">
        <v>118</v>
      </c>
      <c r="C44" s="25">
        <f>Inputs!C46</f>
        <v>1</v>
      </c>
      <c r="D44" s="264">
        <f>Inputs!D46</f>
        <v>0</v>
      </c>
      <c r="G44" s="276" t="s">
        <v>335</v>
      </c>
      <c r="H44" s="263">
        <f>0.22</f>
        <v>0.22</v>
      </c>
      <c r="I44" s="255"/>
      <c r="J44" s="207">
        <f t="shared" ref="J44:J45" si="39">($J$6*(1+$E$116)*(1+$D$157)+$C$14*6)*H44*$J$10*$L$11</f>
        <v>1390.405535</v>
      </c>
      <c r="K44" s="196">
        <f>J44*$J$8*$J$14*(1+0.08*C120*D120)</f>
        <v>2077.217038</v>
      </c>
      <c r="L44" s="196">
        <f t="shared" si="37"/>
        <v>2077.217038</v>
      </c>
      <c r="M44" s="196">
        <f>K44*(1+$L$12)</f>
        <v>2461.50219</v>
      </c>
      <c r="N44" s="255"/>
      <c r="O44" s="255"/>
      <c r="P44" s="194"/>
      <c r="Q44" s="255"/>
      <c r="R44" s="197">
        <f>60/3</f>
        <v>20</v>
      </c>
      <c r="S44" s="196">
        <f>R44/1.13/$J$9</f>
        <v>11.60921293</v>
      </c>
      <c r="T44" s="196">
        <f>1/S44*IF($E$28=1,1,0)</f>
        <v>0</v>
      </c>
      <c r="U44" s="194"/>
      <c r="V44" s="196">
        <f t="shared" si="33"/>
        <v>0</v>
      </c>
      <c r="W44" s="196">
        <f t="shared" si="34"/>
        <v>0</v>
      </c>
      <c r="X44" s="196">
        <f t="shared" si="38"/>
        <v>0</v>
      </c>
      <c r="Y44" s="196">
        <f t="shared" si="35"/>
        <v>0</v>
      </c>
      <c r="Z44" s="194"/>
      <c r="AA44" s="194"/>
      <c r="AB44" s="194"/>
    </row>
    <row r="45">
      <c r="A45" s="97"/>
      <c r="B45" s="276" t="s">
        <v>119</v>
      </c>
      <c r="C45" s="25">
        <f>Inputs!C47</f>
        <v>1</v>
      </c>
      <c r="D45" s="78"/>
      <c r="G45" s="276" t="s">
        <v>336</v>
      </c>
      <c r="H45" s="253">
        <v>0.075</v>
      </c>
      <c r="I45" s="255"/>
      <c r="J45" s="207">
        <f t="shared" si="39"/>
        <v>474.001887</v>
      </c>
      <c r="K45" s="209">
        <f>J45*$J$8*$J$14*(1+0.08*C120*D120)</f>
        <v>708.1421719</v>
      </c>
      <c r="L45" s="196">
        <f t="shared" si="37"/>
        <v>708.1421719</v>
      </c>
      <c r="M45" s="196">
        <f t="shared" ref="M45:M47" si="40">K45*$L$12</f>
        <v>131.0063018</v>
      </c>
      <c r="N45" s="255"/>
      <c r="O45" s="255"/>
      <c r="P45" s="194"/>
      <c r="Q45" s="255"/>
      <c r="R45" s="194"/>
      <c r="S45" s="194"/>
      <c r="T45" s="194"/>
      <c r="U45" s="194"/>
      <c r="V45" s="209">
        <f>IF(IF($E$28=2,1,0),1.13*(exp(6*12*J9/60)-1)*(1-(1-exp(-6*12*J9/60))^3)*K45/6,0)</f>
        <v>0</v>
      </c>
      <c r="W45" s="196">
        <f>V45</f>
        <v>0</v>
      </c>
      <c r="X45" s="196">
        <f>V45*$L$12</f>
        <v>0</v>
      </c>
      <c r="Y45" s="196">
        <f t="shared" si="35"/>
        <v>0</v>
      </c>
      <c r="Z45" s="194"/>
      <c r="AA45" s="194"/>
      <c r="AB45" s="194"/>
    </row>
    <row r="46">
      <c r="A46" s="97"/>
      <c r="B46" s="276" t="s">
        <v>120</v>
      </c>
      <c r="C46" s="25">
        <f>Inputs!C48</f>
        <v>2</v>
      </c>
      <c r="D46" s="78"/>
      <c r="G46" s="276" t="s">
        <v>337</v>
      </c>
      <c r="H46" s="253">
        <f>7.1545*1.2*1.2</f>
        <v>10.30248</v>
      </c>
      <c r="I46" s="204">
        <v>1.15</v>
      </c>
      <c r="J46" s="207">
        <f t="shared" ref="J46:J47" si="41">($J$6*(1+$E$116)*(1+$D$157)+169*15/120*$C$24+$C$14*6)*H46*$J$10*$L$11*I46*(1+0.01*$E$25)</f>
        <v>74878.72272</v>
      </c>
      <c r="K46" s="196">
        <f>J46*$J$8*$J$14*(1+C130*0.15*$B$19*(1+0.2*$C$63))*$H$135*(1+0.08*C120*D120)
</f>
        <v>111866.182</v>
      </c>
      <c r="L46" s="196">
        <f t="shared" si="37"/>
        <v>111866.182</v>
      </c>
      <c r="M46" s="196">
        <f t="shared" si="40"/>
        <v>20695.24366</v>
      </c>
      <c r="N46" s="194"/>
      <c r="O46" s="194"/>
      <c r="P46" s="194"/>
      <c r="Q46" s="194"/>
      <c r="R46" s="194"/>
      <c r="S46" s="194"/>
      <c r="T46" s="196">
        <f>T64*(3-C137)+T38</f>
        <v>0.01101321586</v>
      </c>
      <c r="U46" s="194"/>
      <c r="V46" s="196">
        <f t="shared" ref="V46:V47" si="42">T46*K46</f>
        <v>1232.006409</v>
      </c>
      <c r="W46" s="196">
        <f t="shared" ref="W46:W47" si="43">T46*L46</f>
        <v>1232.006409</v>
      </c>
      <c r="X46" s="196">
        <f t="shared" ref="X46:X48" si="44">T46*M46</f>
        <v>227.9211857</v>
      </c>
      <c r="Y46" s="196">
        <f t="shared" si="35"/>
        <v>182.3369486</v>
      </c>
      <c r="Z46" s="194"/>
      <c r="AA46" s="194"/>
      <c r="AB46" s="194"/>
    </row>
    <row r="47">
      <c r="A47" s="97"/>
      <c r="B47" s="276" t="s">
        <v>122</v>
      </c>
      <c r="C47" s="25">
        <f>Inputs!C49</f>
        <v>0</v>
      </c>
      <c r="D47" s="78"/>
      <c r="G47" s="276" t="s">
        <v>338</v>
      </c>
      <c r="H47" s="253">
        <f>3.91*1.2</f>
        <v>4.692</v>
      </c>
      <c r="I47" s="204">
        <v>1.15</v>
      </c>
      <c r="J47" s="207">
        <f t="shared" si="41"/>
        <v>34101.59176</v>
      </c>
      <c r="K47" s="196">
        <f>J47*$J$8*$C$152/SQRT(MAX(1,$C$152/8))*$J$14*(1+C130*0.15*$B$19*(1+0.2*$C$63))*$H$135*(1+0.08*C120*D120)
</f>
        <v>254732.9021</v>
      </c>
      <c r="L47" s="209">
        <f>K47/$C$152</f>
        <v>50946.58042</v>
      </c>
      <c r="M47" s="209">
        <f t="shared" si="40"/>
        <v>47125.58688</v>
      </c>
      <c r="N47" s="194"/>
      <c r="O47" s="194"/>
      <c r="P47" s="194"/>
      <c r="Q47" s="194"/>
      <c r="R47" s="194"/>
      <c r="S47" s="194"/>
      <c r="T47" s="196">
        <f>T64*(3-C137)+T38</f>
        <v>0.01101321586</v>
      </c>
      <c r="U47" s="194"/>
      <c r="V47" s="196">
        <f t="shared" si="42"/>
        <v>2805.428437</v>
      </c>
      <c r="W47" s="196">
        <f t="shared" si="43"/>
        <v>561.0856874</v>
      </c>
      <c r="X47" s="196">
        <f t="shared" si="44"/>
        <v>519.0042608</v>
      </c>
      <c r="Y47" s="196">
        <f t="shared" si="35"/>
        <v>415.2034087</v>
      </c>
      <c r="Z47" s="194"/>
      <c r="AA47" s="194"/>
      <c r="AB47" s="194"/>
    </row>
    <row r="48">
      <c r="A48" s="97"/>
      <c r="B48" s="276" t="s">
        <v>123</v>
      </c>
      <c r="C48" s="25">
        <f>Inputs!C50</f>
        <v>0</v>
      </c>
      <c r="D48" s="78"/>
      <c r="G48" s="276" t="s">
        <v>339</v>
      </c>
      <c r="H48" s="252"/>
      <c r="I48" s="203"/>
      <c r="J48" s="203"/>
      <c r="K48" s="255"/>
      <c r="L48" s="203"/>
      <c r="M48" s="196">
        <f>L7*0.2</f>
        <v>336578.92</v>
      </c>
      <c r="N48" s="194"/>
      <c r="O48" s="194"/>
      <c r="P48" s="194"/>
      <c r="Q48" s="194"/>
      <c r="R48" s="204">
        <v>120.0</v>
      </c>
      <c r="S48" s="198">
        <f t="shared" ref="S48:S50" si="45">R48+$C$151</f>
        <v>120.8</v>
      </c>
      <c r="T48" s="196">
        <f>1/S48*C34</f>
        <v>0</v>
      </c>
      <c r="U48" s="194"/>
      <c r="V48" s="194"/>
      <c r="W48" s="194"/>
      <c r="X48" s="196">
        <f t="shared" si="44"/>
        <v>0</v>
      </c>
      <c r="Y48" s="196">
        <f t="shared" si="35"/>
        <v>0</v>
      </c>
      <c r="Z48" s="194"/>
      <c r="AA48" s="194"/>
      <c r="AB48" s="194"/>
    </row>
    <row r="49">
      <c r="A49" s="97"/>
      <c r="B49" s="276" t="s">
        <v>125</v>
      </c>
      <c r="C49" s="25">
        <f>Inputs!C51</f>
        <v>2</v>
      </c>
      <c r="D49" s="78"/>
      <c r="G49" s="276" t="s">
        <v>196</v>
      </c>
      <c r="H49" s="252"/>
      <c r="I49" s="203"/>
      <c r="J49" s="203"/>
      <c r="K49" s="255"/>
      <c r="L49" s="203"/>
      <c r="M49" s="203"/>
      <c r="N49" s="194"/>
      <c r="O49" s="194"/>
      <c r="P49" s="256">
        <f>MIN(C90*C152,6)</f>
        <v>5</v>
      </c>
      <c r="Q49" s="196">
        <f t="shared" ref="Q49:Q51" si="46">1.5/$J$9</f>
        <v>0.983880796</v>
      </c>
      <c r="R49" s="204">
        <v>90.0</v>
      </c>
      <c r="S49" s="198">
        <f t="shared" si="45"/>
        <v>90.8</v>
      </c>
      <c r="T49" s="196">
        <f>1/S49*C103*D103</f>
        <v>0</v>
      </c>
      <c r="U49" s="199">
        <f t="shared" ref="U49:U51" si="47">T49*Q49</f>
        <v>0</v>
      </c>
      <c r="V49" s="194"/>
      <c r="W49" s="194"/>
      <c r="X49" s="194"/>
      <c r="Y49" s="194"/>
      <c r="Z49" s="194"/>
      <c r="AA49" s="194"/>
      <c r="AB49" s="196">
        <f>P49*T49</f>
        <v>0</v>
      </c>
    </row>
    <row r="50">
      <c r="A50" s="97"/>
      <c r="B50" s="276" t="s">
        <v>126</v>
      </c>
      <c r="C50" s="25">
        <f>Inputs!C52</f>
        <v>0</v>
      </c>
      <c r="D50" s="78"/>
      <c r="G50" s="276" t="s">
        <v>340</v>
      </c>
      <c r="H50" s="253">
        <v>3.78</v>
      </c>
      <c r="I50" s="203"/>
      <c r="J50" s="207">
        <f>($J$6*(1+$E$116)*(1+$D$157)+$C$14*6)*H50*$J$10*$L$11</f>
        <v>23889.6951</v>
      </c>
      <c r="K50" s="255"/>
      <c r="L50" s="203"/>
      <c r="M50" s="196">
        <f>J50*$J$8*$J$15</f>
        <v>30292.34113</v>
      </c>
      <c r="N50" s="194"/>
      <c r="O50" s="194"/>
      <c r="P50" s="194"/>
      <c r="Q50" s="196">
        <f t="shared" si="46"/>
        <v>0.983880796</v>
      </c>
      <c r="R50" s="197">
        <v>90.0</v>
      </c>
      <c r="S50" s="198">
        <f t="shared" si="45"/>
        <v>90.8</v>
      </c>
      <c r="T50" s="196">
        <f>1/S50*IF($E$29=2,1,0)</f>
        <v>0</v>
      </c>
      <c r="U50" s="199">
        <f t="shared" si="47"/>
        <v>0</v>
      </c>
      <c r="V50" s="194"/>
      <c r="W50" s="194"/>
      <c r="X50" s="196">
        <f>T50*M50</f>
        <v>0</v>
      </c>
      <c r="Y50" s="196">
        <f t="shared" ref="Y50:Y51" si="48">X50*(1-$C$144)</f>
        <v>0</v>
      </c>
      <c r="Z50" s="194"/>
      <c r="AA50" s="194"/>
      <c r="AB50" s="194"/>
    </row>
    <row r="51">
      <c r="A51" s="98"/>
      <c r="B51" s="276" t="s">
        <v>128</v>
      </c>
      <c r="C51" s="25">
        <f>Inputs!C53</f>
        <v>1</v>
      </c>
      <c r="D51" s="78"/>
      <c r="E51" s="2"/>
      <c r="G51" s="281" t="s">
        <v>175</v>
      </c>
      <c r="H51" s="253">
        <f>1.31112*1.2*1.25</f>
        <v>1.96668</v>
      </c>
      <c r="I51" s="204">
        <v>1.15</v>
      </c>
      <c r="J51" s="207">
        <f>($J$6*(1+$E$116)*(1+$D$157)+169*15/120*$C$24+$C$14*6)*H51*$J$10*$L$11*I51*(1+0.15*C93)</f>
        <v>14293.88714</v>
      </c>
      <c r="K51" s="196">
        <f>J51*$J$8*0.7*IF($C$152&lt;=5,IF($C$152&lt;3,$C$152,2+IF($C$43&gt;0,$C$152-2,0)*((14-5*C131*E137)/S40)),2+IF($C$43&gt;0,3,0)*((14-5*C131*E137)/S40))*$J$14*(1+0.08*C120*D120)</f>
        <v>74740.97884</v>
      </c>
      <c r="L51" s="196">
        <f>K51/IF($C$152&lt;=5,IF($C$152&lt;3,$C$152,2+IF($C$43&gt;0,$C$152-2,0)*((14-5*C131*E137)/S40)),2+IF($C$43&gt;0,3,0)*((14-5*C131*E137)/S40))</f>
        <v>14948.19577</v>
      </c>
      <c r="M51" s="196">
        <f>K51*$L$12+IF($C$152&lt;=5,IF($C$152&lt;3,$C$152,2+IF($C$43&gt;0,$C$152-2,0)*((14-5*C131*E137)/S40)),2+IF($C$43&gt;0,3,0)*((14-5*C131*E137)/S40))*$L$7*0.0025*$C$95</f>
        <v>13827.08108</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6"/>
        <v>0.983880796</v>
      </c>
      <c r="R51" s="194"/>
      <c r="S51" s="194"/>
      <c r="T51" s="196">
        <f>MIN(($L$9+SUM(Z19:Z50)+SUM(Z52:Z76))/(-N51),MAX((1-SUM(U18:U41,U43:U50,U52:U76)+SUM(AA19:AA41,AA43:AA50,AA52:AA76)/O42*Q42)/Q51*(-O42/(O51-O42)),0))</f>
        <v>0.4002920187</v>
      </c>
      <c r="U51" s="199">
        <f t="shared" si="47"/>
        <v>0.39383963</v>
      </c>
      <c r="V51" s="196">
        <f>(T51-T74+3*(1-C131*T38*(8+C110*4))*C116/(9/(1/(0.5+(2/((L14+0.3*(1-(1-(T38*(8+C110*4)))*(1-IF(C127&gt;3,1,0)*(1-0.875^(8*(T40+T43+T51+T57+T63)))))))-1+IF(C152=1,0.5,0))/C152))+9/(1/(0.5+(2/((L14+0.3*(1-(1-(T38*(8+C110*4)))*(1-IF(C127&gt;3,1,0)*(1-0.875^(8*(T40+T43+T51+T57+T63)))))))-1+IF(C152=1,0.5,0))/C152))/2*((0.8/3^(C152-1))/(1-(0.8/3^(C152-1))))+6)+1.5*(1-C131*(T38*(8+C110*4))/(1-(1-(T38*(8+C110*4)))*(1-IF(C127&gt;3,1,0)*(1-0.875^(8*(T40+T43+T51+T57+T63))))))*F127)*K51</f>
        <v>39300.47591</v>
      </c>
      <c r="W51" s="196">
        <f>(T51-T74+3*(1-C131*T38*(8+C110*4))*C116/(9/(1/(0.5+(2/((L14+0.3*(1-(1-(T38*(8+C110*4)))*(1-IF(C127&gt;3,1,0)*(1-0.875^(8*(T40+T43+T51+T57+T63)))))))-1+IF(C152=1,0.5,0))/C152))+9/(1/(0.5+(2/((L14+0.3*(1-(1-(T38*(8+C110*4)))*(1-IF(C127&gt;3,1,0)*(1-0.875^(8*(T40+T43+T51+T57+T63)))))))-1+IF(C152=1,0.5,0))/C152))/2*((0.8/3^(C152-1))/(1-(0.8/3^(C152-1))))+6)+1.5*(1-C131*(T38*(8+C110*4))/(1-(1-(T38*(8+C110*4)))*(1-IF(C127&gt;3,1,0)*(1-0.875^(8*(T40+T43+T51+T57+T63))))))*F127)*L51</f>
        <v>7860.095182</v>
      </c>
      <c r="X51" s="196">
        <f>(T51-T74)*M51</f>
        <v>2876.890844</v>
      </c>
      <c r="Y51" s="196">
        <f t="shared" si="48"/>
        <v>2301.512675</v>
      </c>
      <c r="Z51" s="196">
        <f>T51*N51</f>
        <v>-0.4002920187</v>
      </c>
      <c r="AA51" s="196">
        <f>T51*O51</f>
        <v>10.00730047</v>
      </c>
      <c r="AB51" s="194"/>
    </row>
    <row r="52">
      <c r="A52" s="329" t="s">
        <v>129</v>
      </c>
      <c r="B52" s="276" t="s">
        <v>130</v>
      </c>
      <c r="C52" s="25">
        <f>Inputs!C54</f>
        <v>1</v>
      </c>
      <c r="D52" s="78"/>
      <c r="G52" s="281"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276" t="s">
        <v>132</v>
      </c>
      <c r="C53" s="25">
        <f>Inputs!C55</f>
        <v>0</v>
      </c>
      <c r="D53" s="78"/>
      <c r="G53" s="276" t="s">
        <v>342</v>
      </c>
      <c r="H53" s="27"/>
      <c r="I53" s="194"/>
      <c r="J53" s="207">
        <f>J29*0.2</f>
        <v>4580.39734</v>
      </c>
      <c r="K53" s="196">
        <f>J53*$J$8*IF($C$152&lt;=5,IF($C$152&lt;3,$C$152,IF($C$43&gt;0,$C$152,2)*(14-5*C131*E137)/$S$40+2*($S$40-(14-5*C131*E137))/$S$40),IF($C$43&gt;0,5,2)*(14-5*C131*E137)/$S$40+2*($S$40-(14-5*C131*E137))/$S$40)*$J$14*(1+$C$131*0.05)*(1+0.08*C120*D120)</f>
        <v>35925.50199</v>
      </c>
      <c r="L53" s="196">
        <f>K53/IF($C$152&lt;=5,IF($C$152&lt;3,$C$152,IF($C$43&gt;0,$C$152,2)*(14-5*C131*E137)/$S$40+2*($S$40-(14-5*C131*E137))/$S$40),IF($C$43&gt;0,5,2)*(14-5*C131*E137)/$S$40+2*($S$40-(14-5*C131*E137))/$S$40)</f>
        <v>7185.100398</v>
      </c>
      <c r="M53" s="209">
        <f>K53*$L$12</f>
        <v>6646.217868</v>
      </c>
      <c r="N53" s="194"/>
      <c r="O53" s="194"/>
      <c r="P53" s="194"/>
      <c r="Q53" s="194"/>
      <c r="R53" s="194"/>
      <c r="S53" s="194"/>
      <c r="T53" s="196">
        <f>C131*T74</f>
        <v>0.1922299681</v>
      </c>
      <c r="U53" s="194"/>
      <c r="V53" s="196">
        <f>T53*K53*C131</f>
        <v>6905.958103</v>
      </c>
      <c r="W53" s="196">
        <f>T53*L53*C131</f>
        <v>1381.191621</v>
      </c>
      <c r="X53" s="196">
        <f>T53*M53*C131</f>
        <v>1277.602249</v>
      </c>
      <c r="Y53" s="196">
        <f>X53*(1-$C$144)</f>
        <v>1022.081799</v>
      </c>
      <c r="Z53" s="195"/>
      <c r="AA53" s="195"/>
      <c r="AB53" s="194"/>
    </row>
    <row r="54">
      <c r="A54" s="97"/>
      <c r="B54" s="276" t="s">
        <v>133</v>
      </c>
      <c r="C54" s="25">
        <f>Inputs!C56</f>
        <v>1</v>
      </c>
      <c r="D54" s="78"/>
      <c r="G54" s="276"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276" t="s">
        <v>134</v>
      </c>
      <c r="C55" s="25">
        <f>Inputs!C57</f>
        <v>1</v>
      </c>
      <c r="D55" s="78"/>
      <c r="G55" s="276" t="s">
        <v>204</v>
      </c>
      <c r="H55" s="27"/>
      <c r="I55" s="194"/>
      <c r="J55" s="194"/>
      <c r="K55" s="194"/>
      <c r="L55" s="255"/>
      <c r="M55" s="196">
        <f>M42*0.2/(1+C99*0.08*MIN((T25+C108*T51*(1-(1-0.15)*(1-0.15*MAX(4,C152-1))))/T42*C152,5))</f>
        <v>136429.5328</v>
      </c>
      <c r="N55" s="194"/>
      <c r="O55" s="194"/>
      <c r="P55" s="194"/>
      <c r="Q55" s="194"/>
      <c r="R55" s="194"/>
      <c r="S55" s="194"/>
      <c r="T55" s="196">
        <f>T42*C109</f>
        <v>0.4013634798</v>
      </c>
      <c r="U55" s="194"/>
      <c r="V55" s="255"/>
      <c r="W55" s="255"/>
      <c r="X55" s="196">
        <f t="shared" ref="X55:X57" si="49">T55*M55</f>
        <v>54757.83203</v>
      </c>
      <c r="Y55" s="196">
        <f t="shared" ref="Y55:Y57" si="50">X55*(1-$C$144)</f>
        <v>43806.26562</v>
      </c>
      <c r="Z55" s="195"/>
      <c r="AA55" s="195"/>
      <c r="AB55" s="194"/>
    </row>
    <row r="56">
      <c r="A56" s="97"/>
      <c r="B56" s="276" t="s">
        <v>135</v>
      </c>
      <c r="C56" s="25">
        <f>Inputs!C58</f>
        <v>0</v>
      </c>
      <c r="D56" s="78"/>
      <c r="G56" s="276" t="s">
        <v>344</v>
      </c>
      <c r="H56" s="253">
        <v>4.2</v>
      </c>
      <c r="I56" s="194"/>
      <c r="J56" s="207">
        <f>($J$6*(1+$E$116)*(1+$D$157)+$C$14*6)*H56*$J$10*$L$11</f>
        <v>26544.10567</v>
      </c>
      <c r="K56" s="196">
        <f>J56*$J$8*$C$152/SQRT(MAX(1,$C$152/8))*$J$14*(1+0.08*C120*D120)
</f>
        <v>198279.8081</v>
      </c>
      <c r="L56" s="196">
        <f>K56/$C$152</f>
        <v>39655.96163</v>
      </c>
      <c r="M56" s="196">
        <f t="shared" ref="M56:M57" si="51">K56*$L$12</f>
        <v>36681.7645</v>
      </c>
      <c r="N56" s="194"/>
      <c r="O56" s="194"/>
      <c r="P56" s="194"/>
      <c r="Q56" s="196">
        <f t="shared" ref="Q56:Q57" si="52">1.5/$J$9</f>
        <v>0.983880796</v>
      </c>
      <c r="R56" s="204">
        <v>150.0</v>
      </c>
      <c r="S56" s="198">
        <f>R56+$C$151</f>
        <v>150.8</v>
      </c>
      <c r="T56" s="196">
        <f>1/S56*E31</f>
        <v>0</v>
      </c>
      <c r="U56" s="199">
        <f t="shared" ref="U56:U57" si="53">T56*Q56</f>
        <v>0</v>
      </c>
      <c r="V56" s="196">
        <f t="shared" ref="V56:V57" si="54">T56*K56</f>
        <v>0</v>
      </c>
      <c r="W56" s="196">
        <f t="shared" ref="W56:W57" si="55">T56*L56</f>
        <v>0</v>
      </c>
      <c r="X56" s="196">
        <f t="shared" si="49"/>
        <v>0</v>
      </c>
      <c r="Y56" s="196">
        <f t="shared" si="50"/>
        <v>0</v>
      </c>
      <c r="Z56" s="195"/>
      <c r="AA56" s="195"/>
      <c r="AB56" s="194"/>
    </row>
    <row r="57">
      <c r="A57" s="97"/>
      <c r="B57" s="276" t="s">
        <v>136</v>
      </c>
      <c r="C57" s="25">
        <f>Inputs!C59</f>
        <v>1</v>
      </c>
      <c r="D57" s="78"/>
      <c r="G57" s="281" t="s">
        <v>176</v>
      </c>
      <c r="H57" s="253">
        <f>1.471*1.5</f>
        <v>2.2065</v>
      </c>
      <c r="I57" s="204">
        <v>1.15</v>
      </c>
      <c r="J57" s="207">
        <f>($J$6*(1+$E$116)*(1+$D$157)+169*15/120*$C$24+$C$14*6)*H57*$J$10*$L$11*I57</f>
        <v>16036.90584</v>
      </c>
      <c r="K57" s="196">
        <f>J57*$J$8*0.7*$J$14*(1+0.08*C120*D120)
</f>
        <v>16771.00187</v>
      </c>
      <c r="L57" s="196">
        <f>K57</f>
        <v>16771.00187</v>
      </c>
      <c r="M57" s="196">
        <f t="shared" si="51"/>
        <v>3102.635346</v>
      </c>
      <c r="N57" s="197">
        <v>-2.0</v>
      </c>
      <c r="O57" s="211">
        <f>20</f>
        <v>20</v>
      </c>
      <c r="P57" s="204">
        <v>3.0</v>
      </c>
      <c r="Q57" s="196">
        <f t="shared" si="52"/>
        <v>0.983880796</v>
      </c>
      <c r="R57" s="194"/>
      <c r="S57" s="194"/>
      <c r="T57" s="196">
        <f>MAX((L15-SUM(AB19:AB56)-SUM(AB58:AB76))/3,T47)</f>
        <v>0.0906193372</v>
      </c>
      <c r="U57" s="199">
        <f t="shared" si="53"/>
        <v>0.08915862562</v>
      </c>
      <c r="V57" s="196">
        <f t="shared" si="54"/>
        <v>1519.777074</v>
      </c>
      <c r="W57" s="196">
        <f t="shared" si="55"/>
        <v>1519.777074</v>
      </c>
      <c r="X57" s="196">
        <f t="shared" si="49"/>
        <v>281.1587587</v>
      </c>
      <c r="Y57" s="196">
        <f t="shared" si="50"/>
        <v>224.9270069</v>
      </c>
      <c r="Z57" s="196">
        <f>(T57-T47/(2))*N57</f>
        <v>-0.1702254585</v>
      </c>
      <c r="AA57" s="196">
        <f t="shared" ref="AA57:AA58" si="56">T57*O57</f>
        <v>1.812386744</v>
      </c>
      <c r="AB57" s="196">
        <f>P57*T57</f>
        <v>0.2718580116</v>
      </c>
    </row>
    <row r="58">
      <c r="A58" s="97"/>
      <c r="B58" s="276" t="s">
        <v>137</v>
      </c>
      <c r="C58" s="25">
        <f>Inputs!C60</f>
        <v>0</v>
      </c>
      <c r="D58" s="78"/>
      <c r="G58" s="276"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6"/>
        <v>0</v>
      </c>
      <c r="AB58" s="194"/>
    </row>
    <row r="59">
      <c r="A59" s="329" t="s">
        <v>138</v>
      </c>
      <c r="B59" s="276" t="s">
        <v>139</v>
      </c>
      <c r="C59" s="25">
        <f>Inputs!C61</f>
        <v>1</v>
      </c>
      <c r="D59" s="264">
        <f>Inputs!D61</f>
        <v>0.9</v>
      </c>
      <c r="E59" s="2"/>
      <c r="G59" s="276" t="s">
        <v>249</v>
      </c>
      <c r="H59" s="27"/>
      <c r="I59" s="278"/>
      <c r="J59" s="194"/>
      <c r="K59" s="256">
        <f>SUM(V25,V26,K28/10*C118,V29,V35,V40,V43,V53,K68/10*C123,IF(C131=1,V74*T51/T74,0))*10*0.15*0.15*$C$152/SQRT(MAX(1,$C$152/8))*(1+$C$131*0.05*MIN(1,5/$C$152))*J10*(1+0.08*C120*D120)</f>
        <v>175239.3551</v>
      </c>
      <c r="L59" s="209">
        <f>K59/$C$152</f>
        <v>35047.87101</v>
      </c>
      <c r="M59" s="196">
        <f>K59/((1+$C$131*0.05*MIN(1,5/$C$152)))/$C$152</f>
        <v>33378.92477</v>
      </c>
      <c r="N59" s="195"/>
      <c r="O59" s="195"/>
      <c r="P59" s="194"/>
      <c r="Q59" s="194"/>
      <c r="R59" s="194"/>
      <c r="S59" s="194"/>
      <c r="T59" s="196">
        <f>T24*C131*E141</f>
        <v>0.01101321586</v>
      </c>
      <c r="U59" s="278"/>
      <c r="V59" s="196">
        <f>T59*K59</f>
        <v>1929.948844</v>
      </c>
      <c r="W59" s="196">
        <f>T59*L59</f>
        <v>385.9897689</v>
      </c>
      <c r="X59" s="196">
        <f>T59*M59</f>
        <v>367.6093037</v>
      </c>
      <c r="Y59" s="196">
        <f>X59*(1-$C$144)</f>
        <v>294.0874429</v>
      </c>
      <c r="Z59" s="194"/>
      <c r="AA59" s="194"/>
      <c r="AB59" s="194"/>
    </row>
    <row r="60">
      <c r="A60" s="97"/>
      <c r="B60" s="276" t="s">
        <v>140</v>
      </c>
      <c r="C60" s="25">
        <f>Inputs!C62</f>
        <v>1</v>
      </c>
      <c r="D60" s="78"/>
      <c r="G60" s="276" t="s">
        <v>133</v>
      </c>
      <c r="H60" s="27"/>
      <c r="I60" s="278"/>
      <c r="J60" s="194"/>
      <c r="K60" s="194"/>
      <c r="L60" s="195"/>
      <c r="M60" s="196">
        <f>K23*0.5*(1+0.15*C46)*(1+C130)</f>
        <v>9666.140646</v>
      </c>
      <c r="N60" s="195"/>
      <c r="O60" s="195"/>
      <c r="P60" s="194"/>
      <c r="Q60" s="194"/>
      <c r="R60" s="194"/>
      <c r="S60" s="194"/>
      <c r="T60" s="196">
        <f>T23*C54</f>
        <v>0.7253739295</v>
      </c>
      <c r="U60" s="278"/>
      <c r="V60" s="194"/>
      <c r="W60" s="194"/>
      <c r="X60" s="196">
        <f>T60*M60+C130*T47*(K46+K47)*0.1*(1+0.15*C46)*C54</f>
        <v>7011.566424</v>
      </c>
      <c r="Y60" s="196">
        <f>X60</f>
        <v>7011.566424</v>
      </c>
      <c r="Z60" s="194"/>
      <c r="AA60" s="194"/>
      <c r="AB60" s="194"/>
    </row>
    <row r="61">
      <c r="A61" s="97"/>
      <c r="B61" s="276" t="s">
        <v>141</v>
      </c>
      <c r="C61" s="25">
        <f>Inputs!C63</f>
        <v>1</v>
      </c>
      <c r="D61" s="264">
        <f>Inputs!D63</f>
        <v>0</v>
      </c>
      <c r="G61" s="276" t="s">
        <v>111</v>
      </c>
      <c r="H61" s="218">
        <f>0.5875*2/6*1.075</f>
        <v>0.2105208333</v>
      </c>
      <c r="I61" s="204">
        <v>1.0</v>
      </c>
      <c r="J61" s="219">
        <f>($J$6*(1+$E$116)*(1+$D$157)+169*15/120*$C$24+$C$14*6)*H61*$J$10*$L$11*I61*(1+0.01*C24)</f>
        <v>1330.496963</v>
      </c>
      <c r="K61" s="196">
        <f>J61*$J$8*0.7*(INT($J$9*60/2+1)+(60*$J$9*10+25)/40*1.35)*$J$14*(1+$C$131*0.05)</f>
        <v>110020.7371</v>
      </c>
      <c r="L61" s="196">
        <f t="shared" ref="L61:L65" si="57">K61</f>
        <v>110020.7371</v>
      </c>
      <c r="M61" s="195"/>
      <c r="N61" s="195"/>
      <c r="O61" s="195"/>
      <c r="P61" s="194"/>
      <c r="Q61" s="194"/>
      <c r="R61" s="197">
        <v>120.0</v>
      </c>
      <c r="S61" s="256">
        <f>120-30*C130*C138</f>
        <v>120</v>
      </c>
      <c r="T61" s="196">
        <f>1/S61*C40</f>
        <v>0.008333333333</v>
      </c>
      <c r="U61" s="194"/>
      <c r="V61" s="196">
        <f t="shared" ref="V61:V65" si="58">T61*K61</f>
        <v>916.8394754</v>
      </c>
      <c r="W61" s="196">
        <f t="shared" ref="W61:W65" si="59">T61*L61</f>
        <v>916.8394754</v>
      </c>
      <c r="X61" s="194"/>
      <c r="Y61" s="194"/>
      <c r="Z61" s="194"/>
      <c r="AA61" s="194"/>
      <c r="AB61" s="194"/>
    </row>
    <row r="62">
      <c r="A62" s="97"/>
      <c r="B62" s="276" t="s">
        <v>142</v>
      </c>
      <c r="C62" s="25">
        <f>Inputs!C64</f>
        <v>0</v>
      </c>
      <c r="D62" s="78"/>
      <c r="G62" s="276" t="s">
        <v>72</v>
      </c>
      <c r="H62" s="253">
        <v>0.01127</v>
      </c>
      <c r="I62" s="204">
        <v>1.15</v>
      </c>
      <c r="J62" s="207">
        <f>($J$6*(1+$E$116)*(1+$D$157)+169*15/120*$C$24+$C$14*6)*H62*$J$10*$L$11*I62*(1+0.01*E25)</f>
        <v>81.91068608</v>
      </c>
      <c r="K62" s="209">
        <f>J62*$J$8*$J$14*(1+0.2*C63)*(1+0.08*C120*D120)*(1+0.15*$B$19*(1+0.2*$C$63))</f>
        <v>146.8460259</v>
      </c>
      <c r="L62" s="196">
        <f t="shared" si="57"/>
        <v>146.8460259</v>
      </c>
      <c r="M62" s="196">
        <f t="shared" ref="M62:M65" si="60">K62*$L$12</f>
        <v>27.16651479</v>
      </c>
      <c r="N62" s="194"/>
      <c r="O62" s="194"/>
      <c r="P62" s="194"/>
      <c r="Q62" s="194"/>
      <c r="R62" s="194"/>
      <c r="S62" s="194"/>
      <c r="T62" s="196">
        <f>$B$19*(T23+T35*$C$152+T42*MIN((C152-1)*C106+1,2*C106+1)+T51*IF($C$152&lt;=5,IF($C$152&lt;3,$C$152,2+IF(C43&gt;0,$C$152-2,0)*10/S40+2*(S40-10)/S40),2+IF(C43&gt;0,3,0)*10/S40+2*(S40-10)/S40)+T57)</f>
        <v>0</v>
      </c>
      <c r="U62" s="194"/>
      <c r="V62" s="196">
        <f t="shared" si="58"/>
        <v>0</v>
      </c>
      <c r="W62" s="196">
        <f t="shared" si="59"/>
        <v>0</v>
      </c>
      <c r="X62" s="196">
        <f t="shared" ref="X62:X66" si="61">T62*M62</f>
        <v>0</v>
      </c>
      <c r="Y62" s="196">
        <f t="shared" ref="Y62:Y66" si="62">X62*(1-$C$144)</f>
        <v>0</v>
      </c>
      <c r="Z62" s="194"/>
      <c r="AA62" s="194"/>
      <c r="AB62" s="194"/>
    </row>
    <row r="63">
      <c r="A63" s="97"/>
      <c r="B63" s="276" t="s">
        <v>143</v>
      </c>
      <c r="C63" s="25">
        <f>Inputs!C65</f>
        <v>1</v>
      </c>
      <c r="D63" s="78"/>
      <c r="G63" s="276" t="s">
        <v>345</v>
      </c>
      <c r="H63" s="253">
        <f>3.07125*1.2*1.2</f>
        <v>4.4226</v>
      </c>
      <c r="I63" s="204">
        <v>1.15</v>
      </c>
      <c r="J63" s="207">
        <f>($J$6*(1+$E$116)*(1+$D$157)+169*15/120*$C$24+$C$14*6)*H63*$J$10*$L$11*I63*(1+0.01*E25)*1.05</f>
        <v>33750.764</v>
      </c>
      <c r="K63" s="196">
        <f>J63*$J$8*$J$14*(1+0.15*$B$19*(1+0.2*$C$63))*(1+0.08*C120*D120)</f>
        <v>50422.45607</v>
      </c>
      <c r="L63" s="196">
        <f t="shared" si="57"/>
        <v>50422.45607</v>
      </c>
      <c r="M63" s="196">
        <f t="shared" si="60"/>
        <v>9328.154373</v>
      </c>
      <c r="N63" s="197">
        <v>-2.0</v>
      </c>
      <c r="O63" s="211">
        <f>20</f>
        <v>20</v>
      </c>
      <c r="P63" s="204">
        <f>3</f>
        <v>3</v>
      </c>
      <c r="Q63" s="196">
        <f>1.5/$J$9</f>
        <v>0.983880796</v>
      </c>
      <c r="R63" s="204">
        <v>45.0</v>
      </c>
      <c r="S63" s="198">
        <f>2*R63/(2+C137)+$C$151</f>
        <v>45.8</v>
      </c>
      <c r="T63" s="196">
        <f>1/S63*C130</f>
        <v>0</v>
      </c>
      <c r="U63" s="199">
        <f>T63*Q63</f>
        <v>0</v>
      </c>
      <c r="V63" s="196">
        <f t="shared" si="58"/>
        <v>0</v>
      </c>
      <c r="W63" s="196">
        <f t="shared" si="59"/>
        <v>0</v>
      </c>
      <c r="X63" s="196">
        <f t="shared" si="61"/>
        <v>0</v>
      </c>
      <c r="Y63" s="196">
        <f t="shared" si="62"/>
        <v>0</v>
      </c>
      <c r="Z63" s="196">
        <f>T63*N63</f>
        <v>0</v>
      </c>
      <c r="AA63" s="196">
        <f>T63*O63</f>
        <v>0</v>
      </c>
      <c r="AB63" s="196">
        <f>P63*T63</f>
        <v>0</v>
      </c>
    </row>
    <row r="64">
      <c r="A64" s="329" t="s">
        <v>144</v>
      </c>
      <c r="B64" s="276" t="s">
        <v>145</v>
      </c>
      <c r="C64" s="25">
        <f>Inputs!C66</f>
        <v>0</v>
      </c>
      <c r="D64" s="78"/>
      <c r="G64" s="276" t="s">
        <v>346</v>
      </c>
      <c r="H64" s="253">
        <f>0.3779*1.2</f>
        <v>0.45348</v>
      </c>
      <c r="I64" s="204">
        <v>1.15</v>
      </c>
      <c r="J64" s="207">
        <f>($J$6*(1+$E$116)*(1+$D$157)+169*15/120*$C$24+$C$14*6)*H64*$J$10*$L$11*I64*(1+0.01*E25)*1.05</f>
        <v>3460.701049</v>
      </c>
      <c r="K64" s="196">
        <f>J64*$J$8*$J$14*(1+0.15*$B$19*(1+0.2*$C$63))*$H$134*(1+0.15)*(1+0.05*(1+H8))*(1+0.08*C120*D120)</f>
        <v>252326.0655</v>
      </c>
      <c r="L64" s="196">
        <f t="shared" si="57"/>
        <v>252326.0655</v>
      </c>
      <c r="M64" s="196">
        <f t="shared" si="60"/>
        <v>46680.32211</v>
      </c>
      <c r="N64" s="194"/>
      <c r="O64" s="194"/>
      <c r="P64" s="194"/>
      <c r="Q64" s="194"/>
      <c r="R64" s="194"/>
      <c r="S64" s="194"/>
      <c r="T64" s="196">
        <f>T63</f>
        <v>0</v>
      </c>
      <c r="U64" s="194"/>
      <c r="V64" s="196">
        <f t="shared" si="58"/>
        <v>0</v>
      </c>
      <c r="W64" s="196">
        <f t="shared" si="59"/>
        <v>0</v>
      </c>
      <c r="X64" s="196">
        <f t="shared" si="61"/>
        <v>0</v>
      </c>
      <c r="Y64" s="196">
        <f t="shared" si="62"/>
        <v>0</v>
      </c>
      <c r="Z64" s="194"/>
      <c r="AA64" s="194"/>
      <c r="AB64" s="194"/>
    </row>
    <row r="65">
      <c r="A65" s="97"/>
      <c r="B65" s="276" t="s">
        <v>146</v>
      </c>
      <c r="C65" s="25">
        <f>Inputs!C67</f>
        <v>0</v>
      </c>
      <c r="D65" s="78"/>
      <c r="G65" s="281" t="s">
        <v>347</v>
      </c>
      <c r="H65" s="263">
        <v>0.5</v>
      </c>
      <c r="I65" s="194"/>
      <c r="J65" s="219">
        <f>(360+343*0.429/0.5*(1+0.05*C21)+$J$6*(1+$E$116)*(1+$D$157)+$C$14*6)*H65*$J$10*$L$11</f>
        <v>3659.963151</v>
      </c>
      <c r="K65" s="209">
        <f>J65*$J$8*$J$14*(1+0.08*C120*D120)</f>
        <v>5467.856408</v>
      </c>
      <c r="L65" s="196">
        <f t="shared" si="57"/>
        <v>5467.856408</v>
      </c>
      <c r="M65" s="196">
        <f t="shared" si="60"/>
        <v>1011.553435</v>
      </c>
      <c r="N65" s="194"/>
      <c r="O65" s="194"/>
      <c r="P65" s="194"/>
      <c r="Q65" s="196">
        <f>1.5/$J$9</f>
        <v>0.983880796</v>
      </c>
      <c r="R65" s="197">
        <v>90.0</v>
      </c>
      <c r="S65" s="198">
        <f>R65+$C$151</f>
        <v>90.8</v>
      </c>
      <c r="T65" s="196">
        <f>1/S65*C29</f>
        <v>0</v>
      </c>
      <c r="U65" s="199">
        <f>T65*Q65</f>
        <v>0</v>
      </c>
      <c r="V65" s="196">
        <f t="shared" si="58"/>
        <v>0</v>
      </c>
      <c r="W65" s="196">
        <f t="shared" si="59"/>
        <v>0</v>
      </c>
      <c r="X65" s="196">
        <f t="shared" si="61"/>
        <v>0</v>
      </c>
      <c r="Y65" s="196">
        <f t="shared" si="62"/>
        <v>0</v>
      </c>
      <c r="Z65" s="194"/>
      <c r="AA65" s="194"/>
      <c r="AB65" s="194"/>
    </row>
    <row r="66">
      <c r="A66" s="97"/>
      <c r="B66" s="276" t="s">
        <v>147</v>
      </c>
      <c r="C66" s="25">
        <f>Inputs!C68</f>
        <v>1</v>
      </c>
      <c r="D66" s="78"/>
      <c r="E66" s="2"/>
      <c r="G66" s="276" t="s">
        <v>348</v>
      </c>
      <c r="H66" s="27"/>
      <c r="I66" s="194"/>
      <c r="J66" s="194"/>
      <c r="K66" s="194"/>
      <c r="L66" s="194"/>
      <c r="M66" s="196">
        <f>$L$7*0.48*(1+0.2*C63)</f>
        <v>969347.2896</v>
      </c>
      <c r="N66" s="194"/>
      <c r="O66" s="194"/>
      <c r="P66" s="194"/>
      <c r="Q66" s="194"/>
      <c r="R66" s="204">
        <v>360.0</v>
      </c>
      <c r="S66" s="204">
        <v>360.0</v>
      </c>
      <c r="T66" s="196">
        <f>1/S66*C19</f>
        <v>0.002777777778</v>
      </c>
      <c r="U66" s="194"/>
      <c r="V66" s="194"/>
      <c r="W66" s="194"/>
      <c r="X66" s="196">
        <f t="shared" si="61"/>
        <v>2692.63136</v>
      </c>
      <c r="Y66" s="196">
        <f t="shared" si="62"/>
        <v>2154.105088</v>
      </c>
      <c r="Z66" s="194"/>
      <c r="AA66" s="194"/>
      <c r="AB66" s="194"/>
    </row>
    <row r="67">
      <c r="A67" s="97"/>
      <c r="B67" s="276" t="s">
        <v>148</v>
      </c>
      <c r="C67" s="25">
        <f>Inputs!C69</f>
        <v>1</v>
      </c>
      <c r="D67" s="78"/>
      <c r="E67" s="2"/>
      <c r="G67" s="276" t="s">
        <v>113</v>
      </c>
      <c r="H67" s="27"/>
      <c r="I67" s="194"/>
      <c r="J67" s="194"/>
      <c r="K67" s="194"/>
      <c r="L67" s="194"/>
      <c r="M67" s="194"/>
      <c r="N67" s="194"/>
      <c r="O67" s="211">
        <v>3.0</v>
      </c>
      <c r="P67" s="194"/>
      <c r="Q67" s="194"/>
      <c r="R67" s="285">
        <f>60/10.8</f>
        <v>5.555555556</v>
      </c>
      <c r="S67" s="198">
        <f>1/(10.8*J9*1.13/60)</f>
        <v>3.22478137</v>
      </c>
      <c r="T67" s="196">
        <f>1/S67*C41</f>
        <v>0.3100985417</v>
      </c>
      <c r="U67" s="194"/>
      <c r="V67" s="194"/>
      <c r="W67" s="194"/>
      <c r="X67" s="194"/>
      <c r="Y67" s="194"/>
      <c r="Z67" s="194"/>
      <c r="AA67" s="196">
        <f>T67*O67</f>
        <v>0.930295625</v>
      </c>
      <c r="AB67" s="194"/>
    </row>
    <row r="68">
      <c r="A68" s="97"/>
      <c r="B68" s="276" t="s">
        <v>149</v>
      </c>
      <c r="C68" s="25">
        <f>Inputs!C70</f>
        <v>1</v>
      </c>
      <c r="D68" s="78"/>
      <c r="G68" s="276" t="s">
        <v>220</v>
      </c>
      <c r="H68" s="253">
        <v>2.76</v>
      </c>
      <c r="I68" s="194"/>
      <c r="J68" s="207">
        <f>($J$6*(1+$E$116)*(1+$D$157)+169*15/120*$C$24+$C$14*6)*H68*$J$10*$L$11*(1+0.01*$E$25)</f>
        <v>17443.26944</v>
      </c>
      <c r="K68" s="196">
        <f>J68*$J$8*$J$14*(1+$C$131*0.05*MIN(1,5/$C$152))*$C$152/SQRT(MAX(1,$C$152/8))*(1+0.02*-AA42*8*((O42-5*IF(C42&gt;0,1,0))/O42))*(1+0.08*C120*D120)</f>
        <v>488248.3885</v>
      </c>
      <c r="L68" s="209">
        <f t="shared" ref="L68:L69" si="63">K68/$C$152</f>
        <v>97649.67771</v>
      </c>
      <c r="M68" s="196">
        <f>K68*(0.18+$L$12)</f>
        <v>178210.6618</v>
      </c>
      <c r="N68" s="194"/>
      <c r="O68" s="194"/>
      <c r="P68" s="194"/>
      <c r="Q68" s="194"/>
      <c r="R68" s="194"/>
      <c r="S68" s="194"/>
      <c r="T68" s="196">
        <f>T28*C123</f>
        <v>0</v>
      </c>
      <c r="U68" s="194"/>
      <c r="V68" s="196">
        <f t="shared" ref="V68:V69" si="64">T68*K68</f>
        <v>0</v>
      </c>
      <c r="W68" s="196">
        <f t="shared" ref="W68:W69" si="65">T68*L68</f>
        <v>0</v>
      </c>
      <c r="X68" s="196">
        <f t="shared" ref="X68:X69" si="66">T68*M68</f>
        <v>0</v>
      </c>
      <c r="Y68" s="196">
        <f t="shared" ref="Y68:Y69" si="67">X68*(1-$C$144)</f>
        <v>0</v>
      </c>
      <c r="Z68" s="194"/>
      <c r="AA68" s="194"/>
      <c r="AB68" s="194"/>
    </row>
    <row r="69">
      <c r="A69" s="97"/>
      <c r="B69" s="276" t="s">
        <v>151</v>
      </c>
      <c r="C69" s="25">
        <f>Inputs!C71</f>
        <v>1</v>
      </c>
      <c r="D69" s="78"/>
      <c r="G69" s="276" t="s">
        <v>349</v>
      </c>
      <c r="H69" s="27"/>
      <c r="I69" s="204">
        <v>1.15</v>
      </c>
      <c r="J69" s="194"/>
      <c r="K69" s="196">
        <f>K64*1/10*($C$152-1)*$I$69*1.05*IF(D100=2,(1+0.06*C119*(1-T40*(1-(0.75)^((5+(H15/2))/H15))/(1+3*(1-(0.75)^((5+(H15/2))/H15))*C82)/(1-(0.75)^((5+(H15/2))/H15)))),(1+0.06*(14-5*C131*E137)*C119*(1/S40)))</f>
        <v>129185.899</v>
      </c>
      <c r="L69" s="196">
        <f t="shared" si="63"/>
        <v>25837.1798</v>
      </c>
      <c r="M69" s="196">
        <f>K69*$L$12</f>
        <v>23899.39131</v>
      </c>
      <c r="N69" s="194"/>
      <c r="O69" s="194"/>
      <c r="P69" s="194"/>
      <c r="Q69" s="194"/>
      <c r="R69" s="194"/>
      <c r="S69" s="194"/>
      <c r="T69" s="196">
        <f>T64</f>
        <v>0</v>
      </c>
      <c r="U69" s="194"/>
      <c r="V69" s="196">
        <f t="shared" si="64"/>
        <v>0</v>
      </c>
      <c r="W69" s="196">
        <f t="shared" si="65"/>
        <v>0</v>
      </c>
      <c r="X69" s="196">
        <f t="shared" si="66"/>
        <v>0</v>
      </c>
      <c r="Y69" s="196">
        <f t="shared" si="67"/>
        <v>0</v>
      </c>
      <c r="Z69" s="194"/>
      <c r="AA69" s="194"/>
      <c r="AB69" s="194"/>
    </row>
    <row r="70">
      <c r="A70" s="329" t="s">
        <v>152</v>
      </c>
      <c r="B70" s="276" t="s">
        <v>153</v>
      </c>
      <c r="C70" s="25">
        <f>Inputs!C72</f>
        <v>0</v>
      </c>
      <c r="D70" s="78"/>
      <c r="E70" s="2"/>
      <c r="G70" s="276"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276" t="s">
        <v>154</v>
      </c>
      <c r="C71" s="25">
        <f>Inputs!C73</f>
        <v>1</v>
      </c>
      <c r="D71" s="78"/>
      <c r="G71" s="281" t="s">
        <v>351</v>
      </c>
      <c r="H71" s="263">
        <f>1.25*0.25</f>
        <v>0.3125</v>
      </c>
      <c r="I71" s="194"/>
      <c r="J71" s="207">
        <f>($J$6*(1+$E$116)*(1+$D$157)+$C$14*6)*H71*$J$10*$L$11</f>
        <v>1975.007862</v>
      </c>
      <c r="K71" s="196">
        <f>J71*$J$8*$J$14*(1+0.08*C120*D120)*(1+$C$131*0.05*MIN(1,5/$C$152))</f>
        <v>3098.122002</v>
      </c>
      <c r="L71" s="196">
        <f>K71</f>
        <v>3098.122002</v>
      </c>
      <c r="M71" s="196">
        <f>K71*(1+$L$12)</f>
        <v>3671.274572</v>
      </c>
      <c r="N71" s="194"/>
      <c r="O71" s="194"/>
      <c r="P71" s="194"/>
      <c r="Q71" s="195"/>
      <c r="R71" s="197">
        <v>15.0</v>
      </c>
      <c r="S71" s="288">
        <f>15</f>
        <v>15</v>
      </c>
      <c r="T71" s="196">
        <f>1/S71*C25</f>
        <v>0</v>
      </c>
      <c r="U71" s="222"/>
      <c r="V71" s="196">
        <f>T71*K71</f>
        <v>0</v>
      </c>
      <c r="W71" s="196">
        <f>T71*L71</f>
        <v>0</v>
      </c>
      <c r="X71" s="196">
        <f t="shared" ref="X71:X75" si="68">T71*M71</f>
        <v>0</v>
      </c>
      <c r="Y71" s="196">
        <f>X71*(1-$C$144)</f>
        <v>0</v>
      </c>
      <c r="Z71" s="194"/>
      <c r="AA71" s="194"/>
      <c r="AB71" s="194"/>
    </row>
    <row r="72">
      <c r="A72" s="98"/>
      <c r="B72" s="276" t="s">
        <v>155</v>
      </c>
      <c r="C72" s="25">
        <f>Inputs!C74</f>
        <v>0</v>
      </c>
      <c r="D72" s="78"/>
      <c r="E72" s="2"/>
      <c r="G72" s="276" t="s">
        <v>223</v>
      </c>
      <c r="H72" s="27"/>
      <c r="I72" s="194"/>
      <c r="J72" s="194"/>
      <c r="K72" s="194"/>
      <c r="L72" s="194"/>
      <c r="M72" s="196">
        <f>MIN(L7,V29*(10+2*C92)*6)*J10*(1+0.15*C46)</f>
        <v>1515170.055</v>
      </c>
      <c r="N72" s="194"/>
      <c r="O72" s="194"/>
      <c r="P72" s="194"/>
      <c r="Q72" s="194"/>
      <c r="R72" s="194"/>
      <c r="S72" s="194"/>
      <c r="T72" s="196">
        <f>T76*C126</f>
        <v>0.04678786487</v>
      </c>
      <c r="U72" s="194"/>
      <c r="V72" s="194"/>
      <c r="W72" s="194"/>
      <c r="X72" s="196">
        <f t="shared" si="68"/>
        <v>70891.57178</v>
      </c>
      <c r="Y72" s="196">
        <f>X72</f>
        <v>70891.57178</v>
      </c>
      <c r="Z72" s="194"/>
      <c r="AA72" s="194"/>
      <c r="AB72" s="194"/>
    </row>
    <row r="73">
      <c r="A73" s="329" t="s">
        <v>156</v>
      </c>
      <c r="B73" s="276" t="s">
        <v>157</v>
      </c>
      <c r="C73" s="25">
        <f>Inputs!C75</f>
        <v>0</v>
      </c>
      <c r="D73" s="78"/>
      <c r="G73" s="281" t="s">
        <v>352</v>
      </c>
      <c r="H73" s="27"/>
      <c r="I73" s="194"/>
      <c r="J73" s="194"/>
      <c r="K73" s="194"/>
      <c r="L73" s="194"/>
      <c r="M73" s="196">
        <f>$L$7*0.04*(1+0.2*C63)</f>
        <v>80778.9408</v>
      </c>
      <c r="N73" s="194"/>
      <c r="O73" s="194"/>
      <c r="P73" s="194"/>
      <c r="Q73" s="194"/>
      <c r="R73" s="197">
        <f>60/3</f>
        <v>20</v>
      </c>
      <c r="S73" s="196">
        <f>R73/1.13/$J$9</f>
        <v>11.60921293</v>
      </c>
      <c r="T73" s="196">
        <f>1/S73*B21</f>
        <v>0</v>
      </c>
      <c r="U73" s="194"/>
      <c r="V73" s="194"/>
      <c r="W73" s="194"/>
      <c r="X73" s="196">
        <f t="shared" si="68"/>
        <v>0</v>
      </c>
      <c r="Y73" s="196">
        <f t="shared" ref="Y73:Y75" si="69">X73*(1-$C$144)</f>
        <v>0</v>
      </c>
      <c r="Z73" s="194"/>
      <c r="AA73" s="194"/>
      <c r="AB73" s="194"/>
    </row>
    <row r="74">
      <c r="A74" s="97"/>
      <c r="B74" s="276" t="s">
        <v>158</v>
      </c>
      <c r="C74" s="25">
        <f>Inputs!C76</f>
        <v>1</v>
      </c>
      <c r="D74" s="78"/>
      <c r="G74" s="276" t="s">
        <v>353</v>
      </c>
      <c r="H74" s="289">
        <f>0.907*1.25</f>
        <v>1.13375</v>
      </c>
      <c r="I74" s="204">
        <v>1.15</v>
      </c>
      <c r="J74" s="207">
        <f>($J$6*(1+$E$116)*(1+$D$157)+169*15/120*$C$24+$C$14*6)*H74*$J$10*$L$11*I74*(1+0.15*C93)*(1+0.01*$E$25)*(1+0.1*C43)</f>
        <v>9064.140583</v>
      </c>
      <c r="K74" s="196">
        <f>J74*$J$8*IF($C$152&lt;=5,IF($C$152&lt;3,$C$152,IF($C$43&gt;0,$C$152,2)*(14-5*C131*E137)/$S$40+2*($S$40-(14-5*C131*E137))/$S$40),IF($C$43&gt;0,5,2)*(14-5*C131*E137)/$S$40+2*($S$40-(14-5*C131*E137))/$S$40)*$J$14*(1+$C$131*0.2)*(1+0.08*C120*D120)</f>
        <v>81249.04616</v>
      </c>
      <c r="L74" s="196">
        <f>K74/IF($C$152&lt;=5,IF($C$152&lt;3,$C$152,IF($C$43&gt;0,$C$152,2)*(14-5*C131*E137)/$S$40+2*($S$40-(14-5*C131*E137))/$S$40),IF($C$43&gt;0,5,2)*(14-5*C131*E137)/$S$40+2*($S$40-(14-5*C131*E137))/$S$40)</f>
        <v>16249.80923</v>
      </c>
      <c r="M74" s="196">
        <f>K74*$L$12+IF($C$152&lt;=5,IF($C$152&lt;3,$C$152,IF($C$43&gt;0,$C$152,2)*(14-5*C131*E137)/$S$40+2*($S$40-(14-5*C131*E137))/$S$40),IF($C$43&gt;0,5,2)*(14-5*C131*E137)/$S$40+2*($S$40-(14-5*C131*E137))/$S$40)*$L$7*0.0025*$C$95+$L$7*0.02*$J$10</f>
        <v>58191.08709</v>
      </c>
      <c r="N74" s="194"/>
      <c r="O74" s="194"/>
      <c r="P74" s="194"/>
      <c r="Q74" s="194"/>
      <c r="R74" s="194"/>
      <c r="S74" s="194"/>
      <c r="T74" s="196">
        <f>C131*((T38*(8+C110*4))*T51+(1-T38*(8+C110*4))*((0.35+0.05*14/S40*E136)*T42+(E140*0.35*0.15)*T42))</f>
        <v>0.1922299681</v>
      </c>
      <c r="U74" s="194"/>
      <c r="V74" s="196">
        <f>(T74+(C131*T38*(8+C110*4))*C116/(9/(1/(0.5+(2/((L14+0.3*(1-(1-(T38*(8+C110*4)))*(1-IF(C127&gt;3,1,0)*(1-0.875^(8*(T40+T43+T51+T57+T63)))))))-1+IF(C152=1,0.5,0))/C152))+9/(1/(0.5+(2/((L14+0.3*(1-(1-(T38*(8+C110*4)))*(1-IF(C127&gt;3,1,0)*(1-0.875^(8*(T40+T43+T51+T57+T63)))))))-1+IF(C152=1,0.5,0))/C152))/2*((0.8/3^(C152-1))/(1-(0.8/3^(C152-1))))+6)+1.5*C131*F127*((T38*(8+C110*4))/(1-(1-(T38*(8+C110*4)))*(1-IF(C127&gt;3,1,0)*(1-0.875^(8*(T40+T43+T51+T57+T63)))))))*K74</f>
        <v>20591.9166</v>
      </c>
      <c r="W74" s="196">
        <f>(T74+(C131*T38*(8+C110*4))*C116/(9/(1/(0.5+(2/((L14+0.3*(1-(1-(T38*(8+C110*4)))*(1-IF(C127&gt;3,1,0)*(1-0.875^(8*(T40+T43+T51+T57+T63)))))))-1+IF(C152=1,0.5,0))/C152))+9/(1/(0.5+(2/((L14+0.3*(1-(1-(T38*(8+C110*4)))*(1-IF(C127&gt;3,1,0)*(1-0.875^(8*(T40+T43+T51+T57+T63)))))))-1+IF(C152=1,0.5,0))/C152))/2*((0.8/3^(C152-1))/(1-(0.8/3^(C152-1))))+6)+1.5*C131*F127*((T38*(8+C110*4))/(1-(1-(T38*(8+C110*4)))*(1-IF(C127&gt;3,1,0)*(1-0.875^(8*(T40+T43+T51+T57+T63)))))))*L74</f>
        <v>4118.38332</v>
      </c>
      <c r="X74" s="196">
        <f t="shared" si="68"/>
        <v>11186.07082</v>
      </c>
      <c r="Y74" s="196">
        <f t="shared" si="69"/>
        <v>8948.856653</v>
      </c>
      <c r="Z74" s="194"/>
      <c r="AA74" s="194"/>
      <c r="AB74" s="293"/>
    </row>
    <row r="75">
      <c r="A75" s="97"/>
      <c r="B75" s="276" t="s">
        <v>160</v>
      </c>
      <c r="C75" s="25">
        <f>Inputs!C77</f>
        <v>1</v>
      </c>
      <c r="D75" s="78"/>
      <c r="G75" s="276" t="s">
        <v>354</v>
      </c>
      <c r="H75" s="253">
        <f>1.766*1.2</f>
        <v>2.1192</v>
      </c>
      <c r="I75" s="204">
        <v>1.15</v>
      </c>
      <c r="J75" s="207">
        <f>($J$6*(1+$E$116)*(1+$D$157)+169*15/120*$C$24+$C$14*6)*H75*$J$10*$L$11*I75*(1+0.01*$E$25)</f>
        <v>15402.40692</v>
      </c>
      <c r="K75" s="196">
        <f>J75*($J$8+2)/2*(1+$C$152)*$J$14*(1+0.15*$B$19*(1+0.2*$C$63))*(H8*0.05/2+1)*(1+0.08*C120*D120)</f>
        <v>183268.7594</v>
      </c>
      <c r="L75" s="196">
        <f>K75*2/(1+$C$152)</f>
        <v>61089.58648</v>
      </c>
      <c r="M75" s="196">
        <f>K75*$L$12</f>
        <v>33904.7205</v>
      </c>
      <c r="N75" s="194"/>
      <c r="O75" s="194"/>
      <c r="P75" s="194"/>
      <c r="Q75" s="194"/>
      <c r="R75" s="194"/>
      <c r="S75" s="194"/>
      <c r="T75" s="196">
        <f>T63</f>
        <v>0</v>
      </c>
      <c r="U75" s="293"/>
      <c r="V75" s="196">
        <f>T75*K75</f>
        <v>0</v>
      </c>
      <c r="W75" s="196">
        <f>T75*L75</f>
        <v>0</v>
      </c>
      <c r="X75" s="196">
        <f t="shared" si="68"/>
        <v>0</v>
      </c>
      <c r="Y75" s="196">
        <f t="shared" si="69"/>
        <v>0</v>
      </c>
      <c r="Z75" s="293"/>
      <c r="AA75" s="293"/>
      <c r="AB75" s="293"/>
    </row>
    <row r="76">
      <c r="A76" s="98"/>
      <c r="B76" s="276" t="s">
        <v>161</v>
      </c>
      <c r="C76" s="25">
        <f>Inputs!C78</f>
        <v>0</v>
      </c>
      <c r="D76" s="78"/>
      <c r="G76" s="281" t="s">
        <v>179</v>
      </c>
      <c r="H76" s="27"/>
      <c r="I76" s="194"/>
      <c r="J76" s="194"/>
      <c r="K76" s="194"/>
      <c r="L76" s="194"/>
      <c r="M76" s="194"/>
      <c r="N76" s="194"/>
      <c r="O76" s="194"/>
      <c r="P76" s="194"/>
      <c r="Q76" s="194"/>
      <c r="R76" s="295">
        <f>90</f>
        <v>90</v>
      </c>
      <c r="S76" s="287">
        <f>R76/(1-AA42/5*C122*((O42-5*IF(C42&gt;0,1,0))/O42))</f>
        <v>21.37306335</v>
      </c>
      <c r="T76" s="287">
        <f>1/S76*C89*C149</f>
        <v>0.04678786487</v>
      </c>
      <c r="U76" s="293"/>
      <c r="V76" s="293"/>
      <c r="W76" s="298"/>
      <c r="X76" s="298"/>
      <c r="Y76" s="293"/>
      <c r="Z76" s="293"/>
      <c r="AA76" s="293"/>
      <c r="AB76" s="293"/>
    </row>
    <row r="77">
      <c r="A77" s="329" t="s">
        <v>162</v>
      </c>
      <c r="B77" s="276" t="s">
        <v>163</v>
      </c>
      <c r="C77" s="25">
        <f>Inputs!C79</f>
        <v>2</v>
      </c>
      <c r="D77" s="78"/>
      <c r="T77" s="334" t="s">
        <v>230</v>
      </c>
      <c r="U77" s="300">
        <f t="shared" ref="U77:X77" si="70">sum(U19:U76)</f>
        <v>1</v>
      </c>
      <c r="V77" s="140">
        <f t="shared" si="70"/>
        <v>324907.5826</v>
      </c>
      <c r="W77" s="140">
        <f t="shared" si="70"/>
        <v>112231.5124</v>
      </c>
      <c r="X77" s="140">
        <f t="shared" si="70"/>
        <v>442561.8579</v>
      </c>
      <c r="Y77" s="140">
        <f>sum(Y19:Y76)+W78</f>
        <v>384833.1119</v>
      </c>
      <c r="Z77" s="140">
        <f t="shared" ref="Z77:AB77" si="71">sum(Z19:Z76)</f>
        <v>-0.4570668872</v>
      </c>
      <c r="AA77" s="140">
        <f t="shared" si="71"/>
        <v>0</v>
      </c>
      <c r="AB77" s="152">
        <f t="shared" si="71"/>
        <v>0.3269240909</v>
      </c>
    </row>
    <row r="78">
      <c r="A78" s="97"/>
      <c r="B78" s="276" t="s">
        <v>165</v>
      </c>
      <c r="C78" s="25">
        <f>Inputs!C80</f>
        <v>0</v>
      </c>
      <c r="D78" s="78"/>
      <c r="E78" s="2"/>
      <c r="I78" s="325"/>
    </row>
    <row r="79">
      <c r="A79" s="98"/>
      <c r="B79" s="276" t="s">
        <v>166</v>
      </c>
      <c r="C79" s="25">
        <f>Inputs!C81</f>
        <v>2</v>
      </c>
      <c r="D79" s="78"/>
      <c r="E79" s="2"/>
      <c r="V79" s="326">
        <f>8047*20*1.13/60*J8*J10*0.7</f>
        <v>3317.208598</v>
      </c>
      <c r="W79" s="326">
        <f>498629/150*J8*J10*(0.85+0.15*C152)</f>
        <v>8315.527596</v>
      </c>
      <c r="Y79" s="326">
        <f>-(1.13*(1-exp(-1*12/60)))*49872/12*J10*L10</f>
        <v>-937.5325329</v>
      </c>
    </row>
    <row r="80">
      <c r="A80" s="335" t="s">
        <v>168</v>
      </c>
      <c r="B80" s="276" t="s">
        <v>169</v>
      </c>
      <c r="C80" s="25">
        <f>Inputs!C82</f>
        <v>1</v>
      </c>
      <c r="D80" s="78"/>
      <c r="E80" s="2"/>
      <c r="S80" s="301"/>
      <c r="T80" s="301"/>
      <c r="V80" s="326">
        <f>(239640*0.7+129036)*1.13*0.92/60*J8*J10</f>
        <v>8039.685435</v>
      </c>
    </row>
    <row r="81">
      <c r="A81" s="122"/>
      <c r="B81" s="276" t="s">
        <v>171</v>
      </c>
      <c r="C81" s="25">
        <f>Inputs!C83</f>
        <v>0</v>
      </c>
      <c r="D81" s="78"/>
      <c r="E81" s="2"/>
      <c r="S81" s="62"/>
      <c r="T81" s="62"/>
      <c r="V81" s="326">
        <f>221688*0.85*1.13/60*J8*J10*J9*(0.85+0.15*C152)</f>
        <v>13534.45007</v>
      </c>
      <c r="W81" s="326">
        <f>(1.13*(1-exp(-2*10/60)))*8804*5/10*(0.85+0.15*C152)*J8*J10</f>
        <v>3527.257069</v>
      </c>
    </row>
    <row r="82">
      <c r="A82" s="122"/>
      <c r="B82" s="276" t="s">
        <v>172</v>
      </c>
      <c r="C82" s="25">
        <f>Inputs!C84</f>
        <v>1</v>
      </c>
      <c r="D82" s="78"/>
      <c r="E82" s="2"/>
      <c r="S82" s="301"/>
      <c r="T82" s="301"/>
      <c r="U82" s="336"/>
      <c r="V82" s="326">
        <f>150750*1.25*1.13/60*J8*J10*J9*(0.85+0.15*C152)</f>
        <v>13534.644</v>
      </c>
    </row>
    <row r="83">
      <c r="A83" s="123"/>
      <c r="B83" s="276" t="s">
        <v>173</v>
      </c>
      <c r="C83" s="25">
        <f>Inputs!C85</f>
        <v>0</v>
      </c>
      <c r="D83" s="78"/>
      <c r="E83" s="2"/>
      <c r="V83" s="326">
        <f>124747/6*(1.13*(1-exp(-2*J9*6/60)))*J8*J10</f>
        <v>9653.599608</v>
      </c>
    </row>
    <row r="84">
      <c r="A84" s="2"/>
      <c r="B84" s="2"/>
      <c r="C84" s="2"/>
      <c r="D84" s="2"/>
      <c r="E84" s="2"/>
      <c r="R84" s="302"/>
      <c r="V84" s="326">
        <f>135322*4/150*J8*J10*(0.85+0.15*C152)</f>
        <v>9026.942479</v>
      </c>
    </row>
    <row r="85">
      <c r="A85" s="2"/>
      <c r="B85" s="321" t="s">
        <v>174</v>
      </c>
      <c r="C85" s="283" t="s">
        <v>106</v>
      </c>
      <c r="D85" s="283" t="s">
        <v>107</v>
      </c>
      <c r="E85" s="2"/>
      <c r="V85" s="326">
        <f>15233*1.5*1.13/60*J8*J10*5*5/3</f>
        <v>5606.685564</v>
      </c>
    </row>
    <row r="86">
      <c r="A86" s="337" t="s">
        <v>108</v>
      </c>
      <c r="B86" s="276" t="s">
        <v>175</v>
      </c>
      <c r="C86" s="25">
        <f>Inputs!C88</f>
        <v>1</v>
      </c>
      <c r="D86" s="78"/>
      <c r="E86" s="2"/>
      <c r="U86" s="326">
        <f>(20*0.793)*14698*J8*J10*0.7/60*1.375</f>
        <v>5846.47997</v>
      </c>
      <c r="V86" s="326">
        <f>(20+2/3*(C152*4-2-2/3))*14698*J8*J10*0.7/60*1.375</f>
        <v>11632.3407</v>
      </c>
    </row>
    <row r="87">
      <c r="A87" s="322" t="s">
        <v>112</v>
      </c>
      <c r="B87" s="276" t="s">
        <v>176</v>
      </c>
      <c r="C87" s="25">
        <f>Inputs!C89</f>
        <v>1</v>
      </c>
      <c r="D87" s="25">
        <f>Inputs!D89</f>
        <v>0</v>
      </c>
      <c r="V87" s="326">
        <f>156528*1.13/60*J8*J9*J10*1.5*(0.85+0.15*C152)</f>
        <v>16864.08562</v>
      </c>
    </row>
    <row r="88">
      <c r="A88" s="98"/>
      <c r="B88" s="276" t="s">
        <v>177</v>
      </c>
      <c r="C88" s="25">
        <f>Inputs!C90</f>
        <v>1</v>
      </c>
      <c r="D88" s="78"/>
      <c r="E88" s="2"/>
      <c r="V88" s="326">
        <f>91711*J8*J10/90*(0.85+0.15*C152)*5*0.79+2395/3*J10*J8*C152*0.8</f>
        <v>15061.45445</v>
      </c>
      <c r="W88" s="326">
        <f>80382*J8*J10/90*(0.85+0.15*C152)*5*0.79+2013/3*J10*J8*C152*0.8</f>
        <v>13021.34051</v>
      </c>
      <c r="X88" s="326">
        <f>(660181*J10*1.15*1.5-93582*5*J10*L10*0.79)/90*1.5-2395*J10*L10/3*0.8</f>
        <v>16850.28256</v>
      </c>
      <c r="Y88" s="326">
        <f>(578625*J10*1.15*1.5-82021*5*J10*L10*0.79)/90*1.5-2013*J10*L10/3*0.8</f>
        <v>14793.98408</v>
      </c>
    </row>
    <row r="89">
      <c r="A89" s="329" t="s">
        <v>117</v>
      </c>
      <c r="B89" s="276" t="s">
        <v>179</v>
      </c>
      <c r="C89" s="25">
        <f>Inputs!C91</f>
        <v>1</v>
      </c>
      <c r="D89" s="78"/>
      <c r="E89" s="2"/>
      <c r="U89" s="326">
        <f>205064/1.2^15</f>
        <v>13309.77561</v>
      </c>
      <c r="V89" s="4">
        <f>(304680/(1.2)^15)*3*1.13*1.2^15/60*J8*J9*J10*(127566/205064)*IF(C152&gt;1,1,1)*0.9</f>
        <v>22972.73723</v>
      </c>
      <c r="X89" s="326">
        <f>-V89/2*L10</f>
        <v>-9864.982603</v>
      </c>
    </row>
    <row r="90">
      <c r="A90" s="98"/>
      <c r="B90" s="276" t="s">
        <v>180</v>
      </c>
      <c r="C90" s="25">
        <f>Inputs!C92</f>
        <v>1</v>
      </c>
      <c r="D90" s="78"/>
      <c r="E90" s="2"/>
      <c r="U90" s="326">
        <f>9935*1.2^14</f>
        <v>127557.2995</v>
      </c>
      <c r="V90" s="326">
        <f>7848*1.5*5*1.13/60*J8*J9*J10</f>
        <v>2642.285725</v>
      </c>
      <c r="X90" s="326">
        <f>-1053*1.5*5*1.13/60*J9*J10*L10</f>
        <v>-249.731794</v>
      </c>
    </row>
    <row r="91">
      <c r="A91" s="329" t="s">
        <v>129</v>
      </c>
      <c r="B91" s="276" t="s">
        <v>181</v>
      </c>
      <c r="C91" s="25">
        <f>Inputs!C93</f>
        <v>1</v>
      </c>
      <c r="D91" s="78"/>
      <c r="E91" s="2"/>
      <c r="V91" s="326">
        <f>V25/C152</f>
        <v>8186.006957</v>
      </c>
      <c r="X91" s="326">
        <f>258568*2*1.13/60*1.15*J9*J10</f>
        <v>21896.42633</v>
      </c>
    </row>
    <row r="92">
      <c r="A92" s="97"/>
      <c r="B92" s="276" t="s">
        <v>182</v>
      </c>
      <c r="C92" s="25">
        <f>Inputs!C94</f>
        <v>2</v>
      </c>
      <c r="D92" s="78"/>
      <c r="E92" s="2"/>
      <c r="V92" s="326">
        <f>69524/60*1.13*2*J9*J8*J10+44080*J9*J8*J10*2/60*0.7*1.13</f>
        <v>9012.322155</v>
      </c>
    </row>
    <row r="93">
      <c r="A93" s="97"/>
      <c r="B93" s="276" t="s">
        <v>184</v>
      </c>
      <c r="C93" s="25">
        <f>Inputs!C95</f>
        <v>0</v>
      </c>
      <c r="D93" s="78"/>
      <c r="X93" s="326">
        <f>1.13*1.21/60*(140745+93831*2)*1.15*J10</f>
        <v>11036.14681</v>
      </c>
    </row>
    <row r="94">
      <c r="A94" s="98"/>
      <c r="B94" s="276" t="s">
        <v>185</v>
      </c>
      <c r="C94" s="25">
        <f>Inputs!C96</f>
        <v>1</v>
      </c>
      <c r="D94" s="78"/>
      <c r="E94" s="2"/>
      <c r="V94" s="326">
        <f>64988*J8*J10/90*(0.85+0.15*C152)*1.31*5+2182/3*J10*J8*C152</f>
        <v>17517.12324</v>
      </c>
      <c r="X94" s="326">
        <f>(409961*J10*1.15-58027*5*(1-L5)*L10)/90*1.5-2396*J10*L10/3</f>
        <v>8169.608668</v>
      </c>
    </row>
    <row r="95">
      <c r="A95" s="329" t="s">
        <v>138</v>
      </c>
      <c r="B95" s="276" t="s">
        <v>186</v>
      </c>
      <c r="C95" s="25">
        <f>Inputs!C97</f>
        <v>0</v>
      </c>
      <c r="D95" s="78"/>
    </row>
    <row r="96">
      <c r="A96" s="97"/>
      <c r="B96" s="276" t="s">
        <v>187</v>
      </c>
      <c r="C96" s="25">
        <f>Inputs!C98</f>
        <v>1</v>
      </c>
      <c r="D96" s="78"/>
      <c r="U96" s="4" t="s">
        <v>368</v>
      </c>
    </row>
    <row r="97">
      <c r="A97" s="97"/>
      <c r="B97" s="276" t="s">
        <v>188</v>
      </c>
      <c r="C97" s="25">
        <f>Inputs!C99</f>
        <v>1</v>
      </c>
      <c r="D97" s="25">
        <f>Inputs!D99</f>
        <v>7</v>
      </c>
      <c r="E97" s="2"/>
      <c r="N97" s="328"/>
    </row>
    <row r="98">
      <c r="A98" s="97"/>
      <c r="B98" s="276" t="s">
        <v>189</v>
      </c>
      <c r="C98" s="25">
        <f>Inputs!C100</f>
        <v>1</v>
      </c>
      <c r="D98" s="78"/>
    </row>
    <row r="99">
      <c r="A99" s="97"/>
      <c r="B99" s="276" t="s">
        <v>190</v>
      </c>
      <c r="C99" s="25">
        <f>Inputs!C101</f>
        <v>1</v>
      </c>
      <c r="D99" s="78"/>
    </row>
    <row r="100">
      <c r="A100" s="97"/>
      <c r="B100" s="276" t="s">
        <v>191</v>
      </c>
      <c r="C100" s="25">
        <f>Inputs!C102</f>
        <v>0</v>
      </c>
      <c r="D100" s="25">
        <f>Inputs!D102</f>
        <v>0</v>
      </c>
      <c r="E100" s="2"/>
    </row>
    <row r="101">
      <c r="A101" s="98"/>
      <c r="B101" s="276" t="s">
        <v>193</v>
      </c>
      <c r="C101" s="25">
        <f>Inputs!C103</f>
        <v>0</v>
      </c>
      <c r="D101" s="25">
        <f>Inputs!D103</f>
        <v>10</v>
      </c>
    </row>
    <row r="102">
      <c r="A102" s="329" t="s">
        <v>144</v>
      </c>
      <c r="B102" s="276" t="s">
        <v>195</v>
      </c>
      <c r="C102" s="25">
        <f>Inputs!C104</f>
        <v>0</v>
      </c>
      <c r="D102" s="78"/>
      <c r="E102" s="2"/>
    </row>
    <row r="103">
      <c r="A103" s="97"/>
      <c r="B103" s="276" t="s">
        <v>196</v>
      </c>
      <c r="C103" s="25">
        <f>Inputs!C105</f>
        <v>1</v>
      </c>
      <c r="D103" s="25">
        <f>Inputs!D105</f>
        <v>0</v>
      </c>
      <c r="E103" s="2"/>
      <c r="Q103" s="326">
        <f>264000/1.1957</f>
        <v>220791.1684</v>
      </c>
    </row>
    <row r="104">
      <c r="A104" s="97"/>
      <c r="B104" s="276" t="s">
        <v>197</v>
      </c>
      <c r="C104" s="25">
        <f>Inputs!C106</f>
        <v>1</v>
      </c>
      <c r="D104" s="78"/>
    </row>
    <row r="105">
      <c r="A105" s="97"/>
      <c r="B105" s="276" t="s">
        <v>199</v>
      </c>
      <c r="C105" s="25">
        <f>Inputs!C107</f>
        <v>1</v>
      </c>
      <c r="D105" s="25">
        <f>Inputs!D107</f>
        <v>5</v>
      </c>
    </row>
    <row r="106">
      <c r="A106" s="97"/>
      <c r="B106" s="276" t="s">
        <v>201</v>
      </c>
      <c r="C106" s="25">
        <f>Inputs!C108</f>
        <v>1</v>
      </c>
      <c r="D106" s="78"/>
      <c r="E106" s="2"/>
    </row>
    <row r="107">
      <c r="A107" s="97"/>
      <c r="B107" s="276" t="s">
        <v>202</v>
      </c>
      <c r="C107" s="25">
        <f>Inputs!C109</f>
        <v>1</v>
      </c>
      <c r="D107" s="78"/>
    </row>
    <row r="108">
      <c r="A108" s="329" t="s">
        <v>152</v>
      </c>
      <c r="B108" s="276" t="s">
        <v>203</v>
      </c>
      <c r="C108" s="25">
        <f>Inputs!C110</f>
        <v>1</v>
      </c>
      <c r="D108" s="78"/>
    </row>
    <row r="109">
      <c r="A109" s="97"/>
      <c r="B109" s="276" t="s">
        <v>204</v>
      </c>
      <c r="C109" s="25">
        <f>Inputs!C111</f>
        <v>1</v>
      </c>
      <c r="D109" s="78"/>
      <c r="E109" s="2"/>
    </row>
    <row r="110">
      <c r="A110" s="97"/>
      <c r="B110" s="276" t="s">
        <v>205</v>
      </c>
      <c r="C110" s="25">
        <f>Inputs!C112</f>
        <v>1</v>
      </c>
      <c r="D110" s="78"/>
      <c r="E110" s="2"/>
    </row>
    <row r="111">
      <c r="A111" s="97"/>
      <c r="B111" s="276" t="s">
        <v>207</v>
      </c>
      <c r="C111" s="25">
        <f>Inputs!C113</f>
        <v>1</v>
      </c>
      <c r="D111" s="78"/>
      <c r="E111" s="2"/>
    </row>
    <row r="112">
      <c r="A112" s="97"/>
      <c r="B112" s="276" t="s">
        <v>208</v>
      </c>
      <c r="C112" s="25">
        <f>Inputs!C114</f>
        <v>0</v>
      </c>
      <c r="D112" s="78"/>
    </row>
    <row r="113">
      <c r="A113" s="329" t="s">
        <v>156</v>
      </c>
      <c r="B113" s="276" t="s">
        <v>209</v>
      </c>
      <c r="C113" s="25">
        <f>Inputs!C115</f>
        <v>0</v>
      </c>
      <c r="D113" s="78"/>
    </row>
    <row r="114">
      <c r="A114" s="97"/>
      <c r="B114" s="276" t="s">
        <v>211</v>
      </c>
      <c r="C114" s="25">
        <f>Inputs!C116</f>
        <v>0</v>
      </c>
      <c r="D114" s="78"/>
      <c r="E114" s="2"/>
    </row>
    <row r="115">
      <c r="A115" s="97"/>
      <c r="B115" s="276" t="s">
        <v>212</v>
      </c>
      <c r="C115" s="25">
        <f>Inputs!C117</f>
        <v>1</v>
      </c>
      <c r="D115" s="78"/>
    </row>
    <row r="116">
      <c r="A116" s="97"/>
      <c r="B116" s="276" t="s">
        <v>213</v>
      </c>
      <c r="C116" s="25">
        <f>Inputs!C118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0.04814075207</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0.004894795976</v>
      </c>
    </row>
    <row r="117">
      <c r="A117" s="97"/>
      <c r="B117" s="276" t="s">
        <v>214</v>
      </c>
      <c r="C117" s="25">
        <f>Inputs!C119</f>
        <v>1</v>
      </c>
      <c r="D117" s="25">
        <f>Inputs!D119</f>
        <v>0.8</v>
      </c>
    </row>
    <row r="118">
      <c r="A118" s="329" t="s">
        <v>162</v>
      </c>
      <c r="B118" s="276" t="s">
        <v>215</v>
      </c>
      <c r="C118" s="25">
        <f>Inputs!C120</f>
        <v>0</v>
      </c>
      <c r="D118" s="78"/>
    </row>
    <row r="119">
      <c r="A119" s="97"/>
      <c r="B119" s="276" t="s">
        <v>216</v>
      </c>
      <c r="C119" s="25">
        <f>Inputs!C121</f>
        <v>1</v>
      </c>
      <c r="D119" s="78"/>
    </row>
    <row r="120">
      <c r="A120" s="97"/>
      <c r="B120" s="276" t="s">
        <v>217</v>
      </c>
      <c r="C120" s="25">
        <f>Inputs!C122</f>
        <v>1</v>
      </c>
      <c r="D120" s="25">
        <f>Inputs!D122</f>
        <v>0.4</v>
      </c>
      <c r="E120" s="2"/>
    </row>
    <row r="121">
      <c r="A121" s="97"/>
      <c r="B121" s="276" t="s">
        <v>218</v>
      </c>
      <c r="C121" s="25">
        <f>Inputs!C123</f>
        <v>0</v>
      </c>
      <c r="D121" s="25">
        <f>Inputs!D123</f>
        <v>1</v>
      </c>
    </row>
    <row r="122">
      <c r="A122" s="97"/>
      <c r="B122" s="276" t="s">
        <v>219</v>
      </c>
      <c r="C122" s="25">
        <f>Inputs!C124</f>
        <v>1</v>
      </c>
      <c r="D122" s="78"/>
    </row>
    <row r="123">
      <c r="A123" s="329" t="s">
        <v>168</v>
      </c>
      <c r="B123" s="276" t="s">
        <v>220</v>
      </c>
      <c r="C123" s="25">
        <f>Inputs!C125</f>
        <v>0</v>
      </c>
      <c r="D123" s="78"/>
    </row>
    <row r="124">
      <c r="A124" s="97"/>
      <c r="B124" s="276" t="s">
        <v>221</v>
      </c>
      <c r="C124" s="25">
        <f>Inputs!C126</f>
        <v>1</v>
      </c>
      <c r="D124" s="78"/>
      <c r="E124" s="2"/>
    </row>
    <row r="125">
      <c r="A125" s="97"/>
      <c r="B125" s="276" t="s">
        <v>222</v>
      </c>
      <c r="C125" s="25">
        <f>Inputs!C127</f>
        <v>0</v>
      </c>
      <c r="D125" s="78"/>
    </row>
    <row r="126">
      <c r="A126" s="97"/>
      <c r="B126" s="276" t="s">
        <v>223</v>
      </c>
      <c r="C126" s="25">
        <f>Inputs!C128</f>
        <v>1</v>
      </c>
      <c r="D126" s="78"/>
      <c r="E126" s="2"/>
    </row>
    <row r="127">
      <c r="A127" s="329" t="s">
        <v>224</v>
      </c>
      <c r="B127" s="276" t="s">
        <v>225</v>
      </c>
      <c r="C127" s="25">
        <f>Inputs!C129</f>
        <v>4</v>
      </c>
      <c r="D127" s="78"/>
      <c r="E127" s="309">
        <f>T38*(8+C110*4)*(1+C110)+IF(C127&gt;3,1,0)*8*0.125*(T40+T43+T51+T57+T63)</f>
        <v>0.8266571079</v>
      </c>
      <c r="F127" s="309">
        <f>IF(C127=4,(1-(1-(1-(1-(T38*(8+C110*4)))*(1-IF(C127&gt;3,1,0)*(1-0.875^(8*(T40+T43-T46+MIN(($L$9+SUM(Z19:Z36,Z38:Z50)+SUM(Z52:Z76))/(-N51),MAX((1-SUM(U18:U24,U26:U41,U43:U50,U52:U76)+SUM(AA19:AA24,AA26:AA41,AA43:AA50,AA52:AA76)/O42*Q42)/Q51*(-O42/(O51-O42)),0))+2*T57+2*T63)))))))/(3+(2/(L13+0.3)-1+IF(C152=1,0.5,0))/C152),IF(C127&gt;0,1,0)*(1-(1-(T38*(8+C110*4))))/(3+(2/(L13+0.3)-1+IF(C152=1,0.5,0))/C152))</f>
        <v>0.1402974432</v>
      </c>
    </row>
    <row r="128">
      <c r="A128" s="2"/>
      <c r="B128" s="2"/>
      <c r="C128" s="2"/>
      <c r="D128" s="2"/>
      <c r="E128" s="2"/>
    </row>
    <row r="129">
      <c r="A129" s="2"/>
      <c r="B129" s="321" t="s">
        <v>229</v>
      </c>
      <c r="C129" s="2"/>
      <c r="D129" s="2"/>
      <c r="E129" s="2"/>
    </row>
    <row r="130">
      <c r="A130" s="2"/>
      <c r="B130" s="339" t="s">
        <v>231</v>
      </c>
      <c r="C130" s="25">
        <f>Inputs!C132</f>
        <v>0</v>
      </c>
      <c r="D130" s="264">
        <f>Inputs!D132</f>
        <v>0.6</v>
      </c>
      <c r="E130" s="2"/>
    </row>
    <row r="131">
      <c r="A131" s="2"/>
      <c r="B131" s="339" t="s">
        <v>233</v>
      </c>
      <c r="C131" s="25">
        <f>Inputs!C133</f>
        <v>1</v>
      </c>
      <c r="D131" s="264">
        <f>Inputs!D133</f>
        <v>0.85</v>
      </c>
      <c r="E131" s="2"/>
    </row>
    <row r="132">
      <c r="A132" s="2"/>
      <c r="B132" s="2"/>
      <c r="C132" s="2"/>
      <c r="D132" s="2"/>
      <c r="E132" s="2"/>
    </row>
    <row r="133">
      <c r="A133" s="2"/>
      <c r="B133" s="340" t="s">
        <v>234</v>
      </c>
      <c r="C133" s="341"/>
      <c r="D133" s="342" t="s">
        <v>235</v>
      </c>
      <c r="E133" s="342"/>
      <c r="G133" s="340" t="s">
        <v>355</v>
      </c>
      <c r="J133" s="340" t="s">
        <v>356</v>
      </c>
    </row>
    <row r="134">
      <c r="A134" s="2"/>
      <c r="B134" s="343" t="s">
        <v>236</v>
      </c>
      <c r="C134" s="150"/>
      <c r="D134" s="339" t="s">
        <v>237</v>
      </c>
      <c r="E134" s="150"/>
      <c r="G134" s="343" t="s">
        <v>357</v>
      </c>
      <c r="H134" s="311">
        <f>MIN(40,1+12*(2*(1+H8)*T25+T26+1/3*(2)*(1/(1-0.15*C107))+T35*2+T40*(11+2*C107)+T42*(2*C136)*(1+C136*H8)+T43+T38*2*(2*(1+H8))+T38*2*(2*(1+H8))+T62*(2*C136)*(1+C136*H8)+2*(2/12+(1+H8)/12)))</f>
        <v>40</v>
      </c>
      <c r="J134" s="343" t="s">
        <v>358</v>
      </c>
      <c r="K134" s="282">
        <f>C131*7*(1+2*T38*(8+C110*4))*D131</f>
        <v>7.522687225</v>
      </c>
    </row>
    <row r="135">
      <c r="A135" s="2"/>
      <c r="B135" s="343" t="s">
        <v>238</v>
      </c>
      <c r="C135" s="25">
        <f>Inputs!C137</f>
        <v>1</v>
      </c>
      <c r="D135" s="339" t="s">
        <v>239</v>
      </c>
      <c r="E135" s="150"/>
      <c r="G135" s="343" t="s">
        <v>359</v>
      </c>
      <c r="H135" s="312">
        <f>1+C130*(0.05*15+0.05*17*H8)*T75</f>
        <v>1</v>
      </c>
    </row>
    <row r="136">
      <c r="A136" s="2"/>
      <c r="B136" s="343" t="s">
        <v>240</v>
      </c>
      <c r="C136" s="25">
        <f>Inputs!C138</f>
        <v>1</v>
      </c>
      <c r="D136" s="339" t="s">
        <v>241</v>
      </c>
      <c r="E136" s="25">
        <f>Inputs!E138</f>
        <v>1</v>
      </c>
    </row>
    <row r="137">
      <c r="A137" s="2"/>
      <c r="B137" s="343" t="s">
        <v>242</v>
      </c>
      <c r="C137" s="25">
        <f>Inputs!C139</f>
        <v>0</v>
      </c>
      <c r="D137" s="339" t="s">
        <v>243</v>
      </c>
      <c r="E137" s="25">
        <f>Inputs!E139</f>
        <v>0</v>
      </c>
    </row>
    <row r="138">
      <c r="A138" s="2"/>
      <c r="B138" s="343" t="s">
        <v>244</v>
      </c>
      <c r="C138" s="25">
        <f>Inputs!C140</f>
        <v>1</v>
      </c>
      <c r="D138" s="339" t="s">
        <v>245</v>
      </c>
      <c r="E138" s="25">
        <f>Inputs!E140</f>
        <v>0</v>
      </c>
    </row>
    <row r="139">
      <c r="A139" s="2"/>
      <c r="B139" s="343" t="s">
        <v>246</v>
      </c>
      <c r="C139" s="150"/>
      <c r="D139" s="339" t="s">
        <v>247</v>
      </c>
      <c r="E139" s="25">
        <f>Inputs!E141</f>
        <v>1</v>
      </c>
    </row>
    <row r="140">
      <c r="A140" s="2"/>
      <c r="B140" s="2"/>
      <c r="C140" s="2"/>
      <c r="D140" s="339" t="s">
        <v>248</v>
      </c>
      <c r="E140" s="25">
        <f>Inputs!E142</f>
        <v>0</v>
      </c>
    </row>
    <row r="141">
      <c r="A141" s="2"/>
      <c r="B141" s="2"/>
      <c r="C141" s="2"/>
      <c r="D141" s="339" t="s">
        <v>249</v>
      </c>
      <c r="E141" s="25">
        <f>Inputs!E143</f>
        <v>1</v>
      </c>
    </row>
    <row r="142">
      <c r="A142" s="2"/>
      <c r="B142" s="2"/>
      <c r="C142" s="2"/>
      <c r="D142" s="2"/>
      <c r="E142" s="2"/>
    </row>
    <row r="143">
      <c r="A143" s="2"/>
      <c r="B143" s="294" t="s">
        <v>250</v>
      </c>
      <c r="C143" s="2"/>
      <c r="D143" s="2"/>
      <c r="E143" s="2"/>
    </row>
    <row r="144">
      <c r="A144" s="2"/>
      <c r="B144" s="281" t="s">
        <v>251</v>
      </c>
      <c r="C144" s="313">
        <f>Inputs!C146</f>
        <v>0.2</v>
      </c>
      <c r="D144" s="2"/>
      <c r="E144" s="2"/>
    </row>
    <row r="145">
      <c r="A145" s="2"/>
      <c r="B145" s="276" t="s">
        <v>252</v>
      </c>
      <c r="C145" s="25">
        <f>Inputs!C147</f>
        <v>400000</v>
      </c>
      <c r="D145" s="2"/>
      <c r="E145" s="2"/>
    </row>
    <row r="146">
      <c r="A146" s="2"/>
      <c r="B146" s="281" t="s">
        <v>254</v>
      </c>
      <c r="C146" s="313">
        <f>Inputs!C148</f>
        <v>0.2</v>
      </c>
      <c r="D146" s="2"/>
      <c r="E146" s="2"/>
    </row>
    <row r="147">
      <c r="A147" s="2"/>
      <c r="B147" s="281" t="s">
        <v>257</v>
      </c>
      <c r="C147" s="313">
        <f>Inputs!C149</f>
        <v>0</v>
      </c>
      <c r="D147" s="2"/>
      <c r="E147" s="2"/>
    </row>
    <row r="148">
      <c r="A148" s="2"/>
      <c r="B148" s="281" t="s">
        <v>258</v>
      </c>
      <c r="C148" s="313">
        <f>Inputs!C150</f>
        <v>0</v>
      </c>
      <c r="D148" s="2"/>
      <c r="E148" s="2"/>
    </row>
    <row r="149">
      <c r="A149" s="2"/>
      <c r="B149" s="281" t="s">
        <v>259</v>
      </c>
      <c r="C149" s="313">
        <f>Inputs!C151</f>
        <v>1</v>
      </c>
      <c r="D149" s="2"/>
      <c r="E149" s="2"/>
    </row>
    <row r="150">
      <c r="A150" s="2"/>
      <c r="B150" s="276" t="s">
        <v>260</v>
      </c>
      <c r="C150" s="313">
        <f>Inputs!C152</f>
        <v>0.4</v>
      </c>
      <c r="D150" s="2"/>
      <c r="E150" s="2"/>
    </row>
    <row r="151">
      <c r="A151" s="2"/>
      <c r="B151" s="276" t="s">
        <v>261</v>
      </c>
      <c r="C151" s="174">
        <f>Inputs!C153</f>
        <v>0.8</v>
      </c>
      <c r="D151" s="2"/>
      <c r="E151" s="2"/>
    </row>
    <row r="152">
      <c r="A152" s="2"/>
      <c r="B152" s="281" t="s">
        <v>262</v>
      </c>
      <c r="C152" s="25">
        <f>Inputs!C154</f>
        <v>5</v>
      </c>
      <c r="D152" s="2"/>
      <c r="E152" s="2"/>
      <c r="F152" s="2"/>
    </row>
    <row r="153">
      <c r="A153" s="2"/>
      <c r="B153" s="276" t="s">
        <v>263</v>
      </c>
      <c r="C153" s="25">
        <f>Inputs!C155</f>
        <v>90</v>
      </c>
      <c r="D153" s="2"/>
      <c r="E153" s="2"/>
      <c r="F153" s="2"/>
    </row>
    <row r="154">
      <c r="A154" s="2"/>
      <c r="B154" s="281" t="s">
        <v>265</v>
      </c>
      <c r="C154" s="174">
        <f>Inputs!C156</f>
        <v>3966.55</v>
      </c>
      <c r="D154" s="2"/>
      <c r="E154" s="2"/>
      <c r="F154" s="2"/>
    </row>
    <row r="155">
      <c r="A155" s="2"/>
      <c r="D155" s="2"/>
      <c r="E155" s="2"/>
      <c r="F155" s="2"/>
    </row>
    <row r="156">
      <c r="B156" s="344" t="s">
        <v>267</v>
      </c>
      <c r="C156" s="345" t="s">
        <v>268</v>
      </c>
      <c r="D156" s="2"/>
      <c r="E156" s="2"/>
      <c r="F156" s="2"/>
    </row>
    <row r="157">
      <c r="B157" s="346" t="s">
        <v>269</v>
      </c>
      <c r="C157" s="25">
        <f>Inputs!C159</f>
        <v>1</v>
      </c>
      <c r="D157" s="309">
        <f>C157*(0.025+0.1*T42)</f>
        <v>0.06513634798</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0.00661017907</v>
      </c>
      <c r="F157" s="2"/>
    </row>
    <row r="158">
      <c r="B158" s="346" t="s">
        <v>271</v>
      </c>
      <c r="C158" s="25">
        <f>Inputs!C160</f>
        <v>1</v>
      </c>
      <c r="D158" s="2"/>
      <c r="E158" s="2"/>
      <c r="F158" s="2"/>
      <c r="G158" s="2"/>
      <c r="H158" s="2"/>
    </row>
    <row r="159">
      <c r="D159" s="2"/>
      <c r="E159" s="2"/>
      <c r="F159" s="2"/>
      <c r="G159" s="2"/>
      <c r="H159" s="2"/>
    </row>
    <row r="160">
      <c r="B160" s="296" t="s">
        <v>274</v>
      </c>
      <c r="C160" s="2"/>
      <c r="D160" s="2"/>
      <c r="E160" s="2"/>
      <c r="F160" s="2"/>
      <c r="G160" s="2"/>
      <c r="H160" s="2"/>
    </row>
    <row r="161">
      <c r="B161" s="281" t="s">
        <v>275</v>
      </c>
      <c r="C161" s="347"/>
      <c r="D161" s="1"/>
      <c r="E161" s="1"/>
      <c r="F161" s="2"/>
      <c r="G161" s="2"/>
      <c r="H161" s="2"/>
    </row>
    <row r="162">
      <c r="B162" s="281" t="s">
        <v>276</v>
      </c>
      <c r="C162" s="173"/>
      <c r="D162" s="2"/>
      <c r="E162" s="1"/>
      <c r="F162" s="2"/>
      <c r="G162" s="2"/>
      <c r="H162" s="2"/>
    </row>
    <row r="163">
      <c r="B163" s="281" t="s">
        <v>361</v>
      </c>
      <c r="C163" s="315"/>
      <c r="D163" s="2"/>
      <c r="E163" s="2"/>
      <c r="F163" s="2"/>
      <c r="G163" s="2"/>
      <c r="H163" s="2"/>
    </row>
    <row r="164">
      <c r="B164" s="281" t="s">
        <v>362</v>
      </c>
      <c r="C164" s="235"/>
      <c r="D164" s="2"/>
      <c r="E164" s="2"/>
      <c r="G164" s="2"/>
      <c r="H164" s="2"/>
    </row>
    <row r="165">
      <c r="B165" s="281" t="s">
        <v>278</v>
      </c>
      <c r="C165" s="316"/>
      <c r="G165" s="2"/>
      <c r="H165" s="2"/>
    </row>
    <row r="166">
      <c r="B166" s="281" t="s">
        <v>280</v>
      </c>
      <c r="C166" s="27"/>
      <c r="G166" s="2"/>
      <c r="H166" s="2"/>
    </row>
    <row r="167">
      <c r="B167" s="281" t="s">
        <v>363</v>
      </c>
      <c r="C167" s="317"/>
      <c r="G167" s="2"/>
      <c r="H167" s="2"/>
    </row>
    <row r="168">
      <c r="B168" s="281" t="s">
        <v>364</v>
      </c>
      <c r="C168" s="236"/>
      <c r="D168" s="202"/>
      <c r="G168" s="2"/>
      <c r="H168" s="2"/>
    </row>
    <row r="169">
      <c r="B169" s="318"/>
      <c r="C169" s="202"/>
      <c r="D169" s="202"/>
      <c r="G169" s="2"/>
      <c r="H169" s="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row r="196">
      <c r="N196" s="4" t="s">
        <v>366</v>
      </c>
      <c r="O196" s="4">
        <v>3.0</v>
      </c>
      <c r="P196" s="326">
        <f>SUM(P167:Q167)</f>
        <v>0</v>
      </c>
    </row>
    <row r="197">
      <c r="O197" s="4">
        <v>4.0</v>
      </c>
      <c r="P197" s="326">
        <f>SUM(P167:Q167)</f>
        <v>0</v>
      </c>
    </row>
    <row r="198">
      <c r="O198" s="4">
        <v>5.0</v>
      </c>
      <c r="P198" s="326">
        <f>SUM(P167:Q167)</f>
        <v>0</v>
      </c>
    </row>
    <row r="199">
      <c r="O199" s="4">
        <v>6.0</v>
      </c>
      <c r="P199" s="326">
        <f>SUM(P167:X167)</f>
        <v>0</v>
      </c>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17.75"/>
    <col customWidth="1" min="9" max="9" width="23.25"/>
    <col customWidth="1" min="10" max="10" width="17.88"/>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2.5"/>
    <col customWidth="1" min="19" max="19" width="15.25"/>
    <col customWidth="1" min="20" max="20" width="15.88"/>
    <col customWidth="1" min="21" max="21" width="12.38"/>
    <col customWidth="1" min="22" max="22" width="11.75"/>
    <col customWidth="1" min="23" max="23" width="19.25"/>
    <col customWidth="1" min="24" max="24" width="19.13"/>
    <col customWidth="1" min="25" max="25" width="11.25"/>
    <col customWidth="1" min="26" max="26" width="15.0"/>
    <col customWidth="1" min="27" max="27" width="19.63"/>
    <col customWidth="1" min="28" max="28" width="19.13"/>
  </cols>
  <sheetData>
    <row r="2">
      <c r="B2" s="266" t="s">
        <v>371</v>
      </c>
    </row>
    <row r="4">
      <c r="B4" s="267" t="s">
        <v>1</v>
      </c>
      <c r="C4" s="268" t="s">
        <v>3</v>
      </c>
      <c r="D4" s="269" t="s">
        <v>5</v>
      </c>
      <c r="E4" s="269" t="s">
        <v>7</v>
      </c>
      <c r="G4" s="267" t="s">
        <v>9</v>
      </c>
      <c r="J4" s="229"/>
      <c r="N4" s="270" t="s">
        <v>10</v>
      </c>
    </row>
    <row r="5">
      <c r="B5" s="271" t="s">
        <v>12</v>
      </c>
      <c r="C5" s="231">
        <f>H5*(1+C21*0.05*(1+0.2*C63))</f>
        <v>3852</v>
      </c>
      <c r="D5" s="27"/>
      <c r="E5" s="27"/>
      <c r="G5" s="271" t="s">
        <v>21</v>
      </c>
      <c r="H5" s="277">
        <f>Baseline!H5</f>
        <v>3852</v>
      </c>
      <c r="I5" s="272" t="s">
        <v>31</v>
      </c>
      <c r="J5" s="49">
        <f>(C5*1.45+((J6*(1+E116)*(1+D157)*1.8)+IF(E28=3,1,0)*1.13*(1-exp(-1*$J$9*12/60))*($J$6*(1+E116)*(1+D157)*0.02*$J$10)))*(1+0.06*C75)</f>
        <v>12077.94396</v>
      </c>
      <c r="K5" s="272" t="s">
        <v>41</v>
      </c>
      <c r="L5" s="52">
        <f>(J5 / (J5 + C154))</f>
        <v>0.7527781176</v>
      </c>
      <c r="N5" s="273" t="s">
        <v>46</v>
      </c>
      <c r="O5" s="274" t="s">
        <v>47</v>
      </c>
      <c r="P5" s="274" t="s">
        <v>49</v>
      </c>
      <c r="Q5" s="275" t="s">
        <v>325</v>
      </c>
      <c r="R5" s="275" t="s">
        <v>53</v>
      </c>
      <c r="S5" s="275" t="s">
        <v>326</v>
      </c>
      <c r="T5" s="274" t="s">
        <v>56</v>
      </c>
      <c r="U5" s="275" t="s">
        <v>57</v>
      </c>
      <c r="V5" s="276" t="s">
        <v>59</v>
      </c>
      <c r="W5" s="269" t="s">
        <v>60</v>
      </c>
      <c r="X5" s="268" t="s">
        <v>63</v>
      </c>
    </row>
    <row r="6">
      <c r="B6" s="271" t="s">
        <v>36</v>
      </c>
      <c r="C6" s="231">
        <f>(H6+C34*33)*(1+C21*0.05*(1+0.2*C63))</f>
        <v>2672</v>
      </c>
      <c r="D6" s="27"/>
      <c r="E6" s="27"/>
      <c r="G6" s="271" t="s">
        <v>65</v>
      </c>
      <c r="H6" s="277">
        <f>Baseline!H6</f>
        <v>2672</v>
      </c>
      <c r="I6" s="271" t="s">
        <v>67</v>
      </c>
      <c r="J6" s="52">
        <f>(C6+E32*252*8/120+E34*50)*(1+B21*1.13*(1-exp(-3*J9*15/60))*0.15*(1+0.2*C63))*(1+0.03*C77*(1-(0.85)^(8*L9)))*(1+0.1*12*(1/S40)*C131*(1-IF(OR(D100=1,AND(C152&lt;4,C131=1)),0,1)*IF(D100=2,1-(1-(0.75)^((5+(H15/2))/H15))/(1+3*(1-(0.75)^((5+(H15/2))/H15))*C82),1)*IF(NOT(OR(OR(D100=1,AND(C152&lt;4,C131=1)),D100=2)),1-(1-(0.75)^((4+(H15/2))/H15)),1)))*(1+0.1*T69*8*IF(C152=1,1,0))</f>
        <v>2890.654188</v>
      </c>
      <c r="K6" s="271" t="s">
        <v>82</v>
      </c>
      <c r="L6" s="84">
        <f>(J6-622)/19130</f>
        <v>0.1185914369</v>
      </c>
      <c r="N6" s="276" t="s">
        <v>87</v>
      </c>
      <c r="O6" s="250">
        <f>Baseline!O6</f>
        <v>3608042.253</v>
      </c>
      <c r="P6" s="94">
        <f>(O6-E26*C152/2*C7*0.0003*30)*(1-$L$14)*(1-$L$5)*$L$10*(1-0.01*E32)*(1-0.2/C152*C74)*(1-C51*0.12/C152*1.13*(1-exp(-3*6/60*55/120)))*(1-$C$135*$C$130*$D$130*0.075)*(1-$C$131*E136*10/S40*0.08)*(1-F116)*(1-E157)*(1-IF(C127&gt;1,1)*0.06*E127)*(1-(0.04*10*(1/S40)*C100*(1-IF(OR(D100=1,AND(C152&lt;4,C131=1)),0,1)*IF(D100=2,1-(1-(0.75)^((5+(H15/2))/H15))/(1+3*(1-(0.75)^((5+(H15/2))/H15))*C82),1)*IF(NOT(OR(OR(D100=1,AND(C152&lt;4,C131=1)),D100=2)),1-(1-(0.75)^((4+(H15/2))/H15)),1))))*(1-C120*0.025)</f>
        <v>428388.0441</v>
      </c>
      <c r="Q6" s="99">
        <f>P6*(1-((1-(1-(T38*(8+C110*4)))*(1-IF(C127&gt;3,1,0)*(1-0.875^(8*(T40+T43+T51+T57+T63)))))*MIN(0.3/(1-$L$14),1)))</f>
        <v>328767.1233</v>
      </c>
      <c r="R6" s="94">
        <f>Q6*(1-($T$52*8)*(0.3+0.1*$E$139))</f>
        <v>320000</v>
      </c>
      <c r="S6" s="102">
        <f t="shared" ref="S6:S7" si="1">R6*(1-($T$70*8)*0.1)*(1-($T$26*8)*0.1)</f>
        <v>320000</v>
      </c>
      <c r="T6" s="94">
        <f t="shared" ref="T6:T9" si="2">S6</f>
        <v>320000</v>
      </c>
      <c r="U6" s="107"/>
      <c r="V6" s="27"/>
      <c r="W6" s="27"/>
      <c r="X6" s="27"/>
    </row>
    <row r="7">
      <c r="B7" s="271" t="s">
        <v>40</v>
      </c>
      <c r="C7" s="231">
        <f>(H7+C26*99)*(1+C21*0.05*(1+0.2*C63))*1.05*(1+0.2*C55)*(1.4)</f>
        <v>77197</v>
      </c>
      <c r="D7" s="27"/>
      <c r="E7" s="27"/>
      <c r="G7" s="271" t="s">
        <v>121</v>
      </c>
      <c r="H7" s="277">
        <f>Baseline!H7</f>
        <v>43762.47166</v>
      </c>
      <c r="I7" s="280" t="s">
        <v>124</v>
      </c>
      <c r="J7" s="109">
        <f>C7*20</f>
        <v>1543940</v>
      </c>
      <c r="K7" s="280" t="s">
        <v>127</v>
      </c>
      <c r="L7" s="111">
        <f>(J7+IF(E28=3,1,0)*1.13*(1-exp(-1*$J$9*12/60))*($J$6*1.3*$J$10))*(1+0.01*C97*(D97+2*C104))</f>
        <v>1682894.6</v>
      </c>
      <c r="N7" s="281" t="s">
        <v>131</v>
      </c>
      <c r="O7" s="250">
        <f>Baseline!O7</f>
        <v>0</v>
      </c>
      <c r="P7" s="94">
        <f>O7*$J$13*(1-$L$5)*$L$10*(1-0.01*E32)*(1-C51*0.12/C152*1.13*(1-exp(-3*6/60*55/120)))*(1-$C$135*$C$130*$D$130*0.075)*(1-$C$131*E136*10/S40*0.08)*(1-IF(C127&gt;1,1)*0.06*E127)*(1-(0.04*10*(1/S40)*C100*(1-IF(OR(D100=1,AND(C152&lt;4,C131=1)),0,1)*IF(D100=2,1-(1-(0.75)^((5+(H15/2))/H15))/(1+3*(1-(0.75)^((5+(H15/2))/H15))*C82),1)*IF(NOT(OR(OR(D100=1,AND(C152&lt;4,C131=1)),D100=2)),1-(1-(0.75)^((4+(H15/2))/H15)),1))))*(1-C120*0.025)</f>
        <v>0</v>
      </c>
      <c r="Q7" s="27"/>
      <c r="R7" s="94">
        <f t="shared" ref="R7:R9" si="3">P7*(1-($T$52*8)*(0.3+0.1*$E$139))</f>
        <v>0</v>
      </c>
      <c r="S7" s="102">
        <f t="shared" si="1"/>
        <v>0</v>
      </c>
      <c r="T7" s="94">
        <f t="shared" si="2"/>
        <v>0</v>
      </c>
      <c r="U7" s="107"/>
      <c r="V7" s="27"/>
      <c r="W7" s="27"/>
      <c r="X7" s="27"/>
    </row>
    <row r="8">
      <c r="B8" s="271" t="s">
        <v>44</v>
      </c>
      <c r="C8" s="25">
        <f>Inputs!C10</f>
        <v>778.5</v>
      </c>
      <c r="D8" s="282">
        <f>(C8+225*15/2/120*IF(1&lt;(IF(C8&gt;C9,1,0)+IF(C8&gt;C10,1,0)+IF(C8&gt;C11,1,0)),E27,0))*(1+0.02*C30)/(1+0.02*Baseline!C30)</f>
        <v>778.5</v>
      </c>
      <c r="E8" s="282">
        <f>IF(D8&lt;=1380,D8,IF(D8&lt;=1840,1380+0.9*(D8-1380),IF(D8&lt;=2300,1794+0.8*(D8-1840),IF(D8&lt;=2760,2162+0.7*(D8-2300),IF(D8&lt;=3680,2484+0.6*(D8-2760),IF(D8&lt;=9200,3036+0.5*(D8-3680),5796))))))</f>
        <v>778.5</v>
      </c>
      <c r="F8" s="4"/>
      <c r="G8" s="271" t="s">
        <v>159</v>
      </c>
      <c r="H8" s="118">
        <f>E8/4600+0.05+(C28+C32+C35)*0.01+IF(E28=4,1,0)*1.13*(1-exp(-1*$J$9*12/60))*0.04</f>
        <v>0.2192391304</v>
      </c>
      <c r="I8" s="271" t="s">
        <v>164</v>
      </c>
      <c r="J8" s="119">
        <f>1+H8*(1+2*0.02*(C26+C31))</f>
        <v>1.21923913</v>
      </c>
      <c r="K8" s="271" t="s">
        <v>167</v>
      </c>
      <c r="L8" s="84">
        <f>E8/5200/(1+0.02*C30)</f>
        <v>0.1497115385</v>
      </c>
      <c r="N8" s="276" t="s">
        <v>170</v>
      </c>
      <c r="O8" s="250">
        <f>Baseline!O8</f>
        <v>112528.835</v>
      </c>
      <c r="P8" s="94">
        <f>O8*$L$10*(1-C51*0.12/C152*1.13*(1-exp(-3*6/60*55/120)))*(1-$C$135*$C$130*$D$130*0.075)*(1-0.08*$C$80)*(1-IF(C127&gt;1,1)*0.06*E127)*(1-(0.04*10*(1/S40)*C100*(1-IF(OR(D100=1,AND(C152&lt;4,C131=1)),0,1)*IF(D100=2,1-(1-(0.75)^((5+(H15/2))/H15))/(1+3*(1-(0.75)^((5+(H15/2))/H15))*C82),1)*IF(NOT(OR(OR(D100=1,AND(C152&lt;4,C131=1)),D100=2)),1-(1-(0.75)^((4+(H15/2))/H15)),1))))*(1-C120*0.025)</f>
        <v>82191.78082</v>
      </c>
      <c r="Q8" s="27"/>
      <c r="R8" s="94">
        <f t="shared" si="3"/>
        <v>80000</v>
      </c>
      <c r="S8" s="102">
        <f t="shared" ref="S8:S9" si="4">R8*(1-($T$26*8)*0.1)</f>
        <v>80000</v>
      </c>
      <c r="T8" s="94">
        <f t="shared" si="2"/>
        <v>80000</v>
      </c>
      <c r="U8" s="94">
        <f>T8*(T20*(6+2*C67))*0.15</f>
        <v>0</v>
      </c>
      <c r="V8" s="99">
        <f>IF(T8-U8-$T$19*(($L$7*0.3*$J$10*(1+0.4*$C$68)*(1+0.15*$C$46)))&gt;0,$T$19*($L$7*0.3*$J$10*(1+0.4*$C$68)*(1+0.15*$C$46)),T8-U8)</f>
        <v>11765.66776</v>
      </c>
      <c r="W8" s="27"/>
      <c r="X8" s="27"/>
    </row>
    <row r="9">
      <c r="B9" s="271" t="s">
        <v>50</v>
      </c>
      <c r="C9" s="25">
        <f>Inputs!C11</f>
        <v>1053.5</v>
      </c>
      <c r="D9" s="282">
        <f>(C9+225*15/2/120*IF(1&lt;(IF(C9&gt;C8,1,0)+IF(C9&gt;C10,1,0)+IF(C9&gt;C11,1,0)),E27,0))*(1+0.02*C30)/(1+0.02*Baseline!C30)</f>
        <v>1053.5</v>
      </c>
      <c r="E9" s="282">
        <f>IF(D9&lt;=1320,D9,IF(D9&lt;=1760,1320+0.9*(D9-1320),IF(D9&lt;=2200,1716+0.8*(D9-1760),IF(D9&lt;=2640,2068+0.7*(D9-2200),IF(D9&lt;=3520,2376+0.6*(D9-2640),IF(D9&lt;=8800,2904+0.5*(D9-3520),5544))))))</f>
        <v>1053.5</v>
      </c>
      <c r="F9" s="4"/>
      <c r="G9" s="271" t="s">
        <v>192</v>
      </c>
      <c r="H9" s="118">
        <f>(1+(C29+C33)*0.01)*E9/4400+(C29+C33)*0.01</f>
        <v>0.2394318182</v>
      </c>
      <c r="I9" s="271" t="s">
        <v>194</v>
      </c>
      <c r="J9" s="132">
        <f>(1+H9)*(1+C27*0.15/18)*(1+0.1*C104)*(1+0.02*C49)*(1+0.01*K134)</f>
        <v>1.524574934</v>
      </c>
      <c r="K9" s="283" t="s">
        <v>198</v>
      </c>
      <c r="L9" s="133">
        <f>3/10*J9</f>
        <v>0.4573724803</v>
      </c>
      <c r="N9" s="284" t="s">
        <v>200</v>
      </c>
      <c r="O9" s="250">
        <f>Baseline!O9</f>
        <v>0</v>
      </c>
      <c r="P9" s="135">
        <f>O9*$J$13*$L$10*(1-C51*0.12/C152*1.13*(1-exp(-3*6/60*55/120)))*(1-$C$135*$C$130*$D$130*0.075)*(1-0.08*$C$80)*(1-IF(C127&gt;1,1)*0.06*E127)*(1-(0.04*10*(1/S40)*C100*(1-IF(OR(D100=1,AND(C152&lt;4,C131=1)),0,1)*IF(D100=2,1-(1-(0.75)^((5+(H15/2))/H15))/(1+3*(1-(0.75)^((5+(H15/2))/H15))*C82),1)*IF(NOT(OR(OR(D100=1,AND(C152&lt;4,C131=1)),D100=2)),1-(1-(0.75)^((4+(H15/2))/H15)),1))))*(1-C120*0.025)</f>
        <v>0</v>
      </c>
      <c r="Q9" s="136"/>
      <c r="R9" s="135">
        <f t="shared" si="3"/>
        <v>0</v>
      </c>
      <c r="S9" s="102">
        <f t="shared" si="4"/>
        <v>0</v>
      </c>
      <c r="T9" s="94">
        <f t="shared" si="2"/>
        <v>0</v>
      </c>
      <c r="U9" s="135">
        <f>T8*(T20*(6+2*C67))*0.15</f>
        <v>0</v>
      </c>
      <c r="V9" s="135">
        <f>IF(T8+T9-U8-U9-V8&gt;0,MIN($T$19*($L$7*0.3*$J$10*(1+0.4*$C$68)*(1+0.15*$C$46))-V8,T8+T9-U8-U9-V8),0)
</f>
        <v>0</v>
      </c>
      <c r="W9" s="136"/>
      <c r="X9" s="136"/>
    </row>
    <row r="10">
      <c r="B10" s="271" t="s">
        <v>55</v>
      </c>
      <c r="C10" s="25">
        <f>Inputs!C12</f>
        <v>1514.5</v>
      </c>
      <c r="D10" s="282">
        <f>(C10+65*E24+225*15/2/120*IF(1&lt;(IF(C10&gt;C8,1,0)+IF(C10&gt;C9,0)+IF(C10&gt;C11,1,0)),E27,0))*(1+0.02*C30)/(1+0.02*Baseline!C30)</f>
        <v>1514.5</v>
      </c>
      <c r="E10" s="282">
        <f>IF(D10&lt;=1620,D10,IF(D10&lt;=2160,1622+0.9*(D10-1620),IF(D10&lt;=2700,2106+0.8*(D10-2160),IF(D10&lt;=3240,2538+0.7*(D10-2700),IF(D10&lt;=4320,2916+0.6*(D10-3240),IF(D10&lt;=10800,3564+0.5*(D10-4320),6804))))))</f>
        <v>1514.5</v>
      </c>
      <c r="F10" s="4"/>
      <c r="G10" s="271" t="s">
        <v>210</v>
      </c>
      <c r="H10" s="118">
        <f>E10/5400+(E26+E33)*0.01</f>
        <v>0.280462963</v>
      </c>
      <c r="I10" s="281" t="s">
        <v>226</v>
      </c>
      <c r="J10" s="119">
        <f>1+H10</f>
        <v>1.280462963</v>
      </c>
      <c r="K10" s="281" t="s">
        <v>228</v>
      </c>
      <c r="L10" s="119">
        <f>1-H10/2</f>
        <v>0.8597685185</v>
      </c>
      <c r="N10" s="286" t="s">
        <v>230</v>
      </c>
      <c r="O10" s="140">
        <f t="shared" ref="O10:U10" si="5">SUM(O6:O9)</f>
        <v>3720571.088</v>
      </c>
      <c r="P10" s="140">
        <f t="shared" si="5"/>
        <v>510579.8249</v>
      </c>
      <c r="Q10" s="140">
        <f t="shared" si="5"/>
        <v>328767.1233</v>
      </c>
      <c r="R10" s="140">
        <f t="shared" si="5"/>
        <v>400000</v>
      </c>
      <c r="S10" s="140">
        <f t="shared" si="5"/>
        <v>400000</v>
      </c>
      <c r="T10" s="140">
        <f t="shared" si="5"/>
        <v>400000</v>
      </c>
      <c r="U10" s="140">
        <f t="shared" si="5"/>
        <v>0</v>
      </c>
      <c r="V10" s="140">
        <f>sum(V6:V9)</f>
        <v>11765.66776</v>
      </c>
      <c r="W10" s="140">
        <f>(Y77+C27*0.0011*L7*(1-C144))</f>
        <v>385512.4692</v>
      </c>
      <c r="X10" s="152">
        <f>(MAX((T10-U10-V10-W10),0)*(1-$T$76*(10+2*C92))+MAX((T10-U10-V10-W10*(1.3+0.05*C92)),0)*($T$76*(10+2*C92))/(1.3+0.05*C92))/IF(D100=2,(1+0.06*(1-T40*(1-(0.75)^((5+(H15/2))/H15))/(1+3*(1-(0.75)^((5+(H15/2))/H15))*C82)/(1-(0.75)^((5+(H15/2))/H15)))),(1+0.02*C49))</f>
        <v>902.8926724</v>
      </c>
    </row>
    <row r="11">
      <c r="B11" s="271" t="s">
        <v>62</v>
      </c>
      <c r="C11" s="231">
        <f>Inputs!C13+10</f>
        <v>489.5</v>
      </c>
      <c r="D11" s="282">
        <f>(C11+225*15/2/120*IF(1&lt;(IF(C11&gt;C8,1,0)+IF(C11&gt;C10,1,0)+IF(C11&gt;C9,1,0)),E27,0))*(1+0.02*C30)/(1+0.02*Baseline!C30)</f>
        <v>489.5</v>
      </c>
      <c r="E11" s="282">
        <f>IF(D11&lt;=1380,D11,IF(D11&lt;=1840,1380+0.9*(D11-1380),IF(D11&lt;=2300,1794+0.8*(D11-1840),IF(D11&lt;=2760,2162+0.7*(D11-2300),IF(D11&lt;=3680,2484+0.6*(D11-2760),IF(D11&lt;=9200,3036+0.5*(D11-3680),5796))))))</f>
        <v>489.5</v>
      </c>
      <c r="F11" s="4"/>
      <c r="G11" s="271" t="s">
        <v>232</v>
      </c>
      <c r="H11" s="118">
        <f>0.16+E11/2300+0.002*(C131*K134)</f>
        <v>0.3878714614</v>
      </c>
      <c r="I11" s="283" t="s">
        <v>253</v>
      </c>
      <c r="J11" s="119">
        <f t="shared" ref="J11:J12" si="6">H11</f>
        <v>0.3878714614</v>
      </c>
      <c r="K11" s="271" t="s">
        <v>255</v>
      </c>
      <c r="L11" s="52">
        <f>1+H11/2</f>
        <v>1.193935731</v>
      </c>
    </row>
    <row r="12">
      <c r="B12" s="281" t="s">
        <v>64</v>
      </c>
      <c r="C12" s="25">
        <f>Inputs!C14</f>
        <v>0</v>
      </c>
      <c r="D12" s="115">
        <f t="shared" ref="D12:D13" si="7">C12</f>
        <v>0</v>
      </c>
      <c r="E12" s="115">
        <f>IF(D12&lt;=690,D12,IF(D12&lt;=1035,690+0.8*(D12-690),IF(D12&lt;=1380,966+0.6*(D12-1035),1173+0.4*(D12-1380))))</f>
        <v>0</v>
      </c>
      <c r="F12" s="4"/>
      <c r="G12" s="271" t="s">
        <v>256</v>
      </c>
      <c r="H12" s="159">
        <f>E12/6900+C71*0.03+C131*E138*0.02</f>
        <v>0.03</v>
      </c>
      <c r="I12" s="271" t="s">
        <v>264</v>
      </c>
      <c r="J12" s="119">
        <f t="shared" si="6"/>
        <v>0.03</v>
      </c>
      <c r="K12" s="271" t="s">
        <v>266</v>
      </c>
      <c r="L12" s="119">
        <f>J12+C111*0.15*MIN(8*T42,1)+0.06*(10+2*$C$72)*T54*(1+C131*E138)</f>
        <v>0.185</v>
      </c>
    </row>
    <row r="13">
      <c r="B13" s="281" t="s">
        <v>66</v>
      </c>
      <c r="C13" s="25">
        <f>Inputs!C15</f>
        <v>0</v>
      </c>
      <c r="D13" s="115">
        <f t="shared" si="7"/>
        <v>0</v>
      </c>
      <c r="E13" s="115">
        <f>IF(D13&lt;=368,D13,IF(D13&lt;=552,368+0.8*(D13-368),IF(D13&lt;=736,515.2+0.6*(D13-552),625.6+0.4*(D13-736))))</f>
        <v>0</v>
      </c>
      <c r="F13" s="4"/>
      <c r="G13" s="271" t="s">
        <v>270</v>
      </c>
      <c r="H13" s="159">
        <f>E13/3680+C70*0.03</f>
        <v>0</v>
      </c>
      <c r="I13" s="271" t="s">
        <v>272</v>
      </c>
      <c r="J13" s="119">
        <f>1-H13</f>
        <v>1</v>
      </c>
      <c r="K13" s="271" t="s">
        <v>273</v>
      </c>
      <c r="L13" s="84">
        <f>622/19130+0.03+(L6+L8)/((L6+L8)*1+1/0.94)+0.05*8*T28</f>
        <v>0.2639229608</v>
      </c>
      <c r="N13" s="290" t="s">
        <v>24</v>
      </c>
      <c r="V13" s="171"/>
    </row>
    <row r="14">
      <c r="B14" s="271" t="s">
        <v>68</v>
      </c>
      <c r="C14" s="174">
        <f>Inputs!C16</f>
        <v>151.4</v>
      </c>
      <c r="D14" s="27"/>
      <c r="E14" s="27"/>
      <c r="F14" s="4"/>
      <c r="G14" s="271" t="s">
        <v>277</v>
      </c>
      <c r="H14" s="159">
        <f>0.03+0.02*C32</f>
        <v>0.03</v>
      </c>
      <c r="I14" s="283" t="s">
        <v>279</v>
      </c>
      <c r="J14" s="133">
        <f>(1+E30*0.05*(1.13*(1-exp(-1*J9*15/60))))*(1+C57*0.06*(1-0.85^(5/(3/((1/(1-0.15*C107))*(1+C130))))))*(1+C117*0.05)*IF(D100=2,(1+0.06*C119*(1-T40*(1-(0.75)^((5+(H15/2))/H15))/(1+3*(1-(0.75)^((5+(H15/2))/H15))*C82)/(1-(0.75)^((5+(H15/2))/H15)))),(1+0.06*(14-5*C131*E137)*C119*(1/S40)))*(1+IF(C127&gt;2,2,IF(C127=2,1,0))*0.03*E127)</f>
        <v>1.187331929</v>
      </c>
      <c r="K14" s="283" t="s">
        <v>281</v>
      </c>
      <c r="L14" s="84">
        <f>MAX(L13-0.015*(C153-90),0)+MAX(H14-0.015*(C153-90),0)+MAX(0.03-0.015*(C153-90),0)</f>
        <v>0.3239229608</v>
      </c>
      <c r="N14" s="291" t="s">
        <v>71</v>
      </c>
      <c r="O14" s="291" t="s">
        <v>115</v>
      </c>
      <c r="P14" s="291" t="s">
        <v>150</v>
      </c>
      <c r="Q14" s="291" t="s">
        <v>282</v>
      </c>
      <c r="R14" s="291" t="s">
        <v>283</v>
      </c>
      <c r="S14" s="291" t="s">
        <v>284</v>
      </c>
    </row>
    <row r="15">
      <c r="B15" s="281" t="s">
        <v>69</v>
      </c>
      <c r="C15" s="174">
        <f>Inputs!C17</f>
        <v>3.6</v>
      </c>
      <c r="D15" s="27"/>
      <c r="E15" s="27"/>
      <c r="F15" s="4"/>
      <c r="G15" s="271" t="s">
        <v>285</v>
      </c>
      <c r="H15" s="178">
        <f>C15/(J9*(1+0.06*(3+1.5*C130*C136)*C59*D59))/((195.5+21.9*C152-0.673*C152^2)/195.5)</f>
        <v>1.378599312</v>
      </c>
      <c r="I15" s="291" t="s">
        <v>286</v>
      </c>
      <c r="J15" s="133">
        <f>(1+E30*0.05*(1.13*(1-exp(-1*J9*15/60))))*IF(D100=2,(1+0.06*C119*(1-T40*(1-(0.75)^((5+(H15/2))/H15))/(1+3*(1-(0.75)^((5+(H15/2))/H15))*C82)/(1-(0.75)^((5+(H15/2))/H15)))),(1+0.02*C49))*(1+C73*0.15*(5+2*C68)*(1/S19*C149*(1-C150)))*(1+0.01*E31)</f>
        <v>1.04</v>
      </c>
      <c r="K15" s="291" t="s">
        <v>288</v>
      </c>
      <c r="L15" s="133">
        <f>IF(C127=4,1/(2.5+(2/(1-(L14+0.3*(0.151+0.367*(J8)-0.0791*(J8)^2+0.0086*(J8)^3)))-1+IF(C152=1,0.5,0))/C152),1/(2.5+(2/(1-(L14+0.3*T38*(8+C110*4)))-1+IF(C152=1,0.5,0))/C152))</f>
        <v>0.3269240909</v>
      </c>
      <c r="N15" s="181">
        <f>IF(X10=0,"Self-Sufficient (+"&amp;Round(-((T10-U10-V10-W10)*(1-$T$76*(10+2*C92))+(T10-U10-V10-W10*(1.3+0.05*C92))*($T$76*(10+2*C92)))/O10%,2)&amp;"%)",($O$10-$X$10)/$O$10)</f>
        <v>0.9997573242</v>
      </c>
      <c r="O15" s="182">
        <f t="shared" ref="O15:P15" si="8">V77</f>
        <v>325022.7328</v>
      </c>
      <c r="P15" s="182">
        <f t="shared" si="8"/>
        <v>112271.8983</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9369364.527</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11517616.61</v>
      </c>
      <c r="S15" s="182">
        <f>$L$7*O10/T10*(0.7+0.3/(1-0.15*C79-0.05*IF(C79&gt;0,1,0)))*(1+($T$76*(10+2*C92))*0.3)</f>
        <v>21754755.47</v>
      </c>
    </row>
    <row r="17">
      <c r="A17" s="2"/>
      <c r="B17" s="294" t="s">
        <v>70</v>
      </c>
      <c r="C17" s="2"/>
      <c r="D17" s="2"/>
      <c r="E17" s="2"/>
      <c r="G17" s="296" t="s">
        <v>292</v>
      </c>
      <c r="H17" s="269" t="s">
        <v>255</v>
      </c>
      <c r="I17" s="268" t="s">
        <v>293</v>
      </c>
      <c r="J17" s="268" t="s">
        <v>294</v>
      </c>
      <c r="K17" s="269" t="s">
        <v>295</v>
      </c>
      <c r="L17" s="269" t="s">
        <v>296</v>
      </c>
      <c r="M17" s="268" t="s">
        <v>297</v>
      </c>
      <c r="N17" s="268" t="s">
        <v>298</v>
      </c>
      <c r="O17" s="268" t="s">
        <v>299</v>
      </c>
      <c r="P17" s="269" t="s">
        <v>300</v>
      </c>
      <c r="Q17" s="268" t="s">
        <v>301</v>
      </c>
      <c r="R17" s="268" t="s">
        <v>302</v>
      </c>
      <c r="S17" s="268" t="s">
        <v>303</v>
      </c>
      <c r="T17" s="268" t="s">
        <v>304</v>
      </c>
      <c r="U17" s="268" t="s">
        <v>305</v>
      </c>
      <c r="V17" s="269" t="s">
        <v>115</v>
      </c>
      <c r="W17" s="269" t="s">
        <v>150</v>
      </c>
      <c r="X17" s="268" t="s">
        <v>306</v>
      </c>
      <c r="Y17" s="269" t="s">
        <v>307</v>
      </c>
      <c r="Z17" s="268" t="s">
        <v>308</v>
      </c>
      <c r="AA17" s="268" t="s">
        <v>309</v>
      </c>
      <c r="AB17" s="269" t="s">
        <v>310</v>
      </c>
    </row>
    <row r="18">
      <c r="A18" s="2"/>
      <c r="B18" s="276" t="s">
        <v>72</v>
      </c>
      <c r="C18" s="276" t="s">
        <v>73</v>
      </c>
      <c r="D18" s="276" t="s">
        <v>74</v>
      </c>
      <c r="E18" s="276" t="s">
        <v>75</v>
      </c>
      <c r="G18" s="297" t="s">
        <v>195</v>
      </c>
      <c r="H18" s="194"/>
      <c r="I18" s="194"/>
      <c r="J18" s="194"/>
      <c r="K18" s="194"/>
      <c r="L18" s="194"/>
      <c r="M18" s="194"/>
      <c r="N18" s="194"/>
      <c r="O18" s="195"/>
      <c r="P18" s="194"/>
      <c r="Q18" s="196">
        <f>1.5/$J$9</f>
        <v>0.983880796</v>
      </c>
      <c r="R18" s="197">
        <v>120.0</v>
      </c>
      <c r="S18" s="198">
        <f>R18+$C$151</f>
        <v>120.8</v>
      </c>
      <c r="T18" s="196">
        <f>1/S18*C102*D102</f>
        <v>0</v>
      </c>
      <c r="U18" s="199">
        <f>T18*Q18</f>
        <v>0</v>
      </c>
      <c r="V18" s="194"/>
      <c r="W18" s="194"/>
      <c r="X18" s="194"/>
      <c r="Y18" s="194"/>
      <c r="Z18" s="194"/>
      <c r="AA18" s="195"/>
      <c r="AB18" s="194"/>
    </row>
    <row r="19">
      <c r="A19" s="2"/>
      <c r="B19" s="174" t="str">
        <f>Inputs!B21</f>
        <v/>
      </c>
      <c r="C19" s="174">
        <f>Inputs!C21</f>
        <v>1</v>
      </c>
      <c r="D19" s="79"/>
      <c r="E19" s="79"/>
      <c r="G19" s="281" t="s">
        <v>311</v>
      </c>
      <c r="H19" s="201"/>
      <c r="I19" s="194"/>
      <c r="J19" s="203"/>
      <c r="K19" s="195"/>
      <c r="L19" s="195"/>
      <c r="M19" s="195"/>
      <c r="N19" s="194"/>
      <c r="O19" s="196">
        <f>AA19/T19</f>
        <v>58.26106481</v>
      </c>
      <c r="P19" s="194"/>
      <c r="Q19" s="194"/>
      <c r="R19" s="197">
        <v>60.0</v>
      </c>
      <c r="S19" s="196">
        <f>(R19-20*C68+20*C81)</f>
        <v>40</v>
      </c>
      <c r="T19" s="196">
        <f>1/S19*C149*C150</f>
        <v>0.01</v>
      </c>
      <c r="U19" s="195"/>
      <c r="V19" s="195"/>
      <c r="W19" s="195"/>
      <c r="X19" s="195"/>
      <c r="Y19" s="194"/>
      <c r="Z19" s="194"/>
      <c r="AA19" s="196">
        <f>T19*$J$10*(1+0.4*$C$68)*(1+0.15*$C$46)*25</f>
        <v>0.5826106481</v>
      </c>
      <c r="AB19" s="194"/>
    </row>
    <row r="20">
      <c r="A20" s="2"/>
      <c r="B20" s="276" t="s">
        <v>76</v>
      </c>
      <c r="C20" s="276" t="s">
        <v>77</v>
      </c>
      <c r="D20" s="276" t="s">
        <v>78</v>
      </c>
      <c r="G20" s="276" t="s">
        <v>141</v>
      </c>
      <c r="H20" s="27"/>
      <c r="I20" s="194"/>
      <c r="J20" s="194"/>
      <c r="K20" s="194"/>
      <c r="L20" s="194"/>
      <c r="M20" s="194"/>
      <c r="N20" s="194"/>
      <c r="O20" s="194"/>
      <c r="P20" s="194"/>
      <c r="Q20" s="196">
        <f t="shared" ref="Q20:Q22" si="9">1.5/$J$9</f>
        <v>0.983880796</v>
      </c>
      <c r="R20" s="204">
        <v>240.0</v>
      </c>
      <c r="S20" s="205">
        <f>240-60*C67</f>
        <v>180</v>
      </c>
      <c r="T20" s="196">
        <f>1/S20*C61*D61</f>
        <v>0</v>
      </c>
      <c r="U20" s="199">
        <f t="shared" ref="U20:U22" si="10">T20*Q20</f>
        <v>0</v>
      </c>
      <c r="V20" s="194"/>
      <c r="W20" s="195"/>
      <c r="X20" s="195"/>
      <c r="Y20" s="194"/>
      <c r="Z20" s="194"/>
      <c r="AA20" s="194"/>
      <c r="AB20" s="194"/>
    </row>
    <row r="21">
      <c r="A21" s="2"/>
      <c r="B21" s="25" t="str">
        <f>Inputs!B23</f>
        <v/>
      </c>
      <c r="C21" s="25" t="str">
        <f>Inputs!C23</f>
        <v/>
      </c>
      <c r="D21" s="78"/>
      <c r="G21" s="276" t="s">
        <v>313</v>
      </c>
      <c r="H21" s="206">
        <v>1.5</v>
      </c>
      <c r="I21" s="194"/>
      <c r="J21" s="207">
        <f>($J$6*(1+$E$116)*(1+$D$157)+$C$14*6)*H21*$J$10*$L$11*(1+0.01*E25)</f>
        <v>9483.605576</v>
      </c>
      <c r="K21" s="196">
        <f>J21*$J$8*$C$152*$J$14*(1+0.08*C120*D120)
</f>
        <v>70840.92518</v>
      </c>
      <c r="L21" s="209">
        <f>K21/$C$152</f>
        <v>14168.18504</v>
      </c>
      <c r="M21" s="209">
        <f>K21*$L$12</f>
        <v>13105.57116</v>
      </c>
      <c r="N21" s="194"/>
      <c r="O21" s="194"/>
      <c r="P21" s="194"/>
      <c r="Q21" s="196">
        <f t="shared" si="9"/>
        <v>0.983880796</v>
      </c>
      <c r="R21" s="197">
        <v>180.0</v>
      </c>
      <c r="S21" s="198">
        <f t="shared" ref="S21:S22" si="11">R21+$C$151</f>
        <v>180.8</v>
      </c>
      <c r="T21" s="196">
        <f>1/S21*E25</f>
        <v>0</v>
      </c>
      <c r="U21" s="199">
        <f t="shared" si="10"/>
        <v>0</v>
      </c>
      <c r="V21" s="196">
        <f>T21*K21</f>
        <v>0</v>
      </c>
      <c r="W21" s="196">
        <f>T21*L21</f>
        <v>0</v>
      </c>
      <c r="X21" s="196">
        <f>T21*M21</f>
        <v>0</v>
      </c>
      <c r="Y21" s="196">
        <f>X21*(1-$C$144)</f>
        <v>0</v>
      </c>
      <c r="Z21" s="194"/>
      <c r="AA21" s="194"/>
      <c r="AB21" s="194"/>
    </row>
    <row r="22">
      <c r="A22" s="2"/>
      <c r="B22" s="2"/>
      <c r="E22" s="2"/>
      <c r="G22" s="281" t="s">
        <v>314</v>
      </c>
      <c r="H22" s="201"/>
      <c r="I22" s="194"/>
      <c r="J22" s="203"/>
      <c r="K22" s="195"/>
      <c r="L22" s="195"/>
      <c r="M22" s="195"/>
      <c r="N22" s="194"/>
      <c r="O22" s="211">
        <f>20</f>
        <v>20</v>
      </c>
      <c r="P22" s="194"/>
      <c r="Q22" s="196">
        <f t="shared" si="9"/>
        <v>0.983880796</v>
      </c>
      <c r="R22" s="197">
        <v>120.0</v>
      </c>
      <c r="S22" s="198">
        <f t="shared" si="11"/>
        <v>120.8</v>
      </c>
      <c r="T22" s="196">
        <f>1/S22*C28</f>
        <v>0</v>
      </c>
      <c r="U22" s="199">
        <f t="shared" si="10"/>
        <v>0</v>
      </c>
      <c r="V22" s="195"/>
      <c r="W22" s="195"/>
      <c r="X22" s="195"/>
      <c r="Y22" s="194"/>
      <c r="Z22" s="194"/>
      <c r="AA22" s="196">
        <f>T22*O22</f>
        <v>0</v>
      </c>
      <c r="AB22" s="194"/>
    </row>
    <row r="23">
      <c r="A23" s="2"/>
      <c r="B23" s="294" t="s">
        <v>79</v>
      </c>
      <c r="C23" s="2"/>
      <c r="D23" s="2"/>
      <c r="E23" s="2"/>
      <c r="G23" s="281" t="s">
        <v>315</v>
      </c>
      <c r="H23" s="212">
        <f>5*C15/12*1.25*1.2</f>
        <v>2.25</v>
      </c>
      <c r="I23" s="194"/>
      <c r="J23" s="207">
        <f>($J$6*(1+$E$116)*(1+$D$157)+169*15/120*$C$24+$C$14*6)*H23*$J$10*$L$11</f>
        <v>14225.40836</v>
      </c>
      <c r="K23" s="196">
        <f>J23*$J$8*0.7*$J$14*(1+0.08*C120*D120)
</f>
        <v>14876.59429</v>
      </c>
      <c r="L23" s="209">
        <f>K23</f>
        <v>14876.59429</v>
      </c>
      <c r="M23" s="209">
        <f>K23*$L$12</f>
        <v>2752.169943</v>
      </c>
      <c r="N23" s="215"/>
      <c r="O23" s="194"/>
      <c r="P23" s="194"/>
      <c r="Q23" s="195"/>
      <c r="R23" s="216">
        <f>C15</f>
        <v>3.6</v>
      </c>
      <c r="S23" s="209">
        <f>H15</f>
        <v>1.378599312</v>
      </c>
      <c r="T23" s="209">
        <f>1/S23</f>
        <v>0.7253739295</v>
      </c>
      <c r="U23" s="217"/>
      <c r="V23" s="196">
        <f t="shared" ref="V23:V24" si="12">T23*K23</f>
        <v>10791.09366</v>
      </c>
      <c r="W23" s="196">
        <f t="shared" ref="W23:W24" si="13">T23*L23</f>
        <v>10791.09366</v>
      </c>
      <c r="X23" s="196">
        <f t="shared" ref="X23:X24" si="14">T23*M23</f>
        <v>1996.352326</v>
      </c>
      <c r="Y23" s="196">
        <f t="shared" ref="Y23:Y29" si="15">X23*(1-$C$144)</f>
        <v>1597.081861</v>
      </c>
      <c r="Z23" s="194"/>
      <c r="AA23" s="194"/>
      <c r="AB23" s="194"/>
    </row>
    <row r="24">
      <c r="A24" s="2"/>
      <c r="B24" s="281" t="s">
        <v>80</v>
      </c>
      <c r="C24" s="25">
        <f>Inputs!C26</f>
        <v>0</v>
      </c>
      <c r="D24" s="308" t="s">
        <v>81</v>
      </c>
      <c r="E24" s="25">
        <f>Inputs!E26</f>
        <v>0</v>
      </c>
      <c r="G24" s="276" t="s">
        <v>316</v>
      </c>
      <c r="H24" s="218">
        <f>0.1115*1.4/6*1.36*1.075*15</f>
        <v>0.5705455</v>
      </c>
      <c r="I24" s="204">
        <v>1.15</v>
      </c>
      <c r="J24" s="219">
        <f>($J$6*(1+$E$116)*(1+$D$157)+169*15/120*$C$24+$C$14*6)*H24*$J$10*$L$11*I24*(1+0.01*C24)</f>
        <v>4148.301839</v>
      </c>
      <c r="K24" s="196">
        <f>(J24*$J$8*INT($J$9*10/1+1)*0.7*$J$14+J24*7.875*1.25*$J$8*$C$152/SQRT(MAX(1,$C$152/8))*$J$14)*(1+0.15*$C$152/SQRT(MAX(1,$C$152/8))*(1+$C$131*0.05*MIN(1,5/$C$152))*J10)</f>
        <v>728694.8137</v>
      </c>
      <c r="L24" s="196">
        <f>(J24*$J$8*INT($J$9*10/1+1)*0.7*$J$14+J24*7.875*1.25*$J$8/SQRT(MAX(1,$C$152/8))*$J$14)+(K24/(1+0.15*$C$152/SQRT(MAX(1,$C$152/8))*(1+$C$131*0.05*MIN(1,5/$C$152))*J10))*(0.15*1/SQRT(MAX(1,$C$152/8))*(1+$C$131*0.05)*J10)</f>
        <v>199546.0395</v>
      </c>
      <c r="M24" s="196">
        <f>K24/((1+$C$131*0.05*MIN(1,5/$C$152)))/$C$152</f>
        <v>138799.0121</v>
      </c>
      <c r="N24" s="194"/>
      <c r="O24" s="194"/>
      <c r="P24" s="194"/>
      <c r="Q24" s="195"/>
      <c r="R24" s="195"/>
      <c r="S24" s="196">
        <f>S38</f>
        <v>90.8</v>
      </c>
      <c r="T24" s="196">
        <f>1/S24*C131</f>
        <v>0.01101321586</v>
      </c>
      <c r="U24" s="222"/>
      <c r="V24" s="196">
        <f t="shared" si="12"/>
        <v>8025.273278</v>
      </c>
      <c r="W24" s="196">
        <f t="shared" si="13"/>
        <v>2197.643607</v>
      </c>
      <c r="X24" s="196">
        <f t="shared" si="14"/>
        <v>1528.623482</v>
      </c>
      <c r="Y24" s="196">
        <f t="shared" si="15"/>
        <v>1222.898785</v>
      </c>
      <c r="Z24" s="194"/>
      <c r="AA24" s="194"/>
      <c r="AB24" s="194"/>
    </row>
    <row r="25">
      <c r="A25" s="2"/>
      <c r="B25" s="281" t="s">
        <v>83</v>
      </c>
      <c r="C25" s="25">
        <f>Inputs!C27</f>
        <v>0</v>
      </c>
      <c r="D25" s="308" t="s">
        <v>84</v>
      </c>
      <c r="E25" s="25">
        <f>Inputs!E27</f>
        <v>0</v>
      </c>
      <c r="G25" s="281" t="s">
        <v>177</v>
      </c>
      <c r="H25" s="206">
        <f>1.4256*1.15</f>
        <v>1.63944</v>
      </c>
      <c r="I25" s="204">
        <v>1.15</v>
      </c>
      <c r="J25" s="207">
        <f>($J$6*(1+$E$116)*(1+$D$157)+169*15/120*$C$24+$C$14*6)*H25*$J$10*$L$11*I25*(1+0.01*$E$25)*(1+0.3*C130)</f>
        <v>11919.98178</v>
      </c>
      <c r="K25" s="196">
        <f>J25*$J$8*$C$152*$J$14*(1+C130*0.15*$B$19*(1+0.2*$C$63))*(1+$C$131*0.05*MIN(1,5/$C$152))*$H$135*(1+0.08*C120*D120)
</f>
        <v>93492.25433</v>
      </c>
      <c r="L25" s="209">
        <f t="shared" ref="L25:L26" si="16">K25/$C$152</f>
        <v>18698.45087</v>
      </c>
      <c r="M25" s="209">
        <f>K25*$L$12</f>
        <v>17296.06705</v>
      </c>
      <c r="N25" s="194"/>
      <c r="O25" s="194"/>
      <c r="P25" s="195"/>
      <c r="Q25" s="196">
        <f>1.5/$J$9</f>
        <v>0.983880796</v>
      </c>
      <c r="R25" s="197">
        <v>7.5</v>
      </c>
      <c r="S25" s="196">
        <f>1/((1/(R25/J9))+(C113/((R25/J9)/((1/(1-0.15*C107))/3*(1+C130)*(1-(1-H8)^C152)*0.25))))</f>
        <v>4.91940398</v>
      </c>
      <c r="T25" s="196">
        <f>MIN(1/S25,MAX((1-SUM(U19:U23,U29:U41,U43:U50,U52:U76)-($L$9+SUM(Z19:Z50,Z52:Z76))*Q51/(-N51)+(SUM(AA19:AA24,AA26:AA41,AA43:AA50,AA52:AA76)+(($L$9+SUM(Z19:Z50)+SUM(Z52:Z76))*O51/(-N51)))/O42*Q42)/Q25*(-O42/(O25-O42)),(1+C130)/24-T47*C130*0.5))</f>
        <v>0.04166666667</v>
      </c>
      <c r="U25" s="199">
        <f>T25*Q25</f>
        <v>0.04099503317</v>
      </c>
      <c r="V25" s="196">
        <f>(T25+C108*T51*(1-(1-0.15)*(1-0.15*MAX(4,C152-1)))*1.5)*K25</f>
        <v>40946.77158</v>
      </c>
      <c r="W25" s="196">
        <f>(T25+C108*T51*(1-(1-0.15)*(1-0.15*MAX(4,C152-1)))*1.5)*L25</f>
        <v>8189.354317</v>
      </c>
      <c r="X25" s="196">
        <f>(T25+C108*T51*0.15*1.5)*M25</f>
        <v>2278.50657</v>
      </c>
      <c r="Y25" s="196">
        <f t="shared" si="15"/>
        <v>1822.805256</v>
      </c>
      <c r="Z25" s="194"/>
      <c r="AA25" s="195"/>
      <c r="AB25" s="195"/>
    </row>
    <row r="26">
      <c r="A26" s="2"/>
      <c r="B26" s="281" t="s">
        <v>85</v>
      </c>
      <c r="C26" s="25">
        <f>Inputs!C28</f>
        <v>0</v>
      </c>
      <c r="D26" s="308" t="s">
        <v>86</v>
      </c>
      <c r="E26" s="25">
        <f>Inputs!E28</f>
        <v>0</v>
      </c>
      <c r="G26" s="276" t="s">
        <v>161</v>
      </c>
      <c r="H26" s="218">
        <v>1.2</v>
      </c>
      <c r="I26" s="204">
        <v>1.15</v>
      </c>
      <c r="J26" s="207">
        <f>($J$6*(1+$E$116)*(1+$D$157)+169*15/120*$C$24+$C$14*6)*H26*$J$10*$L$11*I26*(1+0.01*$E$25)</f>
        <v>8724.91713</v>
      </c>
      <c r="K26" s="196">
        <f>J26*$J$8*$C$152*$J$14*(1+$C$131*0.05*MIN(1,5/$C$152))*(1+0.08*C120*D120)
</f>
        <v>68432.33372</v>
      </c>
      <c r="L26" s="196">
        <f t="shared" si="16"/>
        <v>13686.46674</v>
      </c>
      <c r="M26" s="196">
        <f>K26*(1+$L$12)*1.25</f>
        <v>101365.3943</v>
      </c>
      <c r="N26" s="194"/>
      <c r="O26" s="194"/>
      <c r="P26" s="194"/>
      <c r="Q26" s="195"/>
      <c r="R26" s="204">
        <v>120.0</v>
      </c>
      <c r="S26" s="204">
        <v>120.0</v>
      </c>
      <c r="T26" s="196">
        <f>1/S26*C76</f>
        <v>0</v>
      </c>
      <c r="U26" s="222"/>
      <c r="V26" s="196">
        <f>T26*K26</f>
        <v>0</v>
      </c>
      <c r="W26" s="196">
        <f>T26*L26</f>
        <v>0</v>
      </c>
      <c r="X26" s="196">
        <f t="shared" ref="X26:X28" si="17">T26*M26</f>
        <v>0</v>
      </c>
      <c r="Y26" s="196">
        <f t="shared" si="15"/>
        <v>0</v>
      </c>
      <c r="Z26" s="195"/>
      <c r="AA26" s="195"/>
      <c r="AB26" s="194"/>
    </row>
    <row r="27">
      <c r="A27" s="2"/>
      <c r="B27" s="281" t="s">
        <v>88</v>
      </c>
      <c r="C27" s="25">
        <f>Inputs!C29</f>
        <v>0</v>
      </c>
      <c r="D27" s="308" t="s">
        <v>89</v>
      </c>
      <c r="E27" s="25">
        <f>Inputs!E29</f>
        <v>0</v>
      </c>
      <c r="G27" s="276" t="s">
        <v>208</v>
      </c>
      <c r="H27" s="224"/>
      <c r="I27" s="194"/>
      <c r="J27" s="194"/>
      <c r="K27" s="194"/>
      <c r="L27" s="194"/>
      <c r="M27" s="196">
        <f>V10/T19</f>
        <v>1176566.776</v>
      </c>
      <c r="N27" s="194"/>
      <c r="O27" s="194"/>
      <c r="P27" s="194"/>
      <c r="Q27" s="195"/>
      <c r="R27" s="194"/>
      <c r="S27" s="194"/>
      <c r="T27" s="196">
        <f>T19*C112</f>
        <v>0</v>
      </c>
      <c r="U27" s="222"/>
      <c r="V27" s="222"/>
      <c r="W27" s="222"/>
      <c r="X27" s="196">
        <f t="shared" si="17"/>
        <v>0</v>
      </c>
      <c r="Y27" s="196">
        <f t="shared" si="15"/>
        <v>0</v>
      </c>
      <c r="Z27" s="195"/>
      <c r="AA27" s="194"/>
      <c r="AB27" s="194"/>
    </row>
    <row r="28">
      <c r="A28" s="2"/>
      <c r="B28" s="281" t="s">
        <v>90</v>
      </c>
      <c r="C28" s="25">
        <f>Inputs!C30</f>
        <v>0</v>
      </c>
      <c r="D28" s="308" t="s">
        <v>91</v>
      </c>
      <c r="E28" s="25">
        <f>Inputs!E30</f>
        <v>0</v>
      </c>
      <c r="G28" s="276" t="s">
        <v>215</v>
      </c>
      <c r="H28" s="206">
        <v>0.64</v>
      </c>
      <c r="I28" s="204">
        <v>1.15</v>
      </c>
      <c r="J28" s="207">
        <f>($J$6*(1+$E$116)*(1+$D$157)+169*15/120*$C$24+$C$14*6)*H28*$J$10*$L$11*I28*(1+0.01*E25)</f>
        <v>4653.289136</v>
      </c>
      <c r="K28" s="196">
        <f>J28*$J$8*$C$152/SQRT(MAX(1,$C$152/8))*$J$14*9*(1+0.08*C120*D120)*(1+$C$131*0.05*MIN(1,5/$C$152))</f>
        <v>328475.2019</v>
      </c>
      <c r="L28" s="196">
        <f t="shared" ref="L28:L29" si="18">K28/$C$152</f>
        <v>65695.04037</v>
      </c>
      <c r="M28" s="209">
        <f>K28*$L$12</f>
        <v>60767.91234</v>
      </c>
      <c r="N28" s="194"/>
      <c r="O28" s="219">
        <f>MIN(C152,5)*2*9</f>
        <v>90</v>
      </c>
      <c r="P28" s="194"/>
      <c r="Q28" s="195"/>
      <c r="R28" s="194"/>
      <c r="S28" s="194"/>
      <c r="T28" s="196">
        <f>T38*C118</f>
        <v>0</v>
      </c>
      <c r="U28" s="222"/>
      <c r="V28" s="196">
        <f>T28*K28</f>
        <v>0</v>
      </c>
      <c r="W28" s="196">
        <f>T28*L28</f>
        <v>0</v>
      </c>
      <c r="X28" s="196">
        <f t="shared" si="17"/>
        <v>0</v>
      </c>
      <c r="Y28" s="196">
        <f t="shared" si="15"/>
        <v>0</v>
      </c>
      <c r="Z28" s="195"/>
      <c r="AA28" s="196">
        <f>T28*O28</f>
        <v>0</v>
      </c>
      <c r="AB28" s="194"/>
    </row>
    <row r="29">
      <c r="A29" s="2"/>
      <c r="B29" s="281" t="s">
        <v>92</v>
      </c>
      <c r="C29" s="25">
        <f>Inputs!C31</f>
        <v>0</v>
      </c>
      <c r="D29" s="308" t="s">
        <v>93</v>
      </c>
      <c r="E29" s="25">
        <f>Inputs!E31</f>
        <v>0</v>
      </c>
      <c r="G29" s="281" t="s">
        <v>321</v>
      </c>
      <c r="H29" s="237">
        <f>0.3348*24/3*(1/(1-0.15*C107))</f>
        <v>3.151058824</v>
      </c>
      <c r="I29" s="204">
        <v>1.15</v>
      </c>
      <c r="J29" s="207">
        <f>($J$6*(1+$E$116)*(1+$D$157)+169*15/120*$C$24+$C$14*6)*H29*$J$10*$L$11*I29*(1+0.01*E25)</f>
        <v>22910.60592</v>
      </c>
      <c r="K29" s="196">
        <f>J29*$J$8*$C$152*$J$14*(1+0.4*C117*D117)*(1+$C$131*0.05*MIN(1,5/$C$152))*(1+0.08*C120*D120)*(1+0.15*C131)/(1+0.05*C117)
</f>
        <v>259788.0008</v>
      </c>
      <c r="L29" s="196">
        <f t="shared" si="18"/>
        <v>51957.60016</v>
      </c>
      <c r="M29" s="196">
        <f>K29*(1+0.85*$C$107+$L$12)*1.25</f>
        <v>660835.7271</v>
      </c>
      <c r="N29" s="194"/>
      <c r="O29" s="194"/>
      <c r="P29" s="194"/>
      <c r="Q29" s="195"/>
      <c r="R29" s="194"/>
      <c r="S29" s="194"/>
      <c r="T29" s="195"/>
      <c r="U29" s="222"/>
      <c r="V29" s="196">
        <f>K29/24*(1+C130)</f>
        <v>10824.50003</v>
      </c>
      <c r="W29" s="196">
        <f>L29/24*(1+C130)</f>
        <v>2164.900007</v>
      </c>
      <c r="X29" s="196">
        <f>M29/24*(1+C130)</f>
        <v>27534.82196</v>
      </c>
      <c r="Y29" s="196">
        <f t="shared" si="15"/>
        <v>22027.85757</v>
      </c>
      <c r="Z29" s="195"/>
      <c r="AA29" s="195"/>
      <c r="AB29" s="194"/>
    </row>
    <row r="30">
      <c r="A30" s="2"/>
      <c r="B30" s="276" t="s">
        <v>94</v>
      </c>
      <c r="C30" s="25">
        <f>Inputs!C32</f>
        <v>0</v>
      </c>
      <c r="D30" s="276" t="s">
        <v>95</v>
      </c>
      <c r="E30" s="25">
        <f>Inputs!E32</f>
        <v>0</v>
      </c>
      <c r="G30" s="276" t="s">
        <v>327</v>
      </c>
      <c r="H30" s="224"/>
      <c r="I30" s="194"/>
      <c r="J30" s="194"/>
      <c r="K30" s="194"/>
      <c r="L30" s="194"/>
      <c r="M30" s="209">
        <f>MIN(J11*(MAX(5*0.2*T10*(1+0.05*C111),7/100*L7)*(1+0.15*C42))*$J$10*(1+0.15*C46)*(1+0.2*C115),(0.5+0.15*C114)*L7*MAX(1,T42/0.2)/(1+($T$76*(10+2*C92))*(0.3+0.05*C92)))</f>
        <v>374219.6401</v>
      </c>
      <c r="N30" s="194"/>
      <c r="O30" s="194"/>
      <c r="P30" s="194"/>
      <c r="Q30" s="194"/>
      <c r="R30" s="194"/>
      <c r="S30" s="194"/>
      <c r="T30" s="196">
        <f>T42</f>
        <v>0.4013494365</v>
      </c>
      <c r="U30" s="222"/>
      <c r="V30" s="222"/>
      <c r="W30" s="222"/>
      <c r="X30" s="196">
        <f>MIN(T30,0.2)*M30</f>
        <v>74843.92802</v>
      </c>
      <c r="Y30" s="196">
        <f t="shared" ref="Y30:Y33" si="19">X30</f>
        <v>74843.92802</v>
      </c>
      <c r="Z30" s="195"/>
      <c r="AA30" s="195"/>
      <c r="AB30" s="194"/>
    </row>
    <row r="31">
      <c r="A31" s="2"/>
      <c r="B31" s="276" t="s">
        <v>96</v>
      </c>
      <c r="C31" s="25">
        <f>Inputs!C33</f>
        <v>0</v>
      </c>
      <c r="D31" s="276" t="s">
        <v>97</v>
      </c>
      <c r="E31" s="25">
        <f>Inputs!E33</f>
        <v>0</v>
      </c>
      <c r="G31" s="276" t="s">
        <v>328</v>
      </c>
      <c r="H31" s="218">
        <v>9.0</v>
      </c>
      <c r="I31" s="194"/>
      <c r="J31" s="219">
        <f>($J$6*(1+$E$116)*(1+$D$157)+169*15/120*$C$24+$C$14*6)*H31*$J$10*$L$11*(1+0.01*E25)</f>
        <v>56901.63346</v>
      </c>
      <c r="K31" s="196">
        <f>J31*$J$8*(2*$C$152/3+1/3)*(1+$C$131*0.05*MIN(1,5.5/($C$152+0.5)))*$H$135
</f>
        <v>267100.2877</v>
      </c>
      <c r="L31" s="196">
        <f>K31/(2*$C$152/3+1/3)</f>
        <v>72845.533</v>
      </c>
      <c r="M31" s="209">
        <f>K31*$L$12</f>
        <v>49413.55322</v>
      </c>
      <c r="N31" s="194"/>
      <c r="O31" s="194"/>
      <c r="P31" s="194"/>
      <c r="Q31" s="195"/>
      <c r="R31" s="195"/>
      <c r="S31" s="195"/>
      <c r="T31" s="196">
        <f>T42/10*C158</f>
        <v>0.04013494365</v>
      </c>
      <c r="U31" s="222"/>
      <c r="V31" s="196">
        <f t="shared" ref="V31:V33" si="20">T31*K31</f>
        <v>10720.055</v>
      </c>
      <c r="W31" s="196">
        <f t="shared" ref="W31:W33" si="21">T31*L31</f>
        <v>2923.651363</v>
      </c>
      <c r="X31" s="196">
        <f t="shared" ref="X31:X33" si="22">T31*M31</f>
        <v>1983.210174</v>
      </c>
      <c r="Y31" s="196">
        <f t="shared" si="19"/>
        <v>1983.210174</v>
      </c>
      <c r="Z31" s="194"/>
      <c r="AA31" s="194"/>
      <c r="AB31" s="194"/>
    </row>
    <row r="32">
      <c r="A32" s="2"/>
      <c r="B32" s="276" t="s">
        <v>98</v>
      </c>
      <c r="C32" s="25">
        <f>Inputs!C34</f>
        <v>0</v>
      </c>
      <c r="D32" s="276" t="s">
        <v>99</v>
      </c>
      <c r="E32" s="25">
        <f>Inputs!E34</f>
        <v>0</v>
      </c>
      <c r="G32" s="281" t="s">
        <v>193</v>
      </c>
      <c r="H32" s="206">
        <f>0.235*1.4/6*1.075</f>
        <v>0.05894583333</v>
      </c>
      <c r="I32" s="204">
        <v>1.0</v>
      </c>
      <c r="J32" s="219">
        <f>($J$6*(1+$E$116)*(1+$D$157)+169*15/120*$C$24+$C$14*6)*H32*$J$10*$L$11*I32*(1+0.01*C24)</f>
        <v>372.6793558</v>
      </c>
      <c r="K32" s="196">
        <f>J32*$J$8*INT($J$9*D101/1.4+1)*0.7*$J$14</f>
        <v>4154.197124</v>
      </c>
      <c r="L32" s="196">
        <f>K32</f>
        <v>4154.197124</v>
      </c>
      <c r="M32" s="196">
        <f>L7*0.5*0.15</f>
        <v>126217.095</v>
      </c>
      <c r="N32" s="194"/>
      <c r="O32" s="194"/>
      <c r="P32" s="194"/>
      <c r="Q32" s="195"/>
      <c r="R32" s="197">
        <f>60/5</f>
        <v>12</v>
      </c>
      <c r="S32" s="196">
        <f>R32/1.13</f>
        <v>10.61946903</v>
      </c>
      <c r="T32" s="196">
        <f>1/S32*C101</f>
        <v>0</v>
      </c>
      <c r="U32" s="222"/>
      <c r="V32" s="196">
        <f t="shared" si="20"/>
        <v>0</v>
      </c>
      <c r="W32" s="196">
        <f t="shared" si="21"/>
        <v>0</v>
      </c>
      <c r="X32" s="196">
        <f t="shared" si="22"/>
        <v>0</v>
      </c>
      <c r="Y32" s="196">
        <f t="shared" si="19"/>
        <v>0</v>
      </c>
      <c r="Z32" s="194"/>
      <c r="AA32" s="194"/>
      <c r="AB32" s="194"/>
    </row>
    <row r="33">
      <c r="A33" s="2"/>
      <c r="B33" s="276" t="s">
        <v>100</v>
      </c>
      <c r="C33" s="25">
        <f>Inputs!C35</f>
        <v>0</v>
      </c>
      <c r="D33" s="276" t="s">
        <v>101</v>
      </c>
      <c r="E33" s="25">
        <f>Inputs!E35</f>
        <v>0</v>
      </c>
      <c r="G33" s="276" t="s">
        <v>211</v>
      </c>
      <c r="H33" s="218">
        <v>1.1</v>
      </c>
      <c r="I33" s="204">
        <v>1.15</v>
      </c>
      <c r="J33" s="207">
        <f>($J$6*(1+$E$116)*(1+$D$157)+169*15/120*$C$24+$C$14*6)*H33*$J$10*$L$11*I33*(1+0.01*$E$25)</f>
        <v>7997.840703</v>
      </c>
      <c r="K33" s="196">
        <f>J33*$J$8*$J$14*(1+$C$131*0.05*MIN(1,5/$C$152))*$H$135*(1+0.08*C127)
</f>
        <v>16047.11702</v>
      </c>
      <c r="L33" s="196">
        <f>K33/C$152</f>
        <v>3209.423403</v>
      </c>
      <c r="M33" s="209">
        <f>K33*$L$12</f>
        <v>2968.716648</v>
      </c>
      <c r="N33" s="194"/>
      <c r="O33" s="194"/>
      <c r="P33" s="194"/>
      <c r="Q33" s="203"/>
      <c r="R33" s="204">
        <v>0.5</v>
      </c>
      <c r="S33" s="196">
        <f>1/T42</f>
        <v>2.491594379</v>
      </c>
      <c r="T33" s="196">
        <f>1/S33*C114</f>
        <v>0</v>
      </c>
      <c r="U33" s="203"/>
      <c r="V33" s="196">
        <f t="shared" si="20"/>
        <v>0</v>
      </c>
      <c r="W33" s="196">
        <f t="shared" si="21"/>
        <v>0</v>
      </c>
      <c r="X33" s="196">
        <f t="shared" si="22"/>
        <v>0</v>
      </c>
      <c r="Y33" s="196">
        <f t="shared" si="19"/>
        <v>0</v>
      </c>
      <c r="Z33" s="194"/>
      <c r="AA33" s="194"/>
      <c r="AB33" s="194"/>
    </row>
    <row r="34">
      <c r="A34" s="2"/>
      <c r="B34" s="276" t="s">
        <v>102</v>
      </c>
      <c r="C34" s="25">
        <f>Inputs!C36</f>
        <v>0</v>
      </c>
      <c r="D34" s="276" t="s">
        <v>103</v>
      </c>
      <c r="E34" s="25">
        <f>Inputs!E36</f>
        <v>0</v>
      </c>
      <c r="G34" s="276" t="s">
        <v>329</v>
      </c>
      <c r="H34" s="252"/>
      <c r="I34" s="203"/>
      <c r="J34" s="203"/>
      <c r="K34" s="203"/>
      <c r="L34" s="203"/>
      <c r="M34" s="203"/>
      <c r="N34" s="194"/>
      <c r="O34" s="194"/>
      <c r="P34" s="194"/>
      <c r="Q34" s="203"/>
      <c r="R34" s="203"/>
      <c r="S34" s="203"/>
      <c r="T34" s="203"/>
      <c r="U34" s="203"/>
      <c r="V34" s="203"/>
      <c r="W34" s="203"/>
      <c r="X34" s="196">
        <f>T10*0.02*E33</f>
        <v>0</v>
      </c>
      <c r="Y34" s="196">
        <f t="shared" ref="Y34:Y36" si="23">X34*(1-$C$144)</f>
        <v>0</v>
      </c>
      <c r="Z34" s="194"/>
      <c r="AA34" s="194"/>
      <c r="AB34" s="194"/>
    </row>
    <row r="35">
      <c r="A35" s="2"/>
      <c r="B35" s="276" t="s">
        <v>104</v>
      </c>
      <c r="C35" s="25">
        <f>Inputs!C37</f>
        <v>0</v>
      </c>
      <c r="D35" s="276"/>
      <c r="E35" s="25" t="str">
        <f>Inputs!E37</f>
        <v/>
      </c>
      <c r="G35" s="281" t="s">
        <v>218</v>
      </c>
      <c r="H35" s="218">
        <f>4.8084*1.3</f>
        <v>6.25092</v>
      </c>
      <c r="I35" s="204">
        <v>1.15</v>
      </c>
      <c r="J35" s="207">
        <f>($J$6*(1+$E$116)*(1+$D$157)+169*15/120*$C$24+$C$14*6)*H35*$J$10*$L$11*I35*(1+0.01*$E$25)</f>
        <v>45448.96582</v>
      </c>
      <c r="K35" s="196">
        <f>J35*$J$8*$C$152/SQRT(MAX(1,$C$152/8))*$J$14*(1+$C$131*0.05*MIN(1,5/$C$152))*(1+0.08*C120*D120)+24/(1+C130)*V29*D121*0.25*(1+0.08*C120*D120)</f>
        <v>423496.1738</v>
      </c>
      <c r="L35" s="196">
        <f>K35/$C$152</f>
        <v>84699.23476</v>
      </c>
      <c r="M35" s="196">
        <f>K35*$L$12+24/(1+C130)*V29*D121*0.25*(1+0.08*C120*D120)*(1+0.5*$C$107+$L$12)*1.25+K35*C125*1.5*J11*J10*(1+0.15*C46)*(1+0.2*C115)/(1-$C$144)</f>
        <v>219518.8391</v>
      </c>
      <c r="N35" s="194"/>
      <c r="O35" s="194"/>
      <c r="P35" s="194"/>
      <c r="Q35" s="196">
        <f>(1+0.5*D121)/$J$9</f>
        <v>0.983880796</v>
      </c>
      <c r="R35" s="204">
        <v>45.0</v>
      </c>
      <c r="S35" s="198">
        <f>(R35/(1+$C$125*22.5*1.1/60*1.13*$J$9))+$C$151</f>
        <v>45.8</v>
      </c>
      <c r="T35" s="196">
        <f>1/S35*C121</f>
        <v>0</v>
      </c>
      <c r="U35" s="199">
        <f t="shared" ref="U35:U36" si="24">T35*Q35</f>
        <v>0</v>
      </c>
      <c r="V35" s="196">
        <f t="shared" ref="V35:V36" si="25">T35*K35</f>
        <v>0</v>
      </c>
      <c r="W35" s="196">
        <f t="shared" ref="W35:W36" si="26">T35*L35</f>
        <v>0</v>
      </c>
      <c r="X35" s="196">
        <f t="shared" ref="X35:X36" si="27">T35*M35</f>
        <v>0</v>
      </c>
      <c r="Y35" s="196">
        <f t="shared" si="23"/>
        <v>0</v>
      </c>
      <c r="Z35" s="194"/>
      <c r="AA35" s="194"/>
      <c r="AB35" s="194"/>
    </row>
    <row r="36">
      <c r="A36" s="2"/>
      <c r="B36" s="2"/>
      <c r="C36" s="2"/>
      <c r="D36" s="2"/>
      <c r="E36" s="2"/>
      <c r="G36" s="276" t="s">
        <v>330</v>
      </c>
      <c r="H36" s="253">
        <v>2.52</v>
      </c>
      <c r="I36" s="203"/>
      <c r="J36" s="207">
        <f>($J$6*(1+$E$116)*(1+$D$157)+$C$14*6)*H36*$J$10*$L$11</f>
        <v>15932.45737</v>
      </c>
      <c r="K36" s="196">
        <f>J36*$J$8*$J$14*(1+0.08*C120*D120)</f>
        <v>23802.55086</v>
      </c>
      <c r="L36" s="196">
        <f>K36</f>
        <v>23802.55086</v>
      </c>
      <c r="M36" s="194"/>
      <c r="N36" s="194"/>
      <c r="O36" s="194"/>
      <c r="P36" s="194"/>
      <c r="Q36" s="196">
        <f>1.5/$J$9</f>
        <v>0.983880796</v>
      </c>
      <c r="R36" s="197">
        <v>90.0</v>
      </c>
      <c r="S36" s="198">
        <f>R36+$C$151</f>
        <v>90.8</v>
      </c>
      <c r="T36" s="196">
        <f>1/S36*IF($E$29=1,1,0)</f>
        <v>0</v>
      </c>
      <c r="U36" s="199">
        <f t="shared" si="24"/>
        <v>0</v>
      </c>
      <c r="V36" s="196">
        <f t="shared" si="25"/>
        <v>0</v>
      </c>
      <c r="W36" s="196">
        <f t="shared" si="26"/>
        <v>0</v>
      </c>
      <c r="X36" s="196">
        <f t="shared" si="27"/>
        <v>0</v>
      </c>
      <c r="Y36" s="196">
        <f t="shared" si="23"/>
        <v>0</v>
      </c>
      <c r="Z36" s="194"/>
      <c r="AA36" s="194"/>
      <c r="AB36" s="194"/>
    </row>
    <row r="37">
      <c r="A37" s="2"/>
      <c r="B37" s="321" t="s">
        <v>105</v>
      </c>
      <c r="C37" s="283" t="s">
        <v>106</v>
      </c>
      <c r="D37" s="283" t="s">
        <v>107</v>
      </c>
      <c r="E37" s="2"/>
      <c r="G37" s="276" t="s">
        <v>331</v>
      </c>
      <c r="H37" s="254"/>
      <c r="I37" s="255"/>
      <c r="J37" s="255"/>
      <c r="K37" s="255"/>
      <c r="L37" s="255"/>
      <c r="M37" s="194"/>
      <c r="N37" s="204">
        <v>1.0</v>
      </c>
      <c r="O37" s="194"/>
      <c r="P37" s="255"/>
      <c r="Q37" s="255"/>
      <c r="R37" s="255"/>
      <c r="S37" s="255"/>
      <c r="T37" s="196">
        <f>F127</f>
        <v>0.1402974432</v>
      </c>
      <c r="U37" s="195"/>
      <c r="V37" s="195"/>
      <c r="W37" s="195"/>
      <c r="X37" s="195"/>
      <c r="Y37" s="194"/>
      <c r="Z37" s="196">
        <f>T37*N37</f>
        <v>0.1402974432</v>
      </c>
      <c r="AA37" s="194"/>
      <c r="AB37" s="194"/>
    </row>
    <row r="38">
      <c r="A38" s="322" t="s">
        <v>108</v>
      </c>
      <c r="B38" s="276" t="s">
        <v>109</v>
      </c>
      <c r="C38" s="25">
        <f>Inputs!C40</f>
        <v>1</v>
      </c>
      <c r="D38" s="78"/>
      <c r="E38" s="2"/>
      <c r="G38" s="281"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2069776.469</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642883.3795</v>
      </c>
      <c r="M38" s="194"/>
      <c r="N38" s="194"/>
      <c r="O38" s="194"/>
      <c r="P38" s="256">
        <f>D105*C105</f>
        <v>5</v>
      </c>
      <c r="Q38" s="196">
        <f>1.5/$J$9</f>
        <v>0.983880796</v>
      </c>
      <c r="R38" s="197">
        <v>120.0</v>
      </c>
      <c r="S38" s="196">
        <f>120-30*C105+$C$151</f>
        <v>90.8</v>
      </c>
      <c r="T38" s="196">
        <f>1/S38*C98*C149</f>
        <v>0.01101321586</v>
      </c>
      <c r="U38" s="199">
        <f>T38*Q38</f>
        <v>0.01083569159</v>
      </c>
      <c r="V38" s="196">
        <f t="shared" ref="V38:V40" si="28">T38*K38</f>
        <v>22794.89503</v>
      </c>
      <c r="W38" s="196">
        <f t="shared" ref="W38:W40" si="29">T38*L38</f>
        <v>7080.21343</v>
      </c>
      <c r="X38" s="195"/>
      <c r="Y38" s="194"/>
      <c r="Z38" s="194"/>
      <c r="AA38" s="194"/>
      <c r="AB38" s="196">
        <f>P38*T38</f>
        <v>0.0550660793</v>
      </c>
    </row>
    <row r="39">
      <c r="A39" s="97"/>
      <c r="B39" s="276" t="s">
        <v>110</v>
      </c>
      <c r="C39" s="25">
        <f>Inputs!C41</f>
        <v>1</v>
      </c>
      <c r="D39" s="78"/>
      <c r="E39" s="2"/>
      <c r="G39" s="276"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453613.5784</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179830.6961</v>
      </c>
      <c r="M39" s="194"/>
      <c r="N39" s="255"/>
      <c r="O39" s="255"/>
      <c r="P39" s="194"/>
      <c r="Q39" s="255"/>
      <c r="R39" s="255"/>
      <c r="S39" s="255">
        <f>IF(OR(D100=1,AND(C152&lt;4,C131=1)),MAX((10-5*C131*E137+H15*3.5+C151),12),0)+IF(NOT(OR(D100=1,AND(C152&lt;4,C131=1))),15-5*C131*E137-C82,0)</f>
        <v>14</v>
      </c>
      <c r="T39" s="196">
        <f>IF(C127&gt;3,1,0)*0.1*(T40+T43+T51+T57+T63)</f>
        <v>0.05623539705</v>
      </c>
      <c r="U39" s="195"/>
      <c r="V39" s="196">
        <f t="shared" si="28"/>
        <v>25509.13969</v>
      </c>
      <c r="W39" s="196">
        <f t="shared" si="29"/>
        <v>10112.8506</v>
      </c>
      <c r="X39" s="195"/>
      <c r="Y39" s="194"/>
      <c r="Z39" s="194"/>
      <c r="AA39" s="194"/>
      <c r="AB39" s="195"/>
    </row>
    <row r="40">
      <c r="A40" s="98"/>
      <c r="B40" s="276" t="s">
        <v>111</v>
      </c>
      <c r="C40" s="25">
        <f>Inputs!C42</f>
        <v>1</v>
      </c>
      <c r="D40" s="78"/>
      <c r="E40" s="2"/>
      <c r="G40" s="281" t="s">
        <v>333</v>
      </c>
      <c r="H40" s="237">
        <f>0.083*(11+2*C107)*1.3*1.25</f>
        <v>1.753375</v>
      </c>
      <c r="I40" s="204">
        <f>1.48*1.15</f>
        <v>1.702</v>
      </c>
      <c r="J40" s="207">
        <f>($J$6*(1+$E$116)*(1+$D$157)+169*15/120*$C$24+$C$14*6)*H40*$J$10*$L$11*I40*(1+0.01*E25)</f>
        <v>18867.59694</v>
      </c>
      <c r="K40" s="196">
        <f>J40*$J$8*$C$152*$J$14*(1+$C$131*0.05*MIN(1,5/$C$152))*(1+0.08*C120*D120)
</f>
        <v>147984.6365</v>
      </c>
      <c r="L40" s="196">
        <f>K40/$C$152</f>
        <v>29596.92731</v>
      </c>
      <c r="M40" s="196">
        <f>K40*$L$12+($J$6*(1+$E$116)*(1+$D$157)+4925*15/120*C24+$C$14*6)*0.375*(D97+2*C104)*$J$10*$J$8*$L$11*C94*(1-IF(OR(D100=1,AND(C152&lt;4,C131=1)),0,1)*IF(D100=2,1-(1-(0.75)^((5+(H15/2))/H15))/(1+3*(1-(0.75)^((5+(H15/2))/H15))*C82),1)*IF(NOT(OR(OR(D100=1,AND(C152&lt;4,C131=1)),D100=2)),1-(1-(0.75)^((4+(H15/2))/H15)),1))</f>
        <v>43615.05292</v>
      </c>
      <c r="N40" s="196">
        <f>-1*IF(OR(D100=1,AND(C152&lt;4,C131=1)),0,1)*IF(D100=2,1-(1-(0.75)^((5+(H15/2))/H15))/(1+3*(1-(0.75)^((5+(H15/2))/H15))*C82),1)*IF(NOT(OR(OR(D100=1,AND(C152&lt;4,C131=1)),D100=2)),1-(1-(0.75)^((4+(H15/2))/H15)),1)</f>
        <v>-0.3758559437</v>
      </c>
      <c r="O40" s="196">
        <f>10*IF(OR(D100=1,AND(C152&lt;4,C131=1)),C94,1)*IF(D100=2,IF(C94&gt;0,1,1-(1-(0.75)^((5+(H15/2))/H15))/(1+3*(1-(0.75)^((5+(H15/2))/H15))*C82)),1)*IF(NOT(OR(OR(D100=1,AND(C152&lt;4,C131=1)),D100=2)),IF(C94&gt;0,1,1-(1-(0.75)^((4+(H15/2))/H15))),1)</f>
        <v>10</v>
      </c>
      <c r="P40" s="194"/>
      <c r="Q40" s="196">
        <f>1.5/$J$9</f>
        <v>0.983880796</v>
      </c>
      <c r="R40" s="197">
        <v>15.0</v>
      </c>
      <c r="S40" s="196">
        <f>IF(OR(D100=1,AND(C152&lt;4,C131=1)),MAX((10-5*C131*E137+H15*3.5+C151),12),0)+IF(NOT(OR(D100=1,AND(C152&lt;4,C131=1))),15-5*C131*E137-C82,0)</f>
        <v>14</v>
      </c>
      <c r="T40" s="196">
        <f>1/S40</f>
        <v>0.07142857143</v>
      </c>
      <c r="U40" s="199">
        <f>T40*Q40</f>
        <v>0.07027719971</v>
      </c>
      <c r="V40" s="196">
        <f t="shared" si="28"/>
        <v>10570.33118</v>
      </c>
      <c r="W40" s="196">
        <f t="shared" si="29"/>
        <v>2114.066236</v>
      </c>
      <c r="X40" s="196">
        <f t="shared" ref="X40:X41" si="30">T40*M40</f>
        <v>3115.360923</v>
      </c>
      <c r="Y40" s="196">
        <f>X40*(1-$C$144)</f>
        <v>2492.288738</v>
      </c>
      <c r="Z40" s="196">
        <f>T40*N40</f>
        <v>-0.02684685312</v>
      </c>
      <c r="AA40" s="196">
        <f>T40*O40</f>
        <v>0.7142857143</v>
      </c>
      <c r="AB40" s="194"/>
    </row>
    <row r="41">
      <c r="A41" s="322" t="s">
        <v>112</v>
      </c>
      <c r="B41" s="276" t="s">
        <v>113</v>
      </c>
      <c r="C41" s="25">
        <f>Inputs!C43</f>
        <v>1</v>
      </c>
      <c r="D41" s="78"/>
      <c r="E41" s="2"/>
      <c r="G41" s="276" t="s">
        <v>135</v>
      </c>
      <c r="H41" s="254"/>
      <c r="I41" s="194"/>
      <c r="J41" s="194"/>
      <c r="K41" s="255"/>
      <c r="L41" s="255"/>
      <c r="M41" s="196">
        <f>$L$7*(0.2+0.1*C62)*$J$10</f>
        <v>430976.8412</v>
      </c>
      <c r="N41" s="194"/>
      <c r="O41" s="194"/>
      <c r="P41" s="194"/>
      <c r="Q41" s="194"/>
      <c r="R41" s="197">
        <v>120.0</v>
      </c>
      <c r="S41" s="198">
        <f>R41-30*C62+$C$151</f>
        <v>120.8</v>
      </c>
      <c r="T41" s="196">
        <f>1/S41*C56</f>
        <v>0</v>
      </c>
      <c r="U41" s="222"/>
      <c r="V41" s="222"/>
      <c r="W41" s="222"/>
      <c r="X41" s="196">
        <f t="shared" si="30"/>
        <v>0</v>
      </c>
      <c r="Y41" s="196">
        <f>X41</f>
        <v>0</v>
      </c>
      <c r="Z41" s="194"/>
      <c r="AA41" s="194"/>
      <c r="AB41" s="194"/>
    </row>
    <row r="42">
      <c r="A42" s="97"/>
      <c r="B42" s="276" t="s">
        <v>114</v>
      </c>
      <c r="C42" s="25">
        <f>Inputs!C44</f>
        <v>1</v>
      </c>
      <c r="D42" s="78"/>
      <c r="G42" s="323" t="s">
        <v>110</v>
      </c>
      <c r="H42" s="260">
        <f>1.5312*1.2*1.12</f>
        <v>2.0579328</v>
      </c>
      <c r="I42" s="204">
        <f>2.3</f>
        <v>2.3</v>
      </c>
      <c r="J42" s="207">
        <f>($J$6*(1+$E$116)*(1+$D$157)+169*15/120*$C$24+$C$14*6)*H42*$J$10*$L$11*I42*(1+0.12*C130)</f>
        <v>29925.48857</v>
      </c>
      <c r="K42" s="196">
        <f>J42*$J$8*0.7*(1+C99*0.08*MIN((T25+C108*T51*(1-(1-0.15)*(1-0.15*MAX(4,C152-1))))/T42*C152,5))*(1+0.6*C19*(1+0.2*C63))*$J$14*(1+0.08*C120)*(1+0.05*K134)*MAX((1+0.2*C63*C19),MIN((1+0.2*C63*C19)+C106*0.75*(C152-1),(1+0.2*C63*C19)+C106*1.5))</f>
        <v>273108.0384</v>
      </c>
      <c r="L42" s="196">
        <f>K42*(1+0.2*C63*C19)/MAX((1+0.2*C63*C19),MIN((1+0.2*C63*C19)+C106*0.75*(C152-1),(1+0.2*C63*C19)+C106*1.5))</f>
        <v>121381.3504</v>
      </c>
      <c r="M42" s="196">
        <f>K42*$L$12+MAX(5*0.2*T10*(1+0.05*C111),7/100*L7)*(1+C99*0.08*MIN((T25+C108*T51*(1-(1-0.15)*(1-0.15*MAX(4,C152-1))))/T42*C152,5))*$J$10*$J$15*(1+0.15*C42)</f>
        <v>889801.0557</v>
      </c>
      <c r="N42" s="194"/>
      <c r="O42" s="196">
        <f>(-45)+5*C91+IF(C42&gt;0,5,0)+10*8*T26</f>
        <v>-35</v>
      </c>
      <c r="P42" s="194"/>
      <c r="Q42" s="196">
        <f t="shared" ref="Q42:Q43" si="31">1.5/$J$9</f>
        <v>0.983880796</v>
      </c>
      <c r="R42" s="194"/>
      <c r="S42" s="194"/>
      <c r="T42" s="196">
        <f>-(SUM(AA19:AA41,AA43:AA76))/O42</f>
        <v>0.4013494365</v>
      </c>
      <c r="U42" s="199">
        <f t="shared" ref="U42:U43" si="32">T42*Q42</f>
        <v>0.3948800031</v>
      </c>
      <c r="V42" s="196">
        <f t="shared" ref="V42:V44" si="33">T42*K42</f>
        <v>109611.7573</v>
      </c>
      <c r="W42" s="196">
        <f t="shared" ref="W42:W44" si="34">T42*L42</f>
        <v>48716.3366</v>
      </c>
      <c r="X42" s="196">
        <f>MIN(T42,0.2)*M42</f>
        <v>177960.2111</v>
      </c>
      <c r="Y42" s="196">
        <f t="shared" ref="Y42:Y48" si="35">X42*(1-$C$144)</f>
        <v>142368.1689</v>
      </c>
      <c r="Z42" s="194"/>
      <c r="AA42" s="196">
        <f t="shared" ref="AA42:AA43" si="36">T42*O42</f>
        <v>-14.04723028</v>
      </c>
      <c r="AB42" s="194"/>
    </row>
    <row r="43">
      <c r="A43" s="98"/>
      <c r="B43" s="276" t="s">
        <v>116</v>
      </c>
      <c r="C43" s="25">
        <f>Inputs!C45</f>
        <v>1</v>
      </c>
      <c r="D43" s="78"/>
      <c r="E43" s="2"/>
      <c r="G43" s="281" t="s">
        <v>334</v>
      </c>
      <c r="H43" s="263">
        <f>0.4374</f>
        <v>0.4374</v>
      </c>
      <c r="I43" s="204">
        <v>1.15</v>
      </c>
      <c r="J43" s="207">
        <f>($J$6*(1+$E$116)*(1+$D$157)+169*15/120*$C$24+$C$14*6)*H43*$J$10*$L$11*I43*(1+0.01*E25)</f>
        <v>3180.232294</v>
      </c>
      <c r="K43" s="196">
        <f>J43*$J$8*$J$14*(1+$C$131*0.05)*(1+0.08*C120*D120)</f>
        <v>4988.717128</v>
      </c>
      <c r="L43" s="209">
        <f t="shared" ref="L43:L46" si="37">K43</f>
        <v>4988.717128</v>
      </c>
      <c r="M43" s="209">
        <f>K43*$L$12</f>
        <v>922.9126687</v>
      </c>
      <c r="N43" s="197">
        <v>-1.0</v>
      </c>
      <c r="O43" s="211">
        <v>10.0</v>
      </c>
      <c r="P43" s="204">
        <v>2.0</v>
      </c>
      <c r="Q43" s="196">
        <f t="shared" si="31"/>
        <v>0.983880796</v>
      </c>
      <c r="R43" s="204">
        <v>6.0</v>
      </c>
      <c r="S43" s="198">
        <f>IF(4*Q43&gt;=R43,4*Q43,(IF(5*Q43&gt;=R43,5*Q43,(IF(6*Q43&gt;=R43,6*Q43,(IF(7*Q43&gt;=R43,7*Q43,(8*Q43))))))))</f>
        <v>6.887165572</v>
      </c>
      <c r="T43" s="196">
        <f>MIN(1/S43,(L15-SUM(AB19:AB42)-SUM(AB44:AB56)-SUM(AB61:AB76))/2)*D87</f>
        <v>0</v>
      </c>
      <c r="U43" s="199">
        <f t="shared" si="32"/>
        <v>0</v>
      </c>
      <c r="V43" s="196">
        <f t="shared" si="33"/>
        <v>0</v>
      </c>
      <c r="W43" s="196">
        <f t="shared" si="34"/>
        <v>0</v>
      </c>
      <c r="X43" s="196">
        <f t="shared" ref="X43:X44" si="38">T43*M43</f>
        <v>0</v>
      </c>
      <c r="Y43" s="196">
        <f t="shared" si="35"/>
        <v>0</v>
      </c>
      <c r="Z43" s="196">
        <f>T43*N43</f>
        <v>0</v>
      </c>
      <c r="AA43" s="196">
        <f t="shared" si="36"/>
        <v>0</v>
      </c>
      <c r="AB43" s="196">
        <f>P43*T43</f>
        <v>0</v>
      </c>
    </row>
    <row r="44">
      <c r="A44" s="322" t="s">
        <v>117</v>
      </c>
      <c r="B44" s="276" t="s">
        <v>118</v>
      </c>
      <c r="C44" s="25">
        <f>Inputs!C46</f>
        <v>1</v>
      </c>
      <c r="D44" s="264">
        <f>Inputs!D46</f>
        <v>0</v>
      </c>
      <c r="G44" s="276" t="s">
        <v>335</v>
      </c>
      <c r="H44" s="263">
        <f>0.22</f>
        <v>0.22</v>
      </c>
      <c r="I44" s="255"/>
      <c r="J44" s="207">
        <f t="shared" ref="J44:J45" si="39">($J$6*(1+$E$116)*(1+$D$157)+$C$14*6)*H44*$J$10*$L$11</f>
        <v>1390.928818</v>
      </c>
      <c r="K44" s="196">
        <f>J44*$J$8*$J$14*(1+0.08*C120*D120)</f>
        <v>2078.000472</v>
      </c>
      <c r="L44" s="196">
        <f t="shared" si="37"/>
        <v>2078.000472</v>
      </c>
      <c r="M44" s="196">
        <f>K44*(1+$L$12)</f>
        <v>2462.430559</v>
      </c>
      <c r="N44" s="255"/>
      <c r="O44" s="255"/>
      <c r="P44" s="194"/>
      <c r="Q44" s="255"/>
      <c r="R44" s="197">
        <f>60/3</f>
        <v>20</v>
      </c>
      <c r="S44" s="196">
        <f>R44/1.13/$J$9</f>
        <v>11.60921293</v>
      </c>
      <c r="T44" s="196">
        <f>1/S44*IF($E$28=1,1,0)</f>
        <v>0</v>
      </c>
      <c r="U44" s="194"/>
      <c r="V44" s="196">
        <f t="shared" si="33"/>
        <v>0</v>
      </c>
      <c r="W44" s="196">
        <f t="shared" si="34"/>
        <v>0</v>
      </c>
      <c r="X44" s="196">
        <f t="shared" si="38"/>
        <v>0</v>
      </c>
      <c r="Y44" s="196">
        <f t="shared" si="35"/>
        <v>0</v>
      </c>
      <c r="Z44" s="194"/>
      <c r="AA44" s="194"/>
      <c r="AB44" s="194"/>
    </row>
    <row r="45">
      <c r="A45" s="97"/>
      <c r="B45" s="276" t="s">
        <v>119</v>
      </c>
      <c r="C45" s="25">
        <f>Inputs!C47</f>
        <v>1</v>
      </c>
      <c r="D45" s="78"/>
      <c r="G45" s="276" t="s">
        <v>336</v>
      </c>
      <c r="H45" s="253">
        <v>0.075</v>
      </c>
      <c r="I45" s="255"/>
      <c r="J45" s="207">
        <f t="shared" si="39"/>
        <v>474.1802788</v>
      </c>
      <c r="K45" s="209">
        <f>J45*$J$8*$J$14*(1+0.08*C120*D120)</f>
        <v>708.4092518</v>
      </c>
      <c r="L45" s="196">
        <f t="shared" si="37"/>
        <v>708.4092518</v>
      </c>
      <c r="M45" s="196">
        <f t="shared" ref="M45:M47" si="40">K45*$L$12</f>
        <v>131.0557116</v>
      </c>
      <c r="N45" s="255"/>
      <c r="O45" s="255"/>
      <c r="P45" s="194"/>
      <c r="Q45" s="255"/>
      <c r="R45" s="194"/>
      <c r="S45" s="194"/>
      <c r="T45" s="194"/>
      <c r="U45" s="194"/>
      <c r="V45" s="209">
        <f>IF(IF($E$28=2,1,0),1.13*(exp(6*12*J9/60)-1)*(1-(1-exp(-6*12*J9/60))^3)*K45/6,0)</f>
        <v>0</v>
      </c>
      <c r="W45" s="196">
        <f>V45</f>
        <v>0</v>
      </c>
      <c r="X45" s="196">
        <f>V45*$L$12</f>
        <v>0</v>
      </c>
      <c r="Y45" s="196">
        <f t="shared" si="35"/>
        <v>0</v>
      </c>
      <c r="Z45" s="194"/>
      <c r="AA45" s="194"/>
      <c r="AB45" s="194"/>
    </row>
    <row r="46">
      <c r="A46" s="97"/>
      <c r="B46" s="276" t="s">
        <v>120</v>
      </c>
      <c r="C46" s="25">
        <f>Inputs!C48</f>
        <v>2</v>
      </c>
      <c r="D46" s="78"/>
      <c r="G46" s="276" t="s">
        <v>337</v>
      </c>
      <c r="H46" s="253">
        <f>7.1545*1.2*1.2</f>
        <v>10.30248</v>
      </c>
      <c r="I46" s="204">
        <v>1.15</v>
      </c>
      <c r="J46" s="207">
        <f t="shared" ref="J46:J47" si="41">($J$6*(1+$E$116)*(1+$D$157)+169*15/120*$C$24+$C$14*6)*H46*$J$10*$L$11*I46*(1+0.01*$E$25)</f>
        <v>74906.90353</v>
      </c>
      <c r="K46" s="196">
        <f>J46*$J$8*$J$14*(1+C130*0.15*$B$19*(1+0.2*$C$63))*$H$135*(1+0.08*C120*D120)
</f>
        <v>111908.3729</v>
      </c>
      <c r="L46" s="196">
        <f t="shared" si="37"/>
        <v>111908.3729</v>
      </c>
      <c r="M46" s="196">
        <f t="shared" si="40"/>
        <v>20703.04899</v>
      </c>
      <c r="N46" s="194"/>
      <c r="O46" s="194"/>
      <c r="P46" s="194"/>
      <c r="Q46" s="194"/>
      <c r="R46" s="194"/>
      <c r="S46" s="194"/>
      <c r="T46" s="196">
        <f>T64*(3-C137)+T38</f>
        <v>0.01101321586</v>
      </c>
      <c r="U46" s="194"/>
      <c r="V46" s="196">
        <f t="shared" ref="V46:V47" si="42">T46*K46</f>
        <v>1232.471068</v>
      </c>
      <c r="W46" s="196">
        <f t="shared" ref="W46:W47" si="43">T46*L46</f>
        <v>1232.471068</v>
      </c>
      <c r="X46" s="196">
        <f t="shared" ref="X46:X48" si="44">T46*M46</f>
        <v>228.0071475</v>
      </c>
      <c r="Y46" s="196">
        <f t="shared" si="35"/>
        <v>182.405718</v>
      </c>
      <c r="Z46" s="194"/>
      <c r="AA46" s="194"/>
      <c r="AB46" s="194"/>
    </row>
    <row r="47">
      <c r="A47" s="97"/>
      <c r="B47" s="276" t="s">
        <v>122</v>
      </c>
      <c r="C47" s="25">
        <f>Inputs!C49</f>
        <v>0</v>
      </c>
      <c r="D47" s="78"/>
      <c r="G47" s="276" t="s">
        <v>338</v>
      </c>
      <c r="H47" s="253">
        <f>3.91*1.2</f>
        <v>4.692</v>
      </c>
      <c r="I47" s="204">
        <v>1.15</v>
      </c>
      <c r="J47" s="207">
        <f t="shared" si="41"/>
        <v>34114.42598</v>
      </c>
      <c r="K47" s="196">
        <f>J47*$J$8*$C$152/SQRT(MAX(1,$C$152/8))*$J$14*(1+C130*0.15*$B$19*(1+0.2*$C$63))*$H$135*(1+0.08*C120*D120)
</f>
        <v>254828.976</v>
      </c>
      <c r="L47" s="209">
        <f>K47/$C$152</f>
        <v>50965.79521</v>
      </c>
      <c r="M47" s="209">
        <f t="shared" si="40"/>
        <v>47143.36057</v>
      </c>
      <c r="N47" s="194"/>
      <c r="O47" s="194"/>
      <c r="P47" s="194"/>
      <c r="Q47" s="194"/>
      <c r="R47" s="194"/>
      <c r="S47" s="194"/>
      <c r="T47" s="196">
        <f>T64*(3-C137)+T38</f>
        <v>0.01101321586</v>
      </c>
      <c r="U47" s="194"/>
      <c r="V47" s="196">
        <f t="shared" si="42"/>
        <v>2806.48652</v>
      </c>
      <c r="W47" s="196">
        <f t="shared" si="43"/>
        <v>561.2973041</v>
      </c>
      <c r="X47" s="196">
        <f t="shared" si="44"/>
        <v>519.2000063</v>
      </c>
      <c r="Y47" s="196">
        <f t="shared" si="35"/>
        <v>415.360005</v>
      </c>
      <c r="Z47" s="194"/>
      <c r="AA47" s="194"/>
      <c r="AB47" s="194"/>
    </row>
    <row r="48">
      <c r="A48" s="97"/>
      <c r="B48" s="276" t="s">
        <v>123</v>
      </c>
      <c r="C48" s="25">
        <f>Inputs!C50</f>
        <v>0</v>
      </c>
      <c r="D48" s="78"/>
      <c r="G48" s="276" t="s">
        <v>339</v>
      </c>
      <c r="H48" s="252"/>
      <c r="I48" s="203"/>
      <c r="J48" s="203"/>
      <c r="K48" s="255"/>
      <c r="L48" s="203"/>
      <c r="M48" s="196">
        <f>L7*0.2</f>
        <v>336578.92</v>
      </c>
      <c r="N48" s="194"/>
      <c r="O48" s="194"/>
      <c r="P48" s="194"/>
      <c r="Q48" s="194"/>
      <c r="R48" s="204">
        <v>120.0</v>
      </c>
      <c r="S48" s="198">
        <f t="shared" ref="S48:S50" si="45">R48+$C$151</f>
        <v>120.8</v>
      </c>
      <c r="T48" s="196">
        <f>1/S48*C34</f>
        <v>0</v>
      </c>
      <c r="U48" s="194"/>
      <c r="V48" s="194"/>
      <c r="W48" s="194"/>
      <c r="X48" s="196">
        <f t="shared" si="44"/>
        <v>0</v>
      </c>
      <c r="Y48" s="196">
        <f t="shared" si="35"/>
        <v>0</v>
      </c>
      <c r="Z48" s="194"/>
      <c r="AA48" s="194"/>
      <c r="AB48" s="194"/>
    </row>
    <row r="49">
      <c r="A49" s="97"/>
      <c r="B49" s="276" t="s">
        <v>125</v>
      </c>
      <c r="C49" s="25">
        <f>Inputs!C51</f>
        <v>2</v>
      </c>
      <c r="D49" s="78"/>
      <c r="G49" s="276" t="s">
        <v>196</v>
      </c>
      <c r="H49" s="252"/>
      <c r="I49" s="203"/>
      <c r="J49" s="203"/>
      <c r="K49" s="255"/>
      <c r="L49" s="203"/>
      <c r="M49" s="203"/>
      <c r="N49" s="194"/>
      <c r="O49" s="194"/>
      <c r="P49" s="256">
        <f>MIN(C90*C152,6)</f>
        <v>5</v>
      </c>
      <c r="Q49" s="196">
        <f t="shared" ref="Q49:Q51" si="46">1.5/$J$9</f>
        <v>0.983880796</v>
      </c>
      <c r="R49" s="204">
        <v>90.0</v>
      </c>
      <c r="S49" s="198">
        <f t="shared" si="45"/>
        <v>90.8</v>
      </c>
      <c r="T49" s="196">
        <f>1/S49*C103*D103</f>
        <v>0</v>
      </c>
      <c r="U49" s="199">
        <f t="shared" ref="U49:U51" si="47">T49*Q49</f>
        <v>0</v>
      </c>
      <c r="V49" s="194"/>
      <c r="W49" s="194"/>
      <c r="X49" s="194"/>
      <c r="Y49" s="194"/>
      <c r="Z49" s="194"/>
      <c r="AA49" s="194"/>
      <c r="AB49" s="196">
        <f>P49*T49</f>
        <v>0</v>
      </c>
    </row>
    <row r="50">
      <c r="A50" s="97"/>
      <c r="B50" s="276" t="s">
        <v>126</v>
      </c>
      <c r="C50" s="25">
        <f>Inputs!C52</f>
        <v>0</v>
      </c>
      <c r="D50" s="78"/>
      <c r="G50" s="276" t="s">
        <v>340</v>
      </c>
      <c r="H50" s="253">
        <v>3.78</v>
      </c>
      <c r="I50" s="203"/>
      <c r="J50" s="207">
        <f>($J$6*(1+$E$116)*(1+$D$157)+$C$14*6)*H50*$J$10*$L$11</f>
        <v>23898.68605</v>
      </c>
      <c r="K50" s="255"/>
      <c r="L50" s="203"/>
      <c r="M50" s="196">
        <f>J50*$J$8*$J$15</f>
        <v>30303.74173</v>
      </c>
      <c r="N50" s="194"/>
      <c r="O50" s="194"/>
      <c r="P50" s="194"/>
      <c r="Q50" s="196">
        <f t="shared" si="46"/>
        <v>0.983880796</v>
      </c>
      <c r="R50" s="197">
        <v>90.0</v>
      </c>
      <c r="S50" s="198">
        <f t="shared" si="45"/>
        <v>90.8</v>
      </c>
      <c r="T50" s="196">
        <f>1/S50*IF($E$29=2,1,0)</f>
        <v>0</v>
      </c>
      <c r="U50" s="199">
        <f t="shared" si="47"/>
        <v>0</v>
      </c>
      <c r="V50" s="194"/>
      <c r="W50" s="194"/>
      <c r="X50" s="196">
        <f>T50*M50</f>
        <v>0</v>
      </c>
      <c r="Y50" s="196">
        <f t="shared" ref="Y50:Y51" si="48">X50*(1-$C$144)</f>
        <v>0</v>
      </c>
      <c r="Z50" s="194"/>
      <c r="AA50" s="194"/>
      <c r="AB50" s="194"/>
    </row>
    <row r="51">
      <c r="A51" s="98"/>
      <c r="B51" s="276" t="s">
        <v>128</v>
      </c>
      <c r="C51" s="25">
        <f>Inputs!C53</f>
        <v>1</v>
      </c>
      <c r="D51" s="78"/>
      <c r="E51" s="2"/>
      <c r="G51" s="281" t="s">
        <v>175</v>
      </c>
      <c r="H51" s="253">
        <f>1.31112*1.2*1.25</f>
        <v>1.96668</v>
      </c>
      <c r="I51" s="204">
        <v>1.15</v>
      </c>
      <c r="J51" s="207">
        <f>($J$6*(1+$E$116)*(1+$D$157)+169*15/120*$C$24+$C$14*6)*H51*$J$10*$L$11*I51*(1+0.15*C93)</f>
        <v>14299.26668</v>
      </c>
      <c r="K51" s="196">
        <f>J51*$J$8*0.7*IF($C$152&lt;=5,IF($C$152&lt;3,$C$152,2+IF($C$43&gt;0,$C$152-2,0)*((14-5*C131*E137)/S40)),2+IF($C$43&gt;0,3,0)*((14-5*C131*E137)/S40))*$J$14*(1+0.08*C120*D120)</f>
        <v>74769.16782</v>
      </c>
      <c r="L51" s="196">
        <f>K51/IF($C$152&lt;=5,IF($C$152&lt;3,$C$152,2+IF($C$43&gt;0,$C$152-2,0)*((14-5*C131*E137)/S40)),2+IF($C$43&gt;0,3,0)*((14-5*C131*E137)/S40))</f>
        <v>14953.83356</v>
      </c>
      <c r="M51" s="196">
        <f>K51*$L$12+IF($C$152&lt;=5,IF($C$152&lt;3,$C$152,2+IF($C$43&gt;0,$C$152-2,0)*((14-5*C131*E137)/S40)),2+IF($C$43&gt;0,3,0)*((14-5*C131*E137)/S40))*$L$7*0.0025*$C$95</f>
        <v>13832.29605</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6"/>
        <v>0.983880796</v>
      </c>
      <c r="R51" s="194"/>
      <c r="S51" s="194"/>
      <c r="T51" s="196">
        <f>MIN(($L$9+SUM(Z19:Z50)+SUM(Z52:Z76))/(-N51),MAX((1-SUM(U18:U41,U43:U50,U52:U76)+SUM(AA19:AA41,AA43:AA50,AA52:AA76)/O42*Q42)/Q51*(-O42/(O51-O42)),0))</f>
        <v>0.4003060619</v>
      </c>
      <c r="U51" s="199">
        <f t="shared" si="47"/>
        <v>0.3938534468</v>
      </c>
      <c r="V51" s="196">
        <f>(T51-T74+3*(1-C131*T38*(8+C110*4))*C116/(9/(1/(0.5+(2/((L14+0.3*(1-(1-(T38*(8+C110*4)))*(1-IF(C127&gt;3,1,0)*(1-0.875^(8*(T40+T43+T51+T57+T63)))))))-1+IF(C152=1,0.5,0))/C152))+9/(1/(0.5+(2/((L14+0.3*(1-(1-(T38*(8+C110*4)))*(1-IF(C127&gt;3,1,0)*(1-0.875^(8*(T40+T43+T51+T57+T63)))))))-1+IF(C152=1,0.5,0))/C152))/2*((0.8/3^(C152-1))/(1-(0.8/3^(C152-1))))+6)+1.5*(1-C131*(T38*(8+C110*4))/(1-(1-(T38*(8+C110*4)))*(1-IF(C127&gt;3,1,0)*(1-0.875^(8*(T40+T43+T51+T57+T63))))))*F127)*K51</f>
        <v>39316.65282</v>
      </c>
      <c r="W51" s="196">
        <f>(T51-T74+3*(1-C131*T38*(8+C110*4))*C116/(9/(1/(0.5+(2/((L14+0.3*(1-(1-(T38*(8+C110*4)))*(1-IF(C127&gt;3,1,0)*(1-0.875^(8*(T40+T43+T51+T57+T63)))))))-1+IF(C152=1,0.5,0))/C152))+9/(1/(0.5+(2/((L14+0.3*(1-(1-(T38*(8+C110*4)))*(1-IF(C127&gt;3,1,0)*(1-0.875^(8*(T40+T43+T51+T57+T63)))))))-1+IF(C152=1,0.5,0))/C152))/2*((0.8/3^(C152-1))/(1-(0.8/3^(C152-1))))+6)+1.5*(1-C131*(T38*(8+C110*4))/(1-(1-(T38*(8+C110*4)))*(1-IF(C127&gt;3,1,0)*(1-0.875^(8*(T40+T43+T51+T57+T63))))))*F127)*L51</f>
        <v>7863.330565</v>
      </c>
      <c r="X51" s="196">
        <f>(T51-T74)*M51</f>
        <v>2878.211889</v>
      </c>
      <c r="Y51" s="196">
        <f t="shared" si="48"/>
        <v>2302.569511</v>
      </c>
      <c r="Z51" s="196">
        <f>T51*N51</f>
        <v>-0.4003060619</v>
      </c>
      <c r="AA51" s="196">
        <f>T51*O51</f>
        <v>10.00765155</v>
      </c>
      <c r="AB51" s="194"/>
    </row>
    <row r="52">
      <c r="A52" s="329" t="s">
        <v>129</v>
      </c>
      <c r="B52" s="276" t="s">
        <v>130</v>
      </c>
      <c r="C52" s="25">
        <f>Inputs!C54</f>
        <v>1</v>
      </c>
      <c r="D52" s="78"/>
      <c r="G52" s="281"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276" t="s">
        <v>132</v>
      </c>
      <c r="C53" s="25">
        <f>Inputs!C55</f>
        <v>0</v>
      </c>
      <c r="D53" s="78"/>
      <c r="G53" s="276" t="s">
        <v>342</v>
      </c>
      <c r="H53" s="27"/>
      <c r="I53" s="194"/>
      <c r="J53" s="207">
        <f>J29*0.2</f>
        <v>4582.121185</v>
      </c>
      <c r="K53" s="196">
        <f>J53*$J$8*IF($C$152&lt;=5,IF($C$152&lt;3,$C$152,IF($C$43&gt;0,$C$152,2)*(14-5*C131*E137)/$S$40+2*($S$40-(14-5*C131*E137))/$S$40),IF($C$43&gt;0,5,2)*(14-5*C131*E137)/$S$40+2*($S$40-(14-5*C131*E137))/$S$40)*$J$14*(1+$C$131*0.05)*(1+0.08*C120*D120)</f>
        <v>35939.0515</v>
      </c>
      <c r="L53" s="196">
        <f>K53/IF($C$152&lt;=5,IF($C$152&lt;3,$C$152,IF($C$43&gt;0,$C$152,2)*(14-5*C131*E137)/$S$40+2*($S$40-(14-5*C131*E137))/$S$40),IF($C$43&gt;0,5,2)*(14-5*C131*E137)/$S$40+2*($S$40-(14-5*C131*E137))/$S$40)</f>
        <v>7187.810299</v>
      </c>
      <c r="M53" s="209">
        <f>K53*$L$12</f>
        <v>6648.724527</v>
      </c>
      <c r="N53" s="194"/>
      <c r="O53" s="194"/>
      <c r="P53" s="194"/>
      <c r="Q53" s="194"/>
      <c r="R53" s="194"/>
      <c r="S53" s="194"/>
      <c r="T53" s="196">
        <f>C131*T74</f>
        <v>0.1922269492</v>
      </c>
      <c r="U53" s="194"/>
      <c r="V53" s="196">
        <f>T53*K53*C131</f>
        <v>6908.454225</v>
      </c>
      <c r="W53" s="196">
        <f>T53*L53*C131</f>
        <v>1381.690845</v>
      </c>
      <c r="X53" s="196">
        <f>T53*M53*C131</f>
        <v>1278.064032</v>
      </c>
      <c r="Y53" s="196">
        <f>X53*(1-$C$144)</f>
        <v>1022.451225</v>
      </c>
      <c r="Z53" s="195"/>
      <c r="AA53" s="195"/>
      <c r="AB53" s="194"/>
    </row>
    <row r="54">
      <c r="A54" s="97"/>
      <c r="B54" s="276" t="s">
        <v>133</v>
      </c>
      <c r="C54" s="25">
        <f>Inputs!C56</f>
        <v>1</v>
      </c>
      <c r="D54" s="78"/>
      <c r="G54" s="276"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276" t="s">
        <v>134</v>
      </c>
      <c r="C55" s="25">
        <f>Inputs!C57</f>
        <v>1</v>
      </c>
      <c r="D55" s="78"/>
      <c r="G55" s="276" t="s">
        <v>204</v>
      </c>
      <c r="H55" s="27"/>
      <c r="I55" s="194"/>
      <c r="J55" s="194"/>
      <c r="K55" s="194"/>
      <c r="L55" s="255"/>
      <c r="M55" s="196">
        <f>M42*0.2/(1+C99*0.08*MIN((T25+C108*T51*(1-(1-0.15)*(1-0.15*MAX(4,C152-1))))/T42*C152,5))</f>
        <v>136384.6721</v>
      </c>
      <c r="N55" s="194"/>
      <c r="O55" s="194"/>
      <c r="P55" s="194"/>
      <c r="Q55" s="194"/>
      <c r="R55" s="194"/>
      <c r="S55" s="194"/>
      <c r="T55" s="196">
        <f>T42*C109</f>
        <v>0.4013494365</v>
      </c>
      <c r="U55" s="194"/>
      <c r="V55" s="255"/>
      <c r="W55" s="255"/>
      <c r="X55" s="196">
        <f t="shared" ref="X55:X57" si="49">T55*M55</f>
        <v>54737.9113</v>
      </c>
      <c r="Y55" s="196">
        <f t="shared" ref="Y55:Y57" si="50">X55*(1-$C$144)</f>
        <v>43790.32904</v>
      </c>
      <c r="Z55" s="195"/>
      <c r="AA55" s="195"/>
      <c r="AB55" s="194"/>
    </row>
    <row r="56">
      <c r="A56" s="97"/>
      <c r="B56" s="276" t="s">
        <v>135</v>
      </c>
      <c r="C56" s="25">
        <f>Inputs!C58</f>
        <v>0</v>
      </c>
      <c r="D56" s="78"/>
      <c r="G56" s="276" t="s">
        <v>344</v>
      </c>
      <c r="H56" s="253">
        <v>4.2</v>
      </c>
      <c r="I56" s="194"/>
      <c r="J56" s="207">
        <f>($J$6*(1+$E$116)*(1+$D$157)+$C$14*6)*H56*$J$10*$L$11</f>
        <v>26554.09561</v>
      </c>
      <c r="K56" s="196">
        <f>J56*$J$8*$C$152/SQRT(MAX(1,$C$152/8))*$J$14*(1+0.08*C120*D120)
</f>
        <v>198354.5905</v>
      </c>
      <c r="L56" s="196">
        <f>K56/$C$152</f>
        <v>39670.9181</v>
      </c>
      <c r="M56" s="196">
        <f t="shared" ref="M56:M57" si="51">K56*$L$12</f>
        <v>36695.59924</v>
      </c>
      <c r="N56" s="194"/>
      <c r="O56" s="194"/>
      <c r="P56" s="194"/>
      <c r="Q56" s="196">
        <f t="shared" ref="Q56:Q57" si="52">1.5/$J$9</f>
        <v>0.983880796</v>
      </c>
      <c r="R56" s="204">
        <v>150.0</v>
      </c>
      <c r="S56" s="198">
        <f>R56+$C$151</f>
        <v>150.8</v>
      </c>
      <c r="T56" s="196">
        <f>1/S56*E31</f>
        <v>0</v>
      </c>
      <c r="U56" s="199">
        <f t="shared" ref="U56:U57" si="53">T56*Q56</f>
        <v>0</v>
      </c>
      <c r="V56" s="196">
        <f t="shared" ref="V56:V57" si="54">T56*K56</f>
        <v>0</v>
      </c>
      <c r="W56" s="196">
        <f t="shared" ref="W56:W57" si="55">T56*L56</f>
        <v>0</v>
      </c>
      <c r="X56" s="196">
        <f t="shared" si="49"/>
        <v>0</v>
      </c>
      <c r="Y56" s="196">
        <f t="shared" si="50"/>
        <v>0</v>
      </c>
      <c r="Z56" s="195"/>
      <c r="AA56" s="195"/>
      <c r="AB56" s="194"/>
    </row>
    <row r="57">
      <c r="A57" s="97"/>
      <c r="B57" s="276" t="s">
        <v>136</v>
      </c>
      <c r="C57" s="25">
        <f>Inputs!C59</f>
        <v>1</v>
      </c>
      <c r="D57" s="78"/>
      <c r="G57" s="281" t="s">
        <v>176</v>
      </c>
      <c r="H57" s="253">
        <f>1.471*1.5</f>
        <v>2.2065</v>
      </c>
      <c r="I57" s="204">
        <v>1.15</v>
      </c>
      <c r="J57" s="207">
        <f>($J$6*(1+$E$116)*(1+$D$157)+169*15/120*$C$24+$C$14*6)*H57*$J$10*$L$11*I57</f>
        <v>16042.94137</v>
      </c>
      <c r="K57" s="196">
        <f>J57*$J$8*0.7*$J$14*(1+0.08*C120*D120)
</f>
        <v>16777.32715</v>
      </c>
      <c r="L57" s="196">
        <f>K57</f>
        <v>16777.32715</v>
      </c>
      <c r="M57" s="196">
        <f t="shared" si="51"/>
        <v>3103.805523</v>
      </c>
      <c r="N57" s="197">
        <v>-2.0</v>
      </c>
      <c r="O57" s="211">
        <f>20</f>
        <v>20</v>
      </c>
      <c r="P57" s="204">
        <v>3.0</v>
      </c>
      <c r="Q57" s="196">
        <f t="shared" si="52"/>
        <v>0.983880796</v>
      </c>
      <c r="R57" s="194"/>
      <c r="S57" s="194"/>
      <c r="T57" s="196">
        <f>MAX((L15-SUM(AB19:AB56)-SUM(AB58:AB76))/3,T47)</f>
        <v>0.0906193372</v>
      </c>
      <c r="U57" s="199">
        <f t="shared" si="53"/>
        <v>0.08915862562</v>
      </c>
      <c r="V57" s="196">
        <f t="shared" si="54"/>
        <v>1520.350266</v>
      </c>
      <c r="W57" s="196">
        <f t="shared" si="55"/>
        <v>1520.350266</v>
      </c>
      <c r="X57" s="196">
        <f t="shared" si="49"/>
        <v>281.2647993</v>
      </c>
      <c r="Y57" s="196">
        <f t="shared" si="50"/>
        <v>225.0118394</v>
      </c>
      <c r="Z57" s="196">
        <f>(T57-T47/(2))*N57</f>
        <v>-0.1702254585</v>
      </c>
      <c r="AA57" s="196">
        <f t="shared" ref="AA57:AA58" si="56">T57*O57</f>
        <v>1.812386744</v>
      </c>
      <c r="AB57" s="196">
        <f>P57*T57</f>
        <v>0.2718580116</v>
      </c>
    </row>
    <row r="58">
      <c r="A58" s="97"/>
      <c r="B58" s="276" t="s">
        <v>137</v>
      </c>
      <c r="C58" s="25">
        <f>Inputs!C60</f>
        <v>0</v>
      </c>
      <c r="D58" s="78"/>
      <c r="G58" s="276"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6"/>
        <v>0</v>
      </c>
      <c r="AB58" s="194"/>
    </row>
    <row r="59">
      <c r="A59" s="329" t="s">
        <v>138</v>
      </c>
      <c r="B59" s="276" t="s">
        <v>139</v>
      </c>
      <c r="C59" s="25">
        <f>Inputs!C61</f>
        <v>1</v>
      </c>
      <c r="D59" s="264">
        <f>Inputs!D61</f>
        <v>0.9</v>
      </c>
      <c r="E59" s="2"/>
      <c r="G59" s="276" t="s">
        <v>249</v>
      </c>
      <c r="H59" s="27"/>
      <c r="I59" s="278"/>
      <c r="J59" s="194"/>
      <c r="K59" s="256">
        <f>SUM(V25,V26,K28/10*C118,V29,V35,V40,V43,V53,K68/10*C123,IF(C131=1,V74*T51/T74,0))*10*0.15*0.15*$C$152/SQRT(MAX(1,$C$152/8))*(1+$C$131*0.05*MIN(1,5/$C$152))*J10*(1+0.08*C120*D120)</f>
        <v>175056.5567</v>
      </c>
      <c r="L59" s="209">
        <f>K59/$C$152</f>
        <v>35011.31133</v>
      </c>
      <c r="M59" s="196">
        <f>K59/((1+$C$131*0.05*MIN(1,5/$C$152)))/$C$152</f>
        <v>33344.10603</v>
      </c>
      <c r="N59" s="195"/>
      <c r="O59" s="195"/>
      <c r="P59" s="194"/>
      <c r="Q59" s="194"/>
      <c r="R59" s="194"/>
      <c r="S59" s="194"/>
      <c r="T59" s="196">
        <f>T24*C131*E141</f>
        <v>0.01101321586</v>
      </c>
      <c r="U59" s="278"/>
      <c r="V59" s="196">
        <f>T59*K59</f>
        <v>1927.935646</v>
      </c>
      <c r="W59" s="196">
        <f>T59*L59</f>
        <v>385.5871292</v>
      </c>
      <c r="X59" s="196">
        <f>T59*M59</f>
        <v>367.2258374</v>
      </c>
      <c r="Y59" s="196">
        <f>X59*(1-$C$144)</f>
        <v>293.7806699</v>
      </c>
      <c r="Z59" s="194"/>
      <c r="AA59" s="194"/>
      <c r="AB59" s="194"/>
    </row>
    <row r="60">
      <c r="A60" s="97"/>
      <c r="B60" s="276" t="s">
        <v>140</v>
      </c>
      <c r="C60" s="25">
        <f>Inputs!C62</f>
        <v>1</v>
      </c>
      <c r="D60" s="78"/>
      <c r="G60" s="276" t="s">
        <v>133</v>
      </c>
      <c r="H60" s="27"/>
      <c r="I60" s="278"/>
      <c r="J60" s="194"/>
      <c r="K60" s="194"/>
      <c r="L60" s="195"/>
      <c r="M60" s="196">
        <f>K23*0.5*(1+0.15*C46)*(1+C130)</f>
        <v>9669.786287</v>
      </c>
      <c r="N60" s="195"/>
      <c r="O60" s="195"/>
      <c r="P60" s="194"/>
      <c r="Q60" s="194"/>
      <c r="R60" s="194"/>
      <c r="S60" s="194"/>
      <c r="T60" s="196">
        <f>T23*C54</f>
        <v>0.7253739295</v>
      </c>
      <c r="U60" s="278"/>
      <c r="V60" s="194"/>
      <c r="W60" s="194"/>
      <c r="X60" s="196">
        <f>T60*M60+C130*T47*(K46+K47)*0.1*(1+0.15*C46)*C54</f>
        <v>7014.210876</v>
      </c>
      <c r="Y60" s="196">
        <f>X60</f>
        <v>7014.210876</v>
      </c>
      <c r="Z60" s="194"/>
      <c r="AA60" s="194"/>
      <c r="AB60" s="194"/>
    </row>
    <row r="61">
      <c r="A61" s="97"/>
      <c r="B61" s="276" t="s">
        <v>141</v>
      </c>
      <c r="C61" s="25">
        <f>Inputs!C63</f>
        <v>1</v>
      </c>
      <c r="D61" s="264">
        <f>Inputs!D63</f>
        <v>0</v>
      </c>
      <c r="G61" s="276" t="s">
        <v>111</v>
      </c>
      <c r="H61" s="218">
        <f>0.5875*2/6*1.075</f>
        <v>0.2105208333</v>
      </c>
      <c r="I61" s="204">
        <v>1.0</v>
      </c>
      <c r="J61" s="219">
        <f>($J$6*(1+$E$116)*(1+$D$157)+169*15/120*$C$24+$C$14*6)*H61*$J$10*$L$11*I61*(1+0.01*C24)</f>
        <v>1330.997699</v>
      </c>
      <c r="K61" s="196">
        <f>J61*$J$8*0.7*(INT($J$9*60/2+1)+(60*$J$9*10+25)/40*1.35)*$J$14*(1+$C$131*0.05)</f>
        <v>110062.232</v>
      </c>
      <c r="L61" s="196">
        <f t="shared" ref="L61:L65" si="57">K61</f>
        <v>110062.232</v>
      </c>
      <c r="M61" s="195"/>
      <c r="N61" s="195"/>
      <c r="O61" s="195"/>
      <c r="P61" s="194"/>
      <c r="Q61" s="194"/>
      <c r="R61" s="197">
        <v>120.0</v>
      </c>
      <c r="S61" s="256">
        <f>120-30*C130*C138</f>
        <v>120</v>
      </c>
      <c r="T61" s="196">
        <f>1/S61*C40</f>
        <v>0.008333333333</v>
      </c>
      <c r="U61" s="194"/>
      <c r="V61" s="196">
        <f t="shared" ref="V61:V65" si="58">T61*K61</f>
        <v>917.1852667</v>
      </c>
      <c r="W61" s="196">
        <f t="shared" ref="W61:W65" si="59">T61*L61</f>
        <v>917.1852667</v>
      </c>
      <c r="X61" s="194"/>
      <c r="Y61" s="194"/>
      <c r="Z61" s="194"/>
      <c r="AA61" s="194"/>
      <c r="AB61" s="194"/>
    </row>
    <row r="62">
      <c r="A62" s="97"/>
      <c r="B62" s="276" t="s">
        <v>142</v>
      </c>
      <c r="C62" s="25">
        <f>Inputs!C64</f>
        <v>0</v>
      </c>
      <c r="D62" s="78"/>
      <c r="G62" s="276" t="s">
        <v>72</v>
      </c>
      <c r="H62" s="253">
        <v>0.01127</v>
      </c>
      <c r="I62" s="204">
        <v>1.15</v>
      </c>
      <c r="J62" s="207">
        <f>($J$6*(1+$E$116)*(1+$D$157)+169*15/120*$C$24+$C$14*6)*H62*$J$10*$L$11*I62*(1+0.01*E25)</f>
        <v>81.94151338</v>
      </c>
      <c r="K62" s="209">
        <f>J62*$J$8*$J$14*(1+0.2*C63)*(1+0.08*C120*D120)*(1+0.15*$B$19*(1+0.2*$C$63))</f>
        <v>146.9014097</v>
      </c>
      <c r="L62" s="196">
        <f t="shared" si="57"/>
        <v>146.9014097</v>
      </c>
      <c r="M62" s="196">
        <f t="shared" ref="M62:M65" si="60">K62*$L$12</f>
        <v>27.1767608</v>
      </c>
      <c r="N62" s="194"/>
      <c r="O62" s="194"/>
      <c r="P62" s="194"/>
      <c r="Q62" s="194"/>
      <c r="R62" s="194"/>
      <c r="S62" s="194"/>
      <c r="T62" s="196">
        <f>$B$19*(T23+T35*$C$152+T42*MIN((C152-1)*C106+1,2*C106+1)+T51*IF($C$152&lt;=5,IF($C$152&lt;3,$C$152,2+IF(C43&gt;0,$C$152-2,0)*10/S40+2*(S40-10)/S40),2+IF(C43&gt;0,3,0)*10/S40+2*(S40-10)/S40)+T57)</f>
        <v>0</v>
      </c>
      <c r="U62" s="194"/>
      <c r="V62" s="196">
        <f t="shared" si="58"/>
        <v>0</v>
      </c>
      <c r="W62" s="196">
        <f t="shared" si="59"/>
        <v>0</v>
      </c>
      <c r="X62" s="196">
        <f t="shared" ref="X62:X66" si="61">T62*M62</f>
        <v>0</v>
      </c>
      <c r="Y62" s="196">
        <f t="shared" ref="Y62:Y66" si="62">X62*(1-$C$144)</f>
        <v>0</v>
      </c>
      <c r="Z62" s="194"/>
      <c r="AA62" s="194"/>
      <c r="AB62" s="194"/>
    </row>
    <row r="63">
      <c r="A63" s="97"/>
      <c r="B63" s="276" t="s">
        <v>143</v>
      </c>
      <c r="C63" s="25">
        <f>Inputs!C65</f>
        <v>1</v>
      </c>
      <c r="D63" s="78"/>
      <c r="G63" s="276" t="s">
        <v>345</v>
      </c>
      <c r="H63" s="253">
        <f>3.07125*1.2*1.2</f>
        <v>4.4226</v>
      </c>
      <c r="I63" s="204">
        <v>1.15</v>
      </c>
      <c r="J63" s="207">
        <f>($J$6*(1+$E$116)*(1+$D$157)+169*15/120*$C$24+$C$14*6)*H63*$J$10*$L$11*I63*(1+0.01*E25)*1.05</f>
        <v>33763.46619</v>
      </c>
      <c r="K63" s="196">
        <f>J63*$J$8*$J$14*(1+0.15*$B$19*(1+0.2*$C$63))*(1+0.08*C120*D120)</f>
        <v>50441.47319</v>
      </c>
      <c r="L63" s="196">
        <f t="shared" si="57"/>
        <v>50441.47319</v>
      </c>
      <c r="M63" s="196">
        <f t="shared" si="60"/>
        <v>9331.672539</v>
      </c>
      <c r="N63" s="197">
        <v>-2.0</v>
      </c>
      <c r="O63" s="211">
        <f>20</f>
        <v>20</v>
      </c>
      <c r="P63" s="204">
        <f>3</f>
        <v>3</v>
      </c>
      <c r="Q63" s="196">
        <f>1.5/$J$9</f>
        <v>0.983880796</v>
      </c>
      <c r="R63" s="204">
        <v>45.0</v>
      </c>
      <c r="S63" s="198">
        <f>2*R63/(2+C137)+$C$151</f>
        <v>45.8</v>
      </c>
      <c r="T63" s="196">
        <f>1/S63*C130</f>
        <v>0</v>
      </c>
      <c r="U63" s="199">
        <f>T63*Q63</f>
        <v>0</v>
      </c>
      <c r="V63" s="196">
        <f t="shared" si="58"/>
        <v>0</v>
      </c>
      <c r="W63" s="196">
        <f t="shared" si="59"/>
        <v>0</v>
      </c>
      <c r="X63" s="196">
        <f t="shared" si="61"/>
        <v>0</v>
      </c>
      <c r="Y63" s="196">
        <f t="shared" si="62"/>
        <v>0</v>
      </c>
      <c r="Z63" s="196">
        <f>T63*N63</f>
        <v>0</v>
      </c>
      <c r="AA63" s="196">
        <f>T63*O63</f>
        <v>0</v>
      </c>
      <c r="AB63" s="196">
        <f>P63*T63</f>
        <v>0</v>
      </c>
    </row>
    <row r="64">
      <c r="A64" s="329" t="s">
        <v>144</v>
      </c>
      <c r="B64" s="276" t="s">
        <v>145</v>
      </c>
      <c r="C64" s="25">
        <f>Inputs!C66</f>
        <v>0</v>
      </c>
      <c r="D64" s="78"/>
      <c r="G64" s="276" t="s">
        <v>346</v>
      </c>
      <c r="H64" s="253">
        <f>0.3779*1.2</f>
        <v>0.45348</v>
      </c>
      <c r="I64" s="204">
        <v>1.15</v>
      </c>
      <c r="J64" s="207">
        <f>($J$6*(1+$E$116)*(1+$D$157)+169*15/120*$C$24+$C$14*6)*H64*$J$10*$L$11*I64*(1+0.01*E25)*1.05</f>
        <v>3462.003493</v>
      </c>
      <c r="K64" s="196">
        <f>J64*$J$8*$J$14*(1+0.15*$B$19*(1+0.2*$C$63))*$H$134*(1+0.15)*(1+0.05*(1+H8))*(1+0.08*C120*D120)</f>
        <v>252421.2317</v>
      </c>
      <c r="L64" s="196">
        <f t="shared" si="57"/>
        <v>252421.2317</v>
      </c>
      <c r="M64" s="196">
        <f t="shared" si="60"/>
        <v>46697.92786</v>
      </c>
      <c r="N64" s="194"/>
      <c r="O64" s="194"/>
      <c r="P64" s="194"/>
      <c r="Q64" s="194"/>
      <c r="R64" s="194"/>
      <c r="S64" s="194"/>
      <c r="T64" s="196">
        <f>T63</f>
        <v>0</v>
      </c>
      <c r="U64" s="194"/>
      <c r="V64" s="196">
        <f t="shared" si="58"/>
        <v>0</v>
      </c>
      <c r="W64" s="196">
        <f t="shared" si="59"/>
        <v>0</v>
      </c>
      <c r="X64" s="196">
        <f t="shared" si="61"/>
        <v>0</v>
      </c>
      <c r="Y64" s="196">
        <f t="shared" si="62"/>
        <v>0</v>
      </c>
      <c r="Z64" s="194"/>
      <c r="AA64" s="194"/>
      <c r="AB64" s="194"/>
    </row>
    <row r="65">
      <c r="A65" s="97"/>
      <c r="B65" s="276" t="s">
        <v>146</v>
      </c>
      <c r="C65" s="25">
        <f>Inputs!C67</f>
        <v>0</v>
      </c>
      <c r="D65" s="78"/>
      <c r="G65" s="281" t="s">
        <v>347</v>
      </c>
      <c r="H65" s="263">
        <v>0.5</v>
      </c>
      <c r="I65" s="194"/>
      <c r="J65" s="219">
        <f>(360+343*0.429/0.5*(1+0.05*C21)+$J$6*(1+$E$116)*(1+$D$157)+$C$14*6)*H65*$J$10*$L$11</f>
        <v>3661.341079</v>
      </c>
      <c r="K65" s="209">
        <f>J65*$J$8*$J$14*(1+0.08*C120*D120)</f>
        <v>5469.919375</v>
      </c>
      <c r="L65" s="196">
        <f t="shared" si="57"/>
        <v>5469.919375</v>
      </c>
      <c r="M65" s="196">
        <f t="shared" si="60"/>
        <v>1011.935084</v>
      </c>
      <c r="N65" s="194"/>
      <c r="O65" s="194"/>
      <c r="P65" s="194"/>
      <c r="Q65" s="196">
        <f>1.5/$J$9</f>
        <v>0.983880796</v>
      </c>
      <c r="R65" s="197">
        <v>90.0</v>
      </c>
      <c r="S65" s="198">
        <f>R65+$C$151</f>
        <v>90.8</v>
      </c>
      <c r="T65" s="196">
        <f>1/S65*C29</f>
        <v>0</v>
      </c>
      <c r="U65" s="199">
        <f>T65*Q65</f>
        <v>0</v>
      </c>
      <c r="V65" s="196">
        <f t="shared" si="58"/>
        <v>0</v>
      </c>
      <c r="W65" s="196">
        <f t="shared" si="59"/>
        <v>0</v>
      </c>
      <c r="X65" s="196">
        <f t="shared" si="61"/>
        <v>0</v>
      </c>
      <c r="Y65" s="196">
        <f t="shared" si="62"/>
        <v>0</v>
      </c>
      <c r="Z65" s="194"/>
      <c r="AA65" s="194"/>
      <c r="AB65" s="194"/>
    </row>
    <row r="66">
      <c r="A66" s="97"/>
      <c r="B66" s="276" t="s">
        <v>147</v>
      </c>
      <c r="C66" s="25">
        <f>Inputs!C68</f>
        <v>1</v>
      </c>
      <c r="D66" s="78"/>
      <c r="E66" s="2"/>
      <c r="G66" s="276" t="s">
        <v>348</v>
      </c>
      <c r="H66" s="27"/>
      <c r="I66" s="194"/>
      <c r="J66" s="194"/>
      <c r="K66" s="194"/>
      <c r="L66" s="194"/>
      <c r="M66" s="196">
        <f>$L$7*0.48*(1+0.2*C63)</f>
        <v>969347.2896</v>
      </c>
      <c r="N66" s="194"/>
      <c r="O66" s="194"/>
      <c r="P66" s="194"/>
      <c r="Q66" s="194"/>
      <c r="R66" s="204">
        <v>360.0</v>
      </c>
      <c r="S66" s="204">
        <v>360.0</v>
      </c>
      <c r="T66" s="196">
        <f>1/S66*C19</f>
        <v>0.002777777778</v>
      </c>
      <c r="U66" s="194"/>
      <c r="V66" s="194"/>
      <c r="W66" s="194"/>
      <c r="X66" s="196">
        <f t="shared" si="61"/>
        <v>2692.63136</v>
      </c>
      <c r="Y66" s="196">
        <f t="shared" si="62"/>
        <v>2154.105088</v>
      </c>
      <c r="Z66" s="194"/>
      <c r="AA66" s="194"/>
      <c r="AB66" s="194"/>
    </row>
    <row r="67">
      <c r="A67" s="97"/>
      <c r="B67" s="276" t="s">
        <v>148</v>
      </c>
      <c r="C67" s="25">
        <f>Inputs!C69</f>
        <v>1</v>
      </c>
      <c r="D67" s="78"/>
      <c r="E67" s="2"/>
      <c r="G67" s="276" t="s">
        <v>113</v>
      </c>
      <c r="H67" s="27"/>
      <c r="I67" s="194"/>
      <c r="J67" s="194"/>
      <c r="K67" s="194"/>
      <c r="L67" s="194"/>
      <c r="M67" s="194"/>
      <c r="N67" s="194"/>
      <c r="O67" s="211">
        <v>3.0</v>
      </c>
      <c r="P67" s="194"/>
      <c r="Q67" s="194"/>
      <c r="R67" s="285">
        <f>60/10.8</f>
        <v>5.555555556</v>
      </c>
      <c r="S67" s="198">
        <f>1/(10.8*J9*1.13/60)</f>
        <v>3.22478137</v>
      </c>
      <c r="T67" s="196">
        <f>1/S67*C41</f>
        <v>0.3100985417</v>
      </c>
      <c r="U67" s="194"/>
      <c r="V67" s="194"/>
      <c r="W67" s="194"/>
      <c r="X67" s="194"/>
      <c r="Y67" s="194"/>
      <c r="Z67" s="194"/>
      <c r="AA67" s="196">
        <f>T67*O67</f>
        <v>0.930295625</v>
      </c>
      <c r="AB67" s="194"/>
    </row>
    <row r="68">
      <c r="A68" s="97"/>
      <c r="B68" s="276" t="s">
        <v>149</v>
      </c>
      <c r="C68" s="25">
        <f>Inputs!C70</f>
        <v>1</v>
      </c>
      <c r="D68" s="78"/>
      <c r="G68" s="276" t="s">
        <v>220</v>
      </c>
      <c r="H68" s="253">
        <v>2.76</v>
      </c>
      <c r="I68" s="194"/>
      <c r="J68" s="207">
        <f>($J$6*(1+$E$116)*(1+$D$157)+169*15/120*$C$24+$C$14*6)*H68*$J$10*$L$11*(1+0.01*$E$25)</f>
        <v>17449.83426</v>
      </c>
      <c r="K68" s="196">
        <f>J68*$J$8*$J$14*(1+$C$131*0.05*MIN(1,5/$C$152))*$C$152/SQRT(MAX(1,$C$152/8))*(1+0.02*-AA42*8*((O42-5*IF(C42&gt;0,1,0))/O42))*(1+0.08*C120*D120)</f>
        <v>488420.2333</v>
      </c>
      <c r="L68" s="209">
        <f t="shared" ref="L68:L69" si="63">K68/$C$152</f>
        <v>97684.04665</v>
      </c>
      <c r="M68" s="196">
        <f>K68*(0.18+$L$12)</f>
        <v>178273.3851</v>
      </c>
      <c r="N68" s="194"/>
      <c r="O68" s="194"/>
      <c r="P68" s="194"/>
      <c r="Q68" s="194"/>
      <c r="R68" s="194"/>
      <c r="S68" s="194"/>
      <c r="T68" s="196">
        <f>T28*C123</f>
        <v>0</v>
      </c>
      <c r="U68" s="194"/>
      <c r="V68" s="196">
        <f t="shared" ref="V68:V69" si="64">T68*K68</f>
        <v>0</v>
      </c>
      <c r="W68" s="196">
        <f t="shared" ref="W68:W69" si="65">T68*L68</f>
        <v>0</v>
      </c>
      <c r="X68" s="196">
        <f t="shared" ref="X68:X69" si="66">T68*M68</f>
        <v>0</v>
      </c>
      <c r="Y68" s="196">
        <f t="shared" ref="Y68:Y69" si="67">X68*(1-$C$144)</f>
        <v>0</v>
      </c>
      <c r="Z68" s="194"/>
      <c r="AA68" s="194"/>
      <c r="AB68" s="194"/>
    </row>
    <row r="69">
      <c r="A69" s="97"/>
      <c r="B69" s="276" t="s">
        <v>151</v>
      </c>
      <c r="C69" s="25">
        <f>Inputs!C71</f>
        <v>1</v>
      </c>
      <c r="D69" s="78"/>
      <c r="G69" s="276" t="s">
        <v>349</v>
      </c>
      <c r="H69" s="27"/>
      <c r="I69" s="204">
        <v>1.15</v>
      </c>
      <c r="J69" s="194"/>
      <c r="K69" s="196">
        <f>K64*1/10*($C$152-1)*$I$69*1.05*IF(D100=2,(1+0.06*C119*(1-T40*(1-(0.75)^((5+(H15/2))/H15))/(1+3*(1-(0.75)^((5+(H15/2))/H15))*C82)/(1-(0.75)^((5+(H15/2))/H15)))),(1+0.06*(14-5*C131*E137)*C119*(1/S40)))</f>
        <v>129234.6222</v>
      </c>
      <c r="L69" s="196">
        <f t="shared" si="63"/>
        <v>25846.92444</v>
      </c>
      <c r="M69" s="196">
        <f>K69*$L$12</f>
        <v>23908.40511</v>
      </c>
      <c r="N69" s="194"/>
      <c r="O69" s="194"/>
      <c r="P69" s="194"/>
      <c r="Q69" s="194"/>
      <c r="R69" s="194"/>
      <c r="S69" s="194"/>
      <c r="T69" s="196">
        <f>T64</f>
        <v>0</v>
      </c>
      <c r="U69" s="194"/>
      <c r="V69" s="196">
        <f t="shared" si="64"/>
        <v>0</v>
      </c>
      <c r="W69" s="196">
        <f t="shared" si="65"/>
        <v>0</v>
      </c>
      <c r="X69" s="196">
        <f t="shared" si="66"/>
        <v>0</v>
      </c>
      <c r="Y69" s="196">
        <f t="shared" si="67"/>
        <v>0</v>
      </c>
      <c r="Z69" s="194"/>
      <c r="AA69" s="194"/>
      <c r="AB69" s="194"/>
    </row>
    <row r="70">
      <c r="A70" s="329" t="s">
        <v>152</v>
      </c>
      <c r="B70" s="276" t="s">
        <v>153</v>
      </c>
      <c r="C70" s="25">
        <f>Inputs!C72</f>
        <v>0</v>
      </c>
      <c r="D70" s="78"/>
      <c r="E70" s="2"/>
      <c r="G70" s="276"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276" t="s">
        <v>154</v>
      </c>
      <c r="C71" s="25">
        <f>Inputs!C73</f>
        <v>1</v>
      </c>
      <c r="D71" s="78"/>
      <c r="G71" s="281" t="s">
        <v>351</v>
      </c>
      <c r="H71" s="263">
        <f>1.25*0.25</f>
        <v>0.3125</v>
      </c>
      <c r="I71" s="194"/>
      <c r="J71" s="207">
        <f>($J$6*(1+$E$116)*(1+$D$157)+$C$14*6)*H71*$J$10*$L$11</f>
        <v>1975.751162</v>
      </c>
      <c r="K71" s="196">
        <f>J71*$J$8*$J$14*(1+0.08*C120*D120)*(1+$C$131*0.05*MIN(1,5/$C$152))</f>
        <v>3099.290476</v>
      </c>
      <c r="L71" s="196">
        <f>K71</f>
        <v>3099.290476</v>
      </c>
      <c r="M71" s="196">
        <f>K71*(1+$L$12)</f>
        <v>3672.659215</v>
      </c>
      <c r="N71" s="194"/>
      <c r="O71" s="194"/>
      <c r="P71" s="194"/>
      <c r="Q71" s="195"/>
      <c r="R71" s="197">
        <v>15.0</v>
      </c>
      <c r="S71" s="288">
        <f>15</f>
        <v>15</v>
      </c>
      <c r="T71" s="196">
        <f>1/S71*C25</f>
        <v>0</v>
      </c>
      <c r="U71" s="222"/>
      <c r="V71" s="196">
        <f>T71*K71</f>
        <v>0</v>
      </c>
      <c r="W71" s="196">
        <f>T71*L71</f>
        <v>0</v>
      </c>
      <c r="X71" s="196">
        <f t="shared" ref="X71:X75" si="68">T71*M71</f>
        <v>0</v>
      </c>
      <c r="Y71" s="196">
        <f>X71*(1-$C$144)</f>
        <v>0</v>
      </c>
      <c r="Z71" s="194"/>
      <c r="AA71" s="194"/>
      <c r="AB71" s="194"/>
    </row>
    <row r="72">
      <c r="A72" s="98"/>
      <c r="B72" s="276" t="s">
        <v>155</v>
      </c>
      <c r="C72" s="25">
        <f>Inputs!C74</f>
        <v>0</v>
      </c>
      <c r="D72" s="78"/>
      <c r="E72" s="2"/>
      <c r="G72" s="276" t="s">
        <v>223</v>
      </c>
      <c r="H72" s="27"/>
      <c r="I72" s="194"/>
      <c r="J72" s="194"/>
      <c r="K72" s="194"/>
      <c r="L72" s="194"/>
      <c r="M72" s="196">
        <f>MIN(L7,V29*(10+2*C92)*6)*J10*(1+0.15*C46)</f>
        <v>1513552.555</v>
      </c>
      <c r="N72" s="194"/>
      <c r="O72" s="194"/>
      <c r="P72" s="194"/>
      <c r="Q72" s="194"/>
      <c r="R72" s="194"/>
      <c r="S72" s="194"/>
      <c r="T72" s="196">
        <f>T76*C126</f>
        <v>0.04678661658</v>
      </c>
      <c r="U72" s="194"/>
      <c r="V72" s="194"/>
      <c r="W72" s="194"/>
      <c r="X72" s="196">
        <f t="shared" si="68"/>
        <v>70814.00309</v>
      </c>
      <c r="Y72" s="196">
        <f>X72</f>
        <v>70814.00309</v>
      </c>
      <c r="Z72" s="194"/>
      <c r="AA72" s="194"/>
      <c r="AB72" s="194"/>
    </row>
    <row r="73">
      <c r="A73" s="329" t="s">
        <v>156</v>
      </c>
      <c r="B73" s="276" t="s">
        <v>157</v>
      </c>
      <c r="C73" s="25">
        <f>Inputs!C75</f>
        <v>0</v>
      </c>
      <c r="D73" s="78"/>
      <c r="G73" s="281" t="s">
        <v>352</v>
      </c>
      <c r="H73" s="27"/>
      <c r="I73" s="194"/>
      <c r="J73" s="194"/>
      <c r="K73" s="194"/>
      <c r="L73" s="194"/>
      <c r="M73" s="196">
        <f>$L$7*0.04*(1+0.2*C63)</f>
        <v>80778.9408</v>
      </c>
      <c r="N73" s="194"/>
      <c r="O73" s="194"/>
      <c r="P73" s="194"/>
      <c r="Q73" s="194"/>
      <c r="R73" s="197">
        <f>60/3</f>
        <v>20</v>
      </c>
      <c r="S73" s="196">
        <f>R73/1.13/$J$9</f>
        <v>11.60921293</v>
      </c>
      <c r="T73" s="196">
        <f>1/S73*B21</f>
        <v>0</v>
      </c>
      <c r="U73" s="194"/>
      <c r="V73" s="194"/>
      <c r="W73" s="194"/>
      <c r="X73" s="196">
        <f t="shared" si="68"/>
        <v>0</v>
      </c>
      <c r="Y73" s="196">
        <f t="shared" ref="Y73:Y75" si="69">X73*(1-$C$144)</f>
        <v>0</v>
      </c>
      <c r="Z73" s="194"/>
      <c r="AA73" s="194"/>
      <c r="AB73" s="194"/>
    </row>
    <row r="74">
      <c r="A74" s="97"/>
      <c r="B74" s="276" t="s">
        <v>158</v>
      </c>
      <c r="C74" s="25">
        <f>Inputs!C76</f>
        <v>1</v>
      </c>
      <c r="D74" s="78"/>
      <c r="G74" s="276" t="s">
        <v>353</v>
      </c>
      <c r="H74" s="289">
        <f>0.907*1.25</f>
        <v>1.13375</v>
      </c>
      <c r="I74" s="204">
        <v>1.15</v>
      </c>
      <c r="J74" s="207">
        <f>($J$6*(1+$E$116)*(1+$D$157)+169*15/120*$C$24+$C$14*6)*H74*$J$10*$L$11*I74*(1+0.15*C93)*(1+0.01*$E$25)*(1+0.1*C43)</f>
        <v>9067.551897</v>
      </c>
      <c r="K74" s="196">
        <f>J74*$J$8*IF($C$152&lt;=5,IF($C$152&lt;3,$C$152,IF($C$43&gt;0,$C$152,2)*(14-5*C131*E137)/$S$40+2*($S$40-(14-5*C131*E137))/$S$40),IF($C$43&gt;0,5,2)*(14-5*C131*E137)/$S$40+2*($S$40-(14-5*C131*E137))/$S$40)*$J$14*(1+$C$131*0.2)*(1+0.08*C120*D120)</f>
        <v>81279.68971</v>
      </c>
      <c r="L74" s="196">
        <f>K74/IF($C$152&lt;=5,IF($C$152&lt;3,$C$152,IF($C$43&gt;0,$C$152,2)*(14-5*C131*E137)/$S$40+2*($S$40-(14-5*C131*E137))/$S$40),IF($C$43&gt;0,5,2)*(14-5*C131*E137)/$S$40+2*($S$40-(14-5*C131*E137))/$S$40)</f>
        <v>16255.93794</v>
      </c>
      <c r="M74" s="196">
        <f>K74*$L$12+IF($C$152&lt;=5,IF($C$152&lt;3,$C$152,IF($C$43&gt;0,$C$152,2)*(14-5*C131*E137)/$S$40+2*($S$40-(14-5*C131*E137))/$S$40),IF($C$43&gt;0,5,2)*(14-5*C131*E137)/$S$40+2*($S$40-(14-5*C131*E137))/$S$40)*$L$7*0.0025*$C$95+$L$7*0.02*$J$10</f>
        <v>58134.42671</v>
      </c>
      <c r="N74" s="194"/>
      <c r="O74" s="194"/>
      <c r="P74" s="194"/>
      <c r="Q74" s="194"/>
      <c r="R74" s="194"/>
      <c r="S74" s="194"/>
      <c r="T74" s="196">
        <f>C131*((T38*(8+C110*4))*T51+(1-T38*(8+C110*4))*((0.35+0.05*14/S40*E136)*T42+(E140*0.35*0.15)*T42))</f>
        <v>0.1922269492</v>
      </c>
      <c r="U74" s="194"/>
      <c r="V74" s="196">
        <f>(T74+(C131*T38*(8+C110*4))*C116/(9/(1/(0.5+(2/((L14+0.3*(1-(1-(T38*(8+C110*4)))*(1-IF(C127&gt;3,1,0)*(1-0.875^(8*(T40+T43+T51+T57+T63)))))))-1+IF(C152=1,0.5,0))/C152))+9/(1/(0.5+(2/((L14+0.3*(1-(1-(T38*(8+C110*4)))*(1-IF(C127&gt;3,1,0)*(1-0.875^(8*(T40+T43+T51+T57+T63)))))))-1+IF(C152=1,0.5,0))/C152))/2*((0.8/3^(C152-1))/(1-(0.8/3^(C152-1))))+6)+1.5*C131*F127*((T38*(8+C110*4))/(1-(1-(T38*(8+C110*4)))*(1-IF(C127&gt;3,1,0)*(1-0.875^(8*(T40+T43+T51+T57+T63)))))))*K74</f>
        <v>20599.38017</v>
      </c>
      <c r="W74" s="196">
        <f>(T74+(C131*T38*(8+C110*4))*C116/(9/(1/(0.5+(2/((L14+0.3*(1-(1-(T38*(8+C110*4)))*(1-IF(C127&gt;3,1,0)*(1-0.875^(8*(T40+T43+T51+T57+T63)))))))-1+IF(C152=1,0.5,0))/C152))+9/(1/(0.5+(2/((L14+0.3*(1-(1-(T38*(8+C110*4)))*(1-IF(C127&gt;3,1,0)*(1-0.875^(8*(T40+T43+T51+T57+T63)))))))-1+IF(C152=1,0.5,0))/C152))/2*((0.8/3^(C152-1))/(1-(0.8/3^(C152-1))))+6)+1.5*C131*F127*((T38*(8+C110*4))/(1-(1-(T38*(8+C110*4)))*(1-IF(C127&gt;3,1,0)*(1-0.875^(8*(T40+T43+T51+T57+T63)))))))*L74</f>
        <v>4119.876034</v>
      </c>
      <c r="X74" s="196">
        <f t="shared" si="68"/>
        <v>11175.00349</v>
      </c>
      <c r="Y74" s="196">
        <f t="shared" si="69"/>
        <v>8940.00279</v>
      </c>
      <c r="Z74" s="194"/>
      <c r="AA74" s="194"/>
      <c r="AB74" s="293"/>
    </row>
    <row r="75">
      <c r="A75" s="97"/>
      <c r="B75" s="276" t="s">
        <v>160</v>
      </c>
      <c r="C75" s="25">
        <f>Inputs!C77</f>
        <v>1</v>
      </c>
      <c r="D75" s="78"/>
      <c r="G75" s="276" t="s">
        <v>354</v>
      </c>
      <c r="H75" s="253">
        <f>1.766*1.2</f>
        <v>2.1192</v>
      </c>
      <c r="I75" s="204">
        <v>1.15</v>
      </c>
      <c r="J75" s="207">
        <f>($J$6*(1+$E$116)*(1+$D$157)+169*15/120*$C$24+$C$14*6)*H75*$J$10*$L$11*I75*(1+0.01*$E$25)</f>
        <v>15408.20365</v>
      </c>
      <c r="K75" s="196">
        <f>J75*($J$8+2)/2*(1+$C$152)*$J$14*(1+0.15*$B$19*(1+0.2*$C$63))*(H8*0.05/2+1)*(1+0.08*C120*D120)</f>
        <v>183337.8803</v>
      </c>
      <c r="L75" s="196">
        <f>K75*2/(1+$C$152)</f>
        <v>61112.62677</v>
      </c>
      <c r="M75" s="196">
        <f>K75*$L$12</f>
        <v>33917.50786</v>
      </c>
      <c r="N75" s="194"/>
      <c r="O75" s="194"/>
      <c r="P75" s="194"/>
      <c r="Q75" s="194"/>
      <c r="R75" s="194"/>
      <c r="S75" s="194"/>
      <c r="T75" s="196">
        <f>T63</f>
        <v>0</v>
      </c>
      <c r="U75" s="293"/>
      <c r="V75" s="196">
        <f>T75*K75</f>
        <v>0</v>
      </c>
      <c r="W75" s="196">
        <f>T75*L75</f>
        <v>0</v>
      </c>
      <c r="X75" s="196">
        <f t="shared" si="68"/>
        <v>0</v>
      </c>
      <c r="Y75" s="196">
        <f t="shared" si="69"/>
        <v>0</v>
      </c>
      <c r="Z75" s="293"/>
      <c r="AA75" s="293"/>
      <c r="AB75" s="293"/>
    </row>
    <row r="76">
      <c r="A76" s="98"/>
      <c r="B76" s="276" t="s">
        <v>161</v>
      </c>
      <c r="C76" s="25">
        <f>Inputs!C78</f>
        <v>0</v>
      </c>
      <c r="D76" s="78"/>
      <c r="G76" s="281" t="s">
        <v>179</v>
      </c>
      <c r="H76" s="27"/>
      <c r="I76" s="194"/>
      <c r="J76" s="194"/>
      <c r="K76" s="194"/>
      <c r="L76" s="194"/>
      <c r="M76" s="194"/>
      <c r="N76" s="194"/>
      <c r="O76" s="194"/>
      <c r="P76" s="194"/>
      <c r="Q76" s="194"/>
      <c r="R76" s="295">
        <f>90</f>
        <v>90</v>
      </c>
      <c r="S76" s="287">
        <f>R76/(1-AA42/5*C122*((O42-5*IF(C42&gt;0,1,0))/O42))</f>
        <v>21.3736336</v>
      </c>
      <c r="T76" s="287">
        <f>1/S76*C89*C149</f>
        <v>0.04678661658</v>
      </c>
      <c r="U76" s="293"/>
      <c r="V76" s="293"/>
      <c r="W76" s="298"/>
      <c r="X76" s="298"/>
      <c r="Y76" s="293"/>
      <c r="Z76" s="293"/>
      <c r="AA76" s="293"/>
      <c r="AB76" s="293"/>
    </row>
    <row r="77">
      <c r="A77" s="329" t="s">
        <v>162</v>
      </c>
      <c r="B77" s="276" t="s">
        <v>163</v>
      </c>
      <c r="C77" s="25">
        <f>Inputs!C79</f>
        <v>2</v>
      </c>
      <c r="D77" s="78"/>
      <c r="T77" s="334" t="s">
        <v>230</v>
      </c>
      <c r="U77" s="300">
        <f t="shared" ref="U77:X77" si="70">sum(U19:U76)</f>
        <v>1</v>
      </c>
      <c r="V77" s="140">
        <f t="shared" si="70"/>
        <v>325022.7328</v>
      </c>
      <c r="W77" s="140">
        <f t="shared" si="70"/>
        <v>112271.8983</v>
      </c>
      <c r="X77" s="140">
        <f t="shared" si="70"/>
        <v>443226.7484</v>
      </c>
      <c r="Y77" s="140">
        <f>sum(Y19:Y76)+W78</f>
        <v>385512.4692</v>
      </c>
      <c r="Z77" s="140">
        <f t="shared" ref="Z77:AB77" si="71">sum(Z19:Z76)</f>
        <v>-0.4570809304</v>
      </c>
      <c r="AA77" s="140">
        <f t="shared" si="71"/>
        <v>0</v>
      </c>
      <c r="AB77" s="152">
        <f t="shared" si="71"/>
        <v>0.3269240909</v>
      </c>
    </row>
    <row r="78">
      <c r="A78" s="97"/>
      <c r="B78" s="276" t="s">
        <v>165</v>
      </c>
      <c r="C78" s="25">
        <f>Inputs!C80</f>
        <v>0</v>
      </c>
      <c r="D78" s="78"/>
      <c r="E78" s="2"/>
      <c r="I78" s="325"/>
    </row>
    <row r="79">
      <c r="A79" s="98"/>
      <c r="B79" s="276" t="s">
        <v>166</v>
      </c>
      <c r="C79" s="25">
        <f>Inputs!C81</f>
        <v>2</v>
      </c>
      <c r="D79" s="78"/>
      <c r="E79" s="2"/>
      <c r="V79" s="326">
        <f>8047*20*1.13/60*J8*J10*0.7</f>
        <v>3312.418059</v>
      </c>
      <c r="W79" s="326">
        <f>498629/150*J8*J10*(0.85+0.15*C152)</f>
        <v>8303.518747</v>
      </c>
      <c r="Y79" s="326">
        <f>-(1.13*(1-exp(-1*12/60)))*49872/12*J10*L10</f>
        <v>-937.1879001</v>
      </c>
    </row>
    <row r="80">
      <c r="A80" s="335" t="s">
        <v>168</v>
      </c>
      <c r="B80" s="276" t="s">
        <v>169</v>
      </c>
      <c r="C80" s="25">
        <f>Inputs!C82</f>
        <v>1</v>
      </c>
      <c r="D80" s="78"/>
      <c r="E80" s="2"/>
      <c r="S80" s="301"/>
      <c r="T80" s="301"/>
      <c r="V80" s="326">
        <f>(239640*0.7+129036)*1.13*0.92/60*J8*J10</f>
        <v>8028.074942</v>
      </c>
    </row>
    <row r="81">
      <c r="A81" s="122"/>
      <c r="B81" s="276" t="s">
        <v>171</v>
      </c>
      <c r="C81" s="25">
        <f>Inputs!C83</f>
        <v>0</v>
      </c>
      <c r="D81" s="78"/>
      <c r="E81" s="2"/>
      <c r="S81" s="62"/>
      <c r="T81" s="62"/>
      <c r="V81" s="326">
        <f>221688*0.85*1.13/60*J8*J10*J9*(0.85+0.15*C152)</f>
        <v>13514.90433</v>
      </c>
      <c r="W81" s="326">
        <f>(1.13*(1-exp(-2*10/60)))*8804*5/10*(0.85+0.15*C152)*J8*J10</f>
        <v>3522.163189</v>
      </c>
    </row>
    <row r="82">
      <c r="A82" s="122"/>
      <c r="B82" s="276" t="s">
        <v>172</v>
      </c>
      <c r="C82" s="25">
        <f>Inputs!C84</f>
        <v>1</v>
      </c>
      <c r="D82" s="78"/>
      <c r="E82" s="2"/>
      <c r="S82" s="301"/>
      <c r="T82" s="301"/>
      <c r="U82" s="336"/>
      <c r="V82" s="326">
        <f>150750*1.25*1.13/60*J8*J10*J9*(0.85+0.15*C152)</f>
        <v>13515.09798</v>
      </c>
    </row>
    <row r="83">
      <c r="A83" s="123"/>
      <c r="B83" s="276" t="s">
        <v>173</v>
      </c>
      <c r="C83" s="25">
        <f>Inputs!C85</f>
        <v>0</v>
      </c>
      <c r="D83" s="78"/>
      <c r="E83" s="2"/>
      <c r="V83" s="326">
        <f>124747/6*(1.13*(1-exp(-2*J9*6/60)))*J8*J10</f>
        <v>9639.658385</v>
      </c>
    </row>
    <row r="84">
      <c r="A84" s="2"/>
      <c r="B84" s="2"/>
      <c r="C84" s="2"/>
      <c r="D84" s="2"/>
      <c r="E84" s="2"/>
      <c r="R84" s="302"/>
      <c r="V84" s="326">
        <f>135322*4/150*J8*J10*(0.85+0.15*C152)</f>
        <v>9013.906242</v>
      </c>
    </row>
    <row r="85">
      <c r="A85" s="2"/>
      <c r="B85" s="321" t="s">
        <v>174</v>
      </c>
      <c r="C85" s="283" t="s">
        <v>106</v>
      </c>
      <c r="D85" s="283" t="s">
        <v>107</v>
      </c>
      <c r="E85" s="2"/>
      <c r="V85" s="326">
        <f>15233*1.5*1.13/60*J8*J10*5*5/3</f>
        <v>5598.588682</v>
      </c>
    </row>
    <row r="86">
      <c r="A86" s="337" t="s">
        <v>108</v>
      </c>
      <c r="B86" s="276" t="s">
        <v>175</v>
      </c>
      <c r="C86" s="25">
        <f>Inputs!C88</f>
        <v>1</v>
      </c>
      <c r="D86" s="78"/>
      <c r="E86" s="2"/>
      <c r="U86" s="326">
        <f>(20*0.793)*14698*J8*J10*0.7/60*1.375</f>
        <v>5838.03679</v>
      </c>
      <c r="V86" s="326">
        <f>(20+2/3*(C152*4-2-2/3))*14698*J8*J10*0.7/60*1.375</f>
        <v>11615.54188</v>
      </c>
    </row>
    <row r="87">
      <c r="A87" s="322" t="s">
        <v>112</v>
      </c>
      <c r="B87" s="276" t="s">
        <v>176</v>
      </c>
      <c r="C87" s="25">
        <f>Inputs!C89</f>
        <v>1</v>
      </c>
      <c r="D87" s="25">
        <f>Inputs!D89</f>
        <v>0</v>
      </c>
      <c r="V87" s="326">
        <f>156528*1.13/60*J8*J9*J10*1.5*(0.85+0.15*C152)</f>
        <v>16839.73139</v>
      </c>
    </row>
    <row r="88">
      <c r="A88" s="98"/>
      <c r="B88" s="276" t="s">
        <v>177</v>
      </c>
      <c r="C88" s="25">
        <f>Inputs!C90</f>
        <v>1</v>
      </c>
      <c r="D88" s="78"/>
      <c r="E88" s="2"/>
      <c r="V88" s="326">
        <f>91711*J8*J10/90*(0.85+0.15*C152)*5*0.79+2395/3*J10*J8*C152*0.8</f>
        <v>15039.70349</v>
      </c>
      <c r="W88" s="326">
        <f>80382*J8*J10/90*(0.85+0.15*C152)*5*0.79+2013/3*J10*J8*C152*0.8</f>
        <v>13002.53577</v>
      </c>
      <c r="X88" s="326">
        <f>(660181*J10*1.15*1.5-93582*5*J10*L10*0.79)/90*1.5-2395*J10*L10/3*0.8</f>
        <v>16817.8867</v>
      </c>
      <c r="Y88" s="326">
        <f>(578625*J10*1.15*1.5-82021*5*J10*L10*0.79)/90*1.5-2013*J10*L10/3*0.8</f>
        <v>14765.58097</v>
      </c>
    </row>
    <row r="89">
      <c r="A89" s="329" t="s">
        <v>117</v>
      </c>
      <c r="B89" s="276" t="s">
        <v>179</v>
      </c>
      <c r="C89" s="25">
        <f>Inputs!C91</f>
        <v>1</v>
      </c>
      <c r="D89" s="78"/>
      <c r="E89" s="2"/>
      <c r="U89" s="326">
        <f>205064/1.2^15</f>
        <v>13309.77561</v>
      </c>
      <c r="V89" s="4">
        <f>(304680/(1.2)^15)*3*1.13*1.2^15/60*J8*J9*J10*(127566/205064)*IF(C152&gt;1,1,1)*0.9</f>
        <v>22939.56121</v>
      </c>
      <c r="X89" s="326">
        <f>-V89/2*L10</f>
        <v>-9861.356279</v>
      </c>
    </row>
    <row r="90">
      <c r="A90" s="98"/>
      <c r="B90" s="276" t="s">
        <v>180</v>
      </c>
      <c r="C90" s="25">
        <f>Inputs!C92</f>
        <v>1</v>
      </c>
      <c r="D90" s="78"/>
      <c r="E90" s="2"/>
      <c r="U90" s="326">
        <f>9935*1.2^14</f>
        <v>127557.2995</v>
      </c>
      <c r="V90" s="326">
        <f>7848*1.5*5*1.13/60*J8*J9*J10</f>
        <v>2638.469874</v>
      </c>
      <c r="X90" s="326">
        <f>-1053*1.5*5*1.13/60*J9*J10*L10</f>
        <v>-249.6399937</v>
      </c>
    </row>
    <row r="91">
      <c r="A91" s="329" t="s">
        <v>129</v>
      </c>
      <c r="B91" s="276" t="s">
        <v>181</v>
      </c>
      <c r="C91" s="25">
        <f>Inputs!C93</f>
        <v>1</v>
      </c>
      <c r="D91" s="78"/>
      <c r="E91" s="2"/>
      <c r="V91" s="326">
        <f>V25/C152</f>
        <v>8189.354317</v>
      </c>
      <c r="X91" s="326">
        <f>258568*2*1.13/60*1.15*J9*J10</f>
        <v>21864.80466</v>
      </c>
    </row>
    <row r="92">
      <c r="A92" s="97"/>
      <c r="B92" s="276" t="s">
        <v>182</v>
      </c>
      <c r="C92" s="25">
        <f>Inputs!C94</f>
        <v>2</v>
      </c>
      <c r="D92" s="78"/>
      <c r="E92" s="2"/>
      <c r="V92" s="326">
        <f>69524/60*1.13*2*J9*J8*J10+44080*J9*J8*J10*2/60*0.7*1.13</f>
        <v>8999.307032</v>
      </c>
    </row>
    <row r="93">
      <c r="A93" s="97"/>
      <c r="B93" s="276" t="s">
        <v>184</v>
      </c>
      <c r="C93" s="25">
        <f>Inputs!C95</f>
        <v>0</v>
      </c>
      <c r="D93" s="78"/>
      <c r="X93" s="326">
        <f>1.13*1.21/60*(140745+93831*2)*1.15*J10</f>
        <v>11020.20898</v>
      </c>
    </row>
    <row r="94">
      <c r="A94" s="98"/>
      <c r="B94" s="276" t="s">
        <v>185</v>
      </c>
      <c r="C94" s="25">
        <f>Inputs!C96</f>
        <v>1</v>
      </c>
      <c r="D94" s="78"/>
      <c r="E94" s="2"/>
      <c r="V94" s="326">
        <f>64988*J8*J10/90*(0.85+0.15*C152)*1.31*5+2182/3*J10*J8*C152</f>
        <v>17491.82593</v>
      </c>
      <c r="X94" s="326">
        <f>(409961*J10*1.15-58027*5*(1-L5)*L10)/90*1.5-2396*J10*L10/3</f>
        <v>8154.273506</v>
      </c>
    </row>
    <row r="95">
      <c r="A95" s="329" t="s">
        <v>138</v>
      </c>
      <c r="B95" s="276" t="s">
        <v>186</v>
      </c>
      <c r="C95" s="25">
        <f>Inputs!C97</f>
        <v>0</v>
      </c>
      <c r="D95" s="78"/>
    </row>
    <row r="96">
      <c r="A96" s="97"/>
      <c r="B96" s="276" t="s">
        <v>187</v>
      </c>
      <c r="C96" s="25">
        <f>Inputs!C98</f>
        <v>1</v>
      </c>
      <c r="D96" s="78"/>
      <c r="U96" s="4" t="s">
        <v>368</v>
      </c>
    </row>
    <row r="97">
      <c r="A97" s="97"/>
      <c r="B97" s="276" t="s">
        <v>188</v>
      </c>
      <c r="C97" s="25">
        <f>Inputs!C99</f>
        <v>1</v>
      </c>
      <c r="D97" s="25">
        <f>Inputs!D99</f>
        <v>7</v>
      </c>
      <c r="E97" s="2"/>
      <c r="N97" s="328"/>
    </row>
    <row r="98">
      <c r="A98" s="97"/>
      <c r="B98" s="276" t="s">
        <v>189</v>
      </c>
      <c r="C98" s="25">
        <f>Inputs!C100</f>
        <v>1</v>
      </c>
      <c r="D98" s="78"/>
    </row>
    <row r="99">
      <c r="A99" s="97"/>
      <c r="B99" s="276" t="s">
        <v>190</v>
      </c>
      <c r="C99" s="25">
        <f>Inputs!C101</f>
        <v>1</v>
      </c>
      <c r="D99" s="78"/>
    </row>
    <row r="100">
      <c r="A100" s="97"/>
      <c r="B100" s="276" t="s">
        <v>191</v>
      </c>
      <c r="C100" s="25">
        <f>Inputs!C102</f>
        <v>0</v>
      </c>
      <c r="D100" s="25">
        <f>Inputs!D102</f>
        <v>0</v>
      </c>
      <c r="E100" s="2"/>
    </row>
    <row r="101">
      <c r="A101" s="98"/>
      <c r="B101" s="276" t="s">
        <v>193</v>
      </c>
      <c r="C101" s="25">
        <f>Inputs!C103</f>
        <v>0</v>
      </c>
      <c r="D101" s="25">
        <f>Inputs!D103</f>
        <v>10</v>
      </c>
    </row>
    <row r="102">
      <c r="A102" s="329" t="s">
        <v>144</v>
      </c>
      <c r="B102" s="276" t="s">
        <v>195</v>
      </c>
      <c r="C102" s="25">
        <f>Inputs!C104</f>
        <v>0</v>
      </c>
      <c r="D102" s="78"/>
      <c r="E102" s="2"/>
    </row>
    <row r="103">
      <c r="A103" s="97"/>
      <c r="B103" s="276" t="s">
        <v>196</v>
      </c>
      <c r="C103" s="25">
        <f>Inputs!C105</f>
        <v>1</v>
      </c>
      <c r="D103" s="25">
        <f>Inputs!D105</f>
        <v>0</v>
      </c>
      <c r="E103" s="2"/>
      <c r="Q103" s="326">
        <f>264000/1.1957</f>
        <v>220791.1684</v>
      </c>
    </row>
    <row r="104">
      <c r="A104" s="97"/>
      <c r="B104" s="276" t="s">
        <v>197</v>
      </c>
      <c r="C104" s="25">
        <f>Inputs!C106</f>
        <v>1</v>
      </c>
      <c r="D104" s="78"/>
    </row>
    <row r="105">
      <c r="A105" s="97"/>
      <c r="B105" s="276" t="s">
        <v>199</v>
      </c>
      <c r="C105" s="25">
        <f>Inputs!C107</f>
        <v>1</v>
      </c>
      <c r="D105" s="25">
        <f>Inputs!D107</f>
        <v>5</v>
      </c>
    </row>
    <row r="106">
      <c r="A106" s="97"/>
      <c r="B106" s="276" t="s">
        <v>201</v>
      </c>
      <c r="C106" s="25">
        <f>Inputs!C108</f>
        <v>1</v>
      </c>
      <c r="D106" s="78"/>
      <c r="E106" s="2"/>
    </row>
    <row r="107">
      <c r="A107" s="97"/>
      <c r="B107" s="276" t="s">
        <v>202</v>
      </c>
      <c r="C107" s="25">
        <f>Inputs!C109</f>
        <v>1</v>
      </c>
      <c r="D107" s="78"/>
    </row>
    <row r="108">
      <c r="A108" s="329" t="s">
        <v>152</v>
      </c>
      <c r="B108" s="276" t="s">
        <v>203</v>
      </c>
      <c r="C108" s="25">
        <f>Inputs!C110</f>
        <v>1</v>
      </c>
      <c r="D108" s="78"/>
    </row>
    <row r="109">
      <c r="A109" s="97"/>
      <c r="B109" s="276" t="s">
        <v>204</v>
      </c>
      <c r="C109" s="25">
        <f>Inputs!C111</f>
        <v>1</v>
      </c>
      <c r="D109" s="78"/>
      <c r="E109" s="2"/>
    </row>
    <row r="110">
      <c r="A110" s="97"/>
      <c r="B110" s="276" t="s">
        <v>205</v>
      </c>
      <c r="C110" s="25">
        <f>Inputs!C112</f>
        <v>1</v>
      </c>
      <c r="D110" s="78"/>
      <c r="E110" s="2"/>
    </row>
    <row r="111">
      <c r="A111" s="97"/>
      <c r="B111" s="276" t="s">
        <v>207</v>
      </c>
      <c r="C111" s="25">
        <f>Inputs!C113</f>
        <v>1</v>
      </c>
      <c r="D111" s="78"/>
      <c r="E111" s="2"/>
    </row>
    <row r="112">
      <c r="A112" s="97"/>
      <c r="B112" s="276" t="s">
        <v>208</v>
      </c>
      <c r="C112" s="25">
        <f>Inputs!C114</f>
        <v>0</v>
      </c>
      <c r="D112" s="78"/>
    </row>
    <row r="113">
      <c r="A113" s="329" t="s">
        <v>156</v>
      </c>
      <c r="B113" s="276" t="s">
        <v>209</v>
      </c>
      <c r="C113" s="25">
        <f>Inputs!C115</f>
        <v>0</v>
      </c>
      <c r="D113" s="78"/>
    </row>
    <row r="114">
      <c r="A114" s="97"/>
      <c r="B114" s="276" t="s">
        <v>211</v>
      </c>
      <c r="C114" s="25">
        <f>Inputs!C116</f>
        <v>0</v>
      </c>
      <c r="D114" s="78"/>
      <c r="E114" s="2"/>
    </row>
    <row r="115">
      <c r="A115" s="97"/>
      <c r="B115" s="276" t="s">
        <v>212</v>
      </c>
      <c r="C115" s="25">
        <f>Inputs!C117</f>
        <v>1</v>
      </c>
      <c r="D115" s="78"/>
    </row>
    <row r="116">
      <c r="A116" s="97"/>
      <c r="B116" s="276" t="s">
        <v>213</v>
      </c>
      <c r="C116" s="25">
        <f>Inputs!C118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0.04814081478</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0.004894802317</v>
      </c>
    </row>
    <row r="117">
      <c r="A117" s="97"/>
      <c r="B117" s="276" t="s">
        <v>214</v>
      </c>
      <c r="C117" s="25">
        <f>Inputs!C119</f>
        <v>1</v>
      </c>
      <c r="D117" s="25">
        <f>Inputs!D119</f>
        <v>0.8</v>
      </c>
    </row>
    <row r="118">
      <c r="A118" s="329" t="s">
        <v>162</v>
      </c>
      <c r="B118" s="276" t="s">
        <v>215</v>
      </c>
      <c r="C118" s="25">
        <f>Inputs!C120</f>
        <v>0</v>
      </c>
      <c r="D118" s="78"/>
    </row>
    <row r="119">
      <c r="A119" s="97"/>
      <c r="B119" s="276" t="s">
        <v>216</v>
      </c>
      <c r="C119" s="25">
        <f>Inputs!C121</f>
        <v>1</v>
      </c>
      <c r="D119" s="78"/>
    </row>
    <row r="120">
      <c r="A120" s="97"/>
      <c r="B120" s="276" t="s">
        <v>217</v>
      </c>
      <c r="C120" s="25">
        <f>Inputs!C122</f>
        <v>1</v>
      </c>
      <c r="D120" s="25">
        <f>Inputs!D122</f>
        <v>0.4</v>
      </c>
      <c r="E120" s="2"/>
    </row>
    <row r="121">
      <c r="A121" s="97"/>
      <c r="B121" s="276" t="s">
        <v>218</v>
      </c>
      <c r="C121" s="25">
        <f>Inputs!C123</f>
        <v>0</v>
      </c>
      <c r="D121" s="25">
        <f>Inputs!D123</f>
        <v>1</v>
      </c>
    </row>
    <row r="122">
      <c r="A122" s="97"/>
      <c r="B122" s="276" t="s">
        <v>219</v>
      </c>
      <c r="C122" s="25">
        <f>Inputs!C124</f>
        <v>1</v>
      </c>
      <c r="D122" s="78"/>
    </row>
    <row r="123">
      <c r="A123" s="329" t="s">
        <v>168</v>
      </c>
      <c r="B123" s="276" t="s">
        <v>220</v>
      </c>
      <c r="C123" s="25">
        <f>Inputs!C125</f>
        <v>0</v>
      </c>
      <c r="D123" s="78"/>
    </row>
    <row r="124">
      <c r="A124" s="97"/>
      <c r="B124" s="276" t="s">
        <v>221</v>
      </c>
      <c r="C124" s="25">
        <f>Inputs!C126</f>
        <v>1</v>
      </c>
      <c r="D124" s="78"/>
      <c r="E124" s="2"/>
    </row>
    <row r="125">
      <c r="A125" s="97"/>
      <c r="B125" s="276" t="s">
        <v>222</v>
      </c>
      <c r="C125" s="25">
        <f>Inputs!C127</f>
        <v>0</v>
      </c>
      <c r="D125" s="78"/>
    </row>
    <row r="126">
      <c r="A126" s="97"/>
      <c r="B126" s="276" t="s">
        <v>223</v>
      </c>
      <c r="C126" s="25">
        <f>Inputs!C128</f>
        <v>1</v>
      </c>
      <c r="D126" s="78"/>
      <c r="E126" s="2"/>
    </row>
    <row r="127">
      <c r="A127" s="329" t="s">
        <v>224</v>
      </c>
      <c r="B127" s="276" t="s">
        <v>225</v>
      </c>
      <c r="C127" s="25">
        <f>Inputs!C129</f>
        <v>4</v>
      </c>
      <c r="D127" s="78"/>
      <c r="E127" s="309">
        <f>T38*(8+C110*4)*(1+C110)+IF(C127&gt;3,1,0)*8*0.125*(T40+T43+T51+T57+T63)</f>
        <v>0.8266711512</v>
      </c>
      <c r="F127" s="309">
        <f>IF(C127=4,(1-(1-(1-(1-(T38*(8+C110*4)))*(1-IF(C127&gt;3,1,0)*(1-0.875^(8*(T40+T43-T46+MIN(($L$9+SUM(Z19:Z36,Z38:Z50)+SUM(Z52:Z76))/(-N51),MAX((1-SUM(U18:U24,U26:U41,U43:U50,U52:U76)+SUM(AA19:AA24,AA26:AA41,AA43:AA50,AA52:AA76)/O42*Q42)/Q51*(-O42/(O51-O42)),0))+2*T57+2*T63)))))))/(3+(2/(L13+0.3)-1+IF(C152=1,0.5,0))/C152),IF(C127&gt;0,1,0)*(1-(1-(T38*(8+C110*4))))/(3+(2/(L13+0.3)-1+IF(C152=1,0.5,0))/C152))</f>
        <v>0.1402974432</v>
      </c>
    </row>
    <row r="128">
      <c r="A128" s="2"/>
      <c r="B128" s="2"/>
      <c r="C128" s="2"/>
      <c r="D128" s="2"/>
      <c r="E128" s="2"/>
    </row>
    <row r="129">
      <c r="A129" s="2"/>
      <c r="B129" s="321" t="s">
        <v>229</v>
      </c>
      <c r="C129" s="2"/>
      <c r="D129" s="2"/>
      <c r="E129" s="2"/>
    </row>
    <row r="130">
      <c r="A130" s="2"/>
      <c r="B130" s="339" t="s">
        <v>231</v>
      </c>
      <c r="C130" s="25">
        <f>Inputs!C132</f>
        <v>0</v>
      </c>
      <c r="D130" s="264">
        <f>Inputs!D132</f>
        <v>0.6</v>
      </c>
      <c r="E130" s="2"/>
    </row>
    <row r="131">
      <c r="A131" s="2"/>
      <c r="B131" s="339" t="s">
        <v>233</v>
      </c>
      <c r="C131" s="25">
        <f>Inputs!C133</f>
        <v>1</v>
      </c>
      <c r="D131" s="264">
        <f>Inputs!D133</f>
        <v>0.85</v>
      </c>
      <c r="E131" s="2"/>
    </row>
    <row r="132">
      <c r="A132" s="2"/>
      <c r="B132" s="2"/>
      <c r="C132" s="2"/>
      <c r="D132" s="2"/>
      <c r="E132" s="2"/>
    </row>
    <row r="133">
      <c r="A133" s="2"/>
      <c r="B133" s="340" t="s">
        <v>234</v>
      </c>
      <c r="C133" s="341"/>
      <c r="D133" s="342" t="s">
        <v>235</v>
      </c>
      <c r="E133" s="342"/>
      <c r="G133" s="340" t="s">
        <v>355</v>
      </c>
      <c r="J133" s="340" t="s">
        <v>356</v>
      </c>
    </row>
    <row r="134">
      <c r="A134" s="2"/>
      <c r="B134" s="343" t="s">
        <v>236</v>
      </c>
      <c r="C134" s="150"/>
      <c r="D134" s="339" t="s">
        <v>237</v>
      </c>
      <c r="E134" s="150"/>
      <c r="G134" s="343" t="s">
        <v>357</v>
      </c>
      <c r="H134" s="311">
        <f>MIN(40,1+12*(2*(1+H8)*T25+T26+1/3*(2)*(1/(1-0.15*C107))+T35*2+T40*(11+2*C107)+T42*(2*C136)*(1+C136*H8)+T43+T38*2*(2*(1+H8))+T38*2*(2*(1+H8))+T62*(2*C136)*(1+C136*H8)+2*(2/12+(1+H8)/12)))</f>
        <v>40</v>
      </c>
      <c r="J134" s="343" t="s">
        <v>358</v>
      </c>
      <c r="K134" s="282">
        <f>C131*7*(1+2*T38*(8+C110*4))*D131</f>
        <v>7.522687225</v>
      </c>
    </row>
    <row r="135">
      <c r="A135" s="2"/>
      <c r="B135" s="343" t="s">
        <v>238</v>
      </c>
      <c r="C135" s="25">
        <f>Inputs!C137</f>
        <v>1</v>
      </c>
      <c r="D135" s="339" t="s">
        <v>239</v>
      </c>
      <c r="E135" s="150"/>
      <c r="G135" s="343" t="s">
        <v>359</v>
      </c>
      <c r="H135" s="312">
        <f>1+C130*(0.05*15+0.05*17*H8)*T75</f>
        <v>1</v>
      </c>
    </row>
    <row r="136">
      <c r="A136" s="2"/>
      <c r="B136" s="343" t="s">
        <v>240</v>
      </c>
      <c r="C136" s="25">
        <f>Inputs!C138</f>
        <v>1</v>
      </c>
      <c r="D136" s="339" t="s">
        <v>241</v>
      </c>
      <c r="E136" s="25">
        <f>Inputs!E138</f>
        <v>1</v>
      </c>
    </row>
    <row r="137">
      <c r="A137" s="2"/>
      <c r="B137" s="343" t="s">
        <v>242</v>
      </c>
      <c r="C137" s="25">
        <f>Inputs!C139</f>
        <v>0</v>
      </c>
      <c r="D137" s="339" t="s">
        <v>243</v>
      </c>
      <c r="E137" s="25">
        <f>Inputs!E139</f>
        <v>0</v>
      </c>
    </row>
    <row r="138">
      <c r="A138" s="2"/>
      <c r="B138" s="343" t="s">
        <v>244</v>
      </c>
      <c r="C138" s="25">
        <f>Inputs!C140</f>
        <v>1</v>
      </c>
      <c r="D138" s="339" t="s">
        <v>245</v>
      </c>
      <c r="E138" s="25">
        <f>Inputs!E140</f>
        <v>0</v>
      </c>
    </row>
    <row r="139">
      <c r="A139" s="2"/>
      <c r="B139" s="343" t="s">
        <v>246</v>
      </c>
      <c r="C139" s="150"/>
      <c r="D139" s="339" t="s">
        <v>247</v>
      </c>
      <c r="E139" s="25">
        <f>Inputs!E141</f>
        <v>1</v>
      </c>
    </row>
    <row r="140">
      <c r="A140" s="2"/>
      <c r="B140" s="2"/>
      <c r="C140" s="2"/>
      <c r="D140" s="339" t="s">
        <v>248</v>
      </c>
      <c r="E140" s="25">
        <f>Inputs!E142</f>
        <v>0</v>
      </c>
    </row>
    <row r="141">
      <c r="A141" s="2"/>
      <c r="B141" s="2"/>
      <c r="C141" s="2"/>
      <c r="D141" s="339" t="s">
        <v>249</v>
      </c>
      <c r="E141" s="25">
        <f>Inputs!E143</f>
        <v>1</v>
      </c>
    </row>
    <row r="142">
      <c r="A142" s="2"/>
      <c r="B142" s="2"/>
      <c r="C142" s="2"/>
      <c r="D142" s="2"/>
      <c r="E142" s="2"/>
    </row>
    <row r="143">
      <c r="A143" s="2"/>
      <c r="B143" s="294" t="s">
        <v>250</v>
      </c>
      <c r="C143" s="2"/>
      <c r="D143" s="2"/>
      <c r="E143" s="2"/>
    </row>
    <row r="144">
      <c r="A144" s="2"/>
      <c r="B144" s="281" t="s">
        <v>251</v>
      </c>
      <c r="C144" s="313">
        <f>Inputs!C146</f>
        <v>0.2</v>
      </c>
      <c r="D144" s="2"/>
      <c r="E144" s="2"/>
    </row>
    <row r="145">
      <c r="A145" s="2"/>
      <c r="B145" s="276" t="s">
        <v>252</v>
      </c>
      <c r="C145" s="25">
        <f>Inputs!C147</f>
        <v>400000</v>
      </c>
      <c r="D145" s="2"/>
      <c r="E145" s="2"/>
    </row>
    <row r="146">
      <c r="A146" s="2"/>
      <c r="B146" s="281" t="s">
        <v>254</v>
      </c>
      <c r="C146" s="313">
        <f>Inputs!C148</f>
        <v>0.2</v>
      </c>
      <c r="D146" s="2"/>
      <c r="E146" s="2"/>
    </row>
    <row r="147">
      <c r="A147" s="2"/>
      <c r="B147" s="281" t="s">
        <v>257</v>
      </c>
      <c r="C147" s="313">
        <f>Inputs!C149</f>
        <v>0</v>
      </c>
      <c r="D147" s="2"/>
      <c r="E147" s="2"/>
    </row>
    <row r="148">
      <c r="A148" s="2"/>
      <c r="B148" s="281" t="s">
        <v>258</v>
      </c>
      <c r="C148" s="313">
        <f>Inputs!C150</f>
        <v>0</v>
      </c>
      <c r="D148" s="2"/>
      <c r="E148" s="2"/>
    </row>
    <row r="149">
      <c r="A149" s="2"/>
      <c r="B149" s="281" t="s">
        <v>259</v>
      </c>
      <c r="C149" s="313">
        <f>Inputs!C151</f>
        <v>1</v>
      </c>
      <c r="D149" s="2"/>
      <c r="E149" s="2"/>
    </row>
    <row r="150">
      <c r="A150" s="2"/>
      <c r="B150" s="276" t="s">
        <v>260</v>
      </c>
      <c r="C150" s="313">
        <f>Inputs!C152</f>
        <v>0.4</v>
      </c>
      <c r="D150" s="2"/>
      <c r="E150" s="2"/>
    </row>
    <row r="151">
      <c r="A151" s="2"/>
      <c r="B151" s="276" t="s">
        <v>261</v>
      </c>
      <c r="C151" s="174">
        <f>Inputs!C153</f>
        <v>0.8</v>
      </c>
      <c r="D151" s="2"/>
      <c r="E151" s="2"/>
    </row>
    <row r="152">
      <c r="A152" s="2"/>
      <c r="B152" s="281" t="s">
        <v>262</v>
      </c>
      <c r="C152" s="25">
        <f>Inputs!C154</f>
        <v>5</v>
      </c>
      <c r="D152" s="2"/>
      <c r="E152" s="2"/>
      <c r="F152" s="2"/>
    </row>
    <row r="153">
      <c r="A153" s="2"/>
      <c r="B153" s="276" t="s">
        <v>263</v>
      </c>
      <c r="C153" s="25">
        <f>Inputs!C155</f>
        <v>90</v>
      </c>
      <c r="D153" s="2"/>
      <c r="E153" s="2"/>
      <c r="F153" s="2"/>
    </row>
    <row r="154">
      <c r="A154" s="2"/>
      <c r="B154" s="281" t="s">
        <v>265</v>
      </c>
      <c r="C154" s="174">
        <f>Inputs!C156</f>
        <v>3966.55</v>
      </c>
      <c r="D154" s="2"/>
      <c r="E154" s="2"/>
      <c r="F154" s="2"/>
    </row>
    <row r="155">
      <c r="A155" s="2"/>
      <c r="D155" s="2"/>
      <c r="E155" s="2"/>
      <c r="F155" s="2"/>
    </row>
    <row r="156">
      <c r="B156" s="344" t="s">
        <v>267</v>
      </c>
      <c r="C156" s="345" t="s">
        <v>268</v>
      </c>
      <c r="D156" s="2"/>
      <c r="E156" s="2"/>
      <c r="F156" s="2"/>
    </row>
    <row r="157">
      <c r="B157" s="346" t="s">
        <v>269</v>
      </c>
      <c r="C157" s="25">
        <f>Inputs!C159</f>
        <v>1</v>
      </c>
      <c r="D157" s="309">
        <f>C157*(0.025+0.1*T42)</f>
        <v>0.06513494365</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0.006610037601</v>
      </c>
      <c r="F157" s="2"/>
    </row>
    <row r="158">
      <c r="B158" s="346" t="s">
        <v>271</v>
      </c>
      <c r="C158" s="25">
        <f>Inputs!C160</f>
        <v>1</v>
      </c>
      <c r="D158" s="2"/>
      <c r="E158" s="2"/>
      <c r="F158" s="2"/>
      <c r="G158" s="2"/>
      <c r="H158" s="2"/>
    </row>
    <row r="159">
      <c r="D159" s="2"/>
      <c r="E159" s="2"/>
      <c r="F159" s="2"/>
      <c r="G159" s="2"/>
      <c r="H159" s="2"/>
    </row>
    <row r="160">
      <c r="B160" s="296" t="s">
        <v>274</v>
      </c>
      <c r="C160" s="2"/>
      <c r="D160" s="2"/>
      <c r="E160" s="2"/>
      <c r="F160" s="2"/>
      <c r="G160" s="2"/>
      <c r="H160" s="2"/>
    </row>
    <row r="161">
      <c r="B161" s="281" t="s">
        <v>275</v>
      </c>
      <c r="C161" s="347"/>
      <c r="D161" s="1"/>
      <c r="E161" s="1"/>
      <c r="F161" s="2"/>
      <c r="G161" s="2"/>
      <c r="H161" s="2"/>
    </row>
    <row r="162">
      <c r="B162" s="281" t="s">
        <v>276</v>
      </c>
      <c r="C162" s="173"/>
      <c r="D162" s="2"/>
      <c r="E162" s="1"/>
      <c r="F162" s="2"/>
      <c r="G162" s="2"/>
      <c r="H162" s="2"/>
    </row>
    <row r="163">
      <c r="B163" s="281" t="s">
        <v>361</v>
      </c>
      <c r="C163" s="315"/>
      <c r="D163" s="2"/>
      <c r="E163" s="2"/>
      <c r="F163" s="2"/>
      <c r="G163" s="2"/>
      <c r="H163" s="2"/>
    </row>
    <row r="164">
      <c r="B164" s="281" t="s">
        <v>362</v>
      </c>
      <c r="C164" s="235"/>
      <c r="D164" s="2"/>
      <c r="E164" s="2"/>
      <c r="G164" s="2"/>
      <c r="H164" s="2"/>
    </row>
    <row r="165">
      <c r="B165" s="281" t="s">
        <v>278</v>
      </c>
      <c r="C165" s="316"/>
      <c r="G165" s="2"/>
      <c r="H165" s="2"/>
    </row>
    <row r="166">
      <c r="B166" s="281" t="s">
        <v>280</v>
      </c>
      <c r="C166" s="27"/>
      <c r="G166" s="2"/>
      <c r="H166" s="2"/>
    </row>
    <row r="167">
      <c r="B167" s="281" t="s">
        <v>363</v>
      </c>
      <c r="C167" s="317"/>
      <c r="G167" s="2"/>
      <c r="H167" s="2"/>
    </row>
    <row r="168">
      <c r="B168" s="281" t="s">
        <v>364</v>
      </c>
      <c r="C168" s="236"/>
      <c r="D168" s="202"/>
      <c r="G168" s="2"/>
      <c r="H168" s="2"/>
    </row>
    <row r="169">
      <c r="B169" s="318"/>
      <c r="C169" s="202"/>
      <c r="D169" s="202"/>
      <c r="G169" s="2"/>
      <c r="H169" s="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row r="196">
      <c r="N196" s="4" t="s">
        <v>366</v>
      </c>
      <c r="O196" s="4">
        <v>3.0</v>
      </c>
      <c r="P196" s="326">
        <f>SUM(P167:Q167)</f>
        <v>0</v>
      </c>
    </row>
    <row r="197">
      <c r="O197" s="4">
        <v>4.0</v>
      </c>
      <c r="P197" s="326">
        <f>SUM(P167:Q167)</f>
        <v>0</v>
      </c>
    </row>
    <row r="198">
      <c r="O198" s="4">
        <v>5.0</v>
      </c>
      <c r="P198" s="326">
        <f>SUM(P167:Q167)</f>
        <v>0</v>
      </c>
    </row>
    <row r="199">
      <c r="O199" s="4">
        <v>6.0</v>
      </c>
      <c r="P199" s="326">
        <f>SUM(P167:X167)</f>
        <v>0</v>
      </c>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17.75"/>
    <col customWidth="1" min="9" max="9" width="23.25"/>
    <col customWidth="1" min="10" max="10" width="17.88"/>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2.5"/>
    <col customWidth="1" min="19" max="19" width="15.25"/>
    <col customWidth="1" min="20" max="20" width="15.88"/>
    <col customWidth="1" min="21" max="21" width="12.38"/>
    <col customWidth="1" min="22" max="22" width="11.75"/>
    <col customWidth="1" min="23" max="23" width="19.25"/>
    <col customWidth="1" min="24" max="24" width="19.13"/>
    <col customWidth="1" min="25" max="25" width="11.25"/>
    <col customWidth="1" min="26" max="26" width="15.0"/>
    <col customWidth="1" min="27" max="27" width="19.63"/>
    <col customWidth="1" min="28" max="28" width="19.13"/>
  </cols>
  <sheetData>
    <row r="2">
      <c r="B2" s="266" t="s">
        <v>372</v>
      </c>
    </row>
    <row r="4">
      <c r="B4" s="267" t="s">
        <v>1</v>
      </c>
      <c r="C4" s="268" t="s">
        <v>3</v>
      </c>
      <c r="D4" s="269" t="s">
        <v>5</v>
      </c>
      <c r="E4" s="269" t="s">
        <v>7</v>
      </c>
      <c r="G4" s="267" t="s">
        <v>9</v>
      </c>
      <c r="J4" s="229"/>
      <c r="N4" s="270" t="s">
        <v>10</v>
      </c>
    </row>
    <row r="5">
      <c r="B5" s="271" t="s">
        <v>12</v>
      </c>
      <c r="C5" s="231">
        <f>H5*(1+C21*0.05*(1+0.2*C63))</f>
        <v>3852</v>
      </c>
      <c r="D5" s="27"/>
      <c r="E5" s="27"/>
      <c r="G5" s="271" t="s">
        <v>21</v>
      </c>
      <c r="H5" s="277">
        <f>Baseline!H5</f>
        <v>3852</v>
      </c>
      <c r="I5" s="272" t="s">
        <v>31</v>
      </c>
      <c r="J5" s="49">
        <f>(C5*1.45+((J6*(1+E116)*(1+D157)*1.8)+IF(E28=3,1,0)*1.13*(1-exp(-1*$J$9*12/60))*($J$6*(1+E116)*(1+D157)*0.02*$J$10)))*(1+0.06*C75)</f>
        <v>12077.94396</v>
      </c>
      <c r="K5" s="272" t="s">
        <v>41</v>
      </c>
      <c r="L5" s="52">
        <f>(J5 / (J5 + C154))</f>
        <v>0.7527781176</v>
      </c>
      <c r="N5" s="273" t="s">
        <v>46</v>
      </c>
      <c r="O5" s="274" t="s">
        <v>47</v>
      </c>
      <c r="P5" s="274" t="s">
        <v>49</v>
      </c>
      <c r="Q5" s="275" t="s">
        <v>325</v>
      </c>
      <c r="R5" s="275" t="s">
        <v>53</v>
      </c>
      <c r="S5" s="275" t="s">
        <v>326</v>
      </c>
      <c r="T5" s="274" t="s">
        <v>56</v>
      </c>
      <c r="U5" s="275" t="s">
        <v>57</v>
      </c>
      <c r="V5" s="276" t="s">
        <v>59</v>
      </c>
      <c r="W5" s="269" t="s">
        <v>60</v>
      </c>
      <c r="X5" s="268" t="s">
        <v>63</v>
      </c>
    </row>
    <row r="6">
      <c r="B6" s="271" t="s">
        <v>36</v>
      </c>
      <c r="C6" s="231">
        <f>(H6+C34*33)*(1+C21*0.05*(1+0.2*C63))</f>
        <v>2672</v>
      </c>
      <c r="D6" s="27"/>
      <c r="E6" s="27"/>
      <c r="G6" s="271" t="s">
        <v>65</v>
      </c>
      <c r="H6" s="277">
        <f>Baseline!H6</f>
        <v>2672</v>
      </c>
      <c r="I6" s="271" t="s">
        <v>67</v>
      </c>
      <c r="J6" s="52">
        <f>(C6+E32*252*8/120+E34*50)*(1+B21*1.13*(1-exp(-3*J9*15/60))*0.15*(1+0.2*C63))*(1+0.03*C77*(1-(0.85)^(8*L9)))*(1+0.1*12*(1/S40)*C131*(1-IF(OR(D100=1,AND(C152&lt;4,C131=1)),0,1)*IF(D100=2,1-(1-(0.75)^((5+(H15/2))/H15))/(1+3*(1-(0.75)^((5+(H15/2))/H15))*C82),1)*IF(NOT(OR(OR(D100=1,AND(C152&lt;4,C131=1)),D100=2)),1-(1-(0.75)^((4+(H15/2))/H15)),1)))*(1+0.1*T69*8*IF(C152=1,1,0))</f>
        <v>2890.654188</v>
      </c>
      <c r="K6" s="271" t="s">
        <v>82</v>
      </c>
      <c r="L6" s="84">
        <f>(J6-622)/19130</f>
        <v>0.1185914369</v>
      </c>
      <c r="N6" s="276" t="s">
        <v>87</v>
      </c>
      <c r="O6" s="250">
        <f>Baseline!O6</f>
        <v>3608042.253</v>
      </c>
      <c r="P6" s="94">
        <f>(O6-E26*C152/2*C7*0.0003*30)*(1-$L$14)*(1-$L$5)*$L$10*(1-0.01*E32)*(1-0.2/C152*C74)*(1-C51*0.12/C152*1.13*(1-exp(-3*6/60*55/120)))*(1-$C$135*$C$130*$D$130*0.075)*(1-$C$131*E136*10/S40*0.08)*(1-F116)*(1-E157)*(1-IF(C127&gt;1,1)*0.06*E127)*(1-(0.04*10*(1/S40)*C100*(1-IF(OR(D100=1,AND(C152&lt;4,C131=1)),0,1)*IF(D100=2,1-(1-(0.75)^((5+(H15/2))/H15))/(1+3*(1-(0.75)^((5+(H15/2))/H15))*C82),1)*IF(NOT(OR(OR(D100=1,AND(C152&lt;4,C131=1)),D100=2)),1-(1-(0.75)^((4+(H15/2))/H15)),1))))*(1-C120*0.025)</f>
        <v>428388.0441</v>
      </c>
      <c r="Q6" s="99">
        <f>P6*(1-((1-(1-(T38*(8+C110*4)))*(1-IF(C127&gt;3,1,0)*(1-0.875^(8*(T40+T43+T51+T57+T63)))))*MIN(0.3/(1-$L$14),1)))</f>
        <v>328767.1233</v>
      </c>
      <c r="R6" s="94">
        <f>Q6*(1-($T$52*8)*(0.3+0.1*$E$139))</f>
        <v>320000</v>
      </c>
      <c r="S6" s="102">
        <f t="shared" ref="S6:S7" si="1">R6*(1-($T$70*8)*0.1)*(1-($T$26*8)*0.1)</f>
        <v>320000</v>
      </c>
      <c r="T6" s="94">
        <f t="shared" ref="T6:T9" si="2">S6</f>
        <v>320000</v>
      </c>
      <c r="U6" s="107"/>
      <c r="V6" s="27"/>
      <c r="W6" s="27"/>
      <c r="X6" s="27"/>
    </row>
    <row r="7">
      <c r="B7" s="271" t="s">
        <v>40</v>
      </c>
      <c r="C7" s="231">
        <f>(H7+C26*99)*(1+C21*0.05*(1+0.2*C63))*1.05*(1+0.2*C55)*(1.4)</f>
        <v>77197</v>
      </c>
      <c r="D7" s="27"/>
      <c r="E7" s="27"/>
      <c r="G7" s="271" t="s">
        <v>121</v>
      </c>
      <c r="H7" s="277">
        <f>Baseline!H7</f>
        <v>43762.47166</v>
      </c>
      <c r="I7" s="280" t="s">
        <v>124</v>
      </c>
      <c r="J7" s="109">
        <f>C7*20</f>
        <v>1543940</v>
      </c>
      <c r="K7" s="280" t="s">
        <v>127</v>
      </c>
      <c r="L7" s="111">
        <f>(J7+IF(E28=3,1,0)*1.13*(1-exp(-1*$J$9*12/60))*($J$6*1.3*$J$10))*(1+0.01*C97*(D97+2*C104))</f>
        <v>1682894.6</v>
      </c>
      <c r="N7" s="281" t="s">
        <v>131</v>
      </c>
      <c r="O7" s="250">
        <f>Baseline!O7</f>
        <v>0</v>
      </c>
      <c r="P7" s="94">
        <f>O7*$J$13*(1-$L$5)*$L$10*(1-0.01*E32)*(1-C51*0.12/C152*1.13*(1-exp(-3*6/60*55/120)))*(1-$C$135*$C$130*$D$130*0.075)*(1-$C$131*E136*10/S40*0.08)*(1-IF(C127&gt;1,1)*0.06*E127)*(1-(0.04*10*(1/S40)*C100*(1-IF(OR(D100=1,AND(C152&lt;4,C131=1)),0,1)*IF(D100=2,1-(1-(0.75)^((5+(H15/2))/H15))/(1+3*(1-(0.75)^((5+(H15/2))/H15))*C82),1)*IF(NOT(OR(OR(D100=1,AND(C152&lt;4,C131=1)),D100=2)),1-(1-(0.75)^((4+(H15/2))/H15)),1))))*(1-C120*0.025)</f>
        <v>0</v>
      </c>
      <c r="Q7" s="27"/>
      <c r="R7" s="94">
        <f t="shared" ref="R7:R9" si="3">P7*(1-($T$52*8)*(0.3+0.1*$E$139))</f>
        <v>0</v>
      </c>
      <c r="S7" s="102">
        <f t="shared" si="1"/>
        <v>0</v>
      </c>
      <c r="T7" s="94">
        <f t="shared" si="2"/>
        <v>0</v>
      </c>
      <c r="U7" s="107"/>
      <c r="V7" s="27"/>
      <c r="W7" s="27"/>
      <c r="X7" s="27"/>
    </row>
    <row r="8">
      <c r="B8" s="271" t="s">
        <v>44</v>
      </c>
      <c r="C8" s="25">
        <f>Inputs!C10</f>
        <v>778.5</v>
      </c>
      <c r="D8" s="282">
        <f>(C8+225*15/2/120*IF(1&lt;(IF(C8&gt;C9,1,0)+IF(C8&gt;C10,1,0)+IF(C8&gt;C11,1,0)),E27,0))*(1+0.02*C30)/(1+0.02*Baseline!C30)</f>
        <v>778.5</v>
      </c>
      <c r="E8" s="282">
        <f>IF(D8&lt;=1380,D8,IF(D8&lt;=1840,1380+0.9*(D8-1380),IF(D8&lt;=2300,1794+0.8*(D8-1840),IF(D8&lt;=2760,2162+0.7*(D8-2300),IF(D8&lt;=3680,2484+0.6*(D8-2760),IF(D8&lt;=9200,3036+0.5*(D8-3680),5796))))))</f>
        <v>778.5</v>
      </c>
      <c r="F8" s="4"/>
      <c r="G8" s="271" t="s">
        <v>159</v>
      </c>
      <c r="H8" s="118">
        <f>E8/4600+0.05+(C28+C32+C35)*0.01+IF(E28=4,1,0)*1.13*(1-exp(-1*$J$9*12/60))*0.04</f>
        <v>0.2192391304</v>
      </c>
      <c r="I8" s="271" t="s">
        <v>164</v>
      </c>
      <c r="J8" s="119">
        <f>1+H8*(1+2*0.02*(C26+C31))</f>
        <v>1.21923913</v>
      </c>
      <c r="K8" s="271" t="s">
        <v>167</v>
      </c>
      <c r="L8" s="84">
        <f>E8/5200/(1+0.02*C30)</f>
        <v>0.1497115385</v>
      </c>
      <c r="N8" s="276" t="s">
        <v>170</v>
      </c>
      <c r="O8" s="250">
        <f>Baseline!O8</f>
        <v>112528.835</v>
      </c>
      <c r="P8" s="94">
        <f>O8*$L$10*(1-C51*0.12/C152*1.13*(1-exp(-3*6/60*55/120)))*(1-$C$135*$C$130*$D$130*0.075)*(1-0.08*$C$80)*(1-IF(C127&gt;1,1)*0.06*E127)*(1-(0.04*10*(1/S40)*C100*(1-IF(OR(D100=1,AND(C152&lt;4,C131=1)),0,1)*IF(D100=2,1-(1-(0.75)^((5+(H15/2))/H15))/(1+3*(1-(0.75)^((5+(H15/2))/H15))*C82),1)*IF(NOT(OR(OR(D100=1,AND(C152&lt;4,C131=1)),D100=2)),1-(1-(0.75)^((4+(H15/2))/H15)),1))))*(1-C120*0.025)</f>
        <v>82191.78082</v>
      </c>
      <c r="Q8" s="27"/>
      <c r="R8" s="94">
        <f t="shared" si="3"/>
        <v>80000</v>
      </c>
      <c r="S8" s="102">
        <f t="shared" ref="S8:S9" si="4">R8*(1-($T$26*8)*0.1)</f>
        <v>80000</v>
      </c>
      <c r="T8" s="94">
        <f t="shared" si="2"/>
        <v>80000</v>
      </c>
      <c r="U8" s="94">
        <f>T8*(T20*(6+2*C67))*0.15</f>
        <v>0</v>
      </c>
      <c r="V8" s="99">
        <f>IF(T8-U8-$T$19*(($L$7*0.3*$J$10*(1+0.4*$C$68)*(1+0.15*$C$46)))&gt;0,$T$19*($L$7*0.3*$J$10*(1+0.4*$C$68)*(1+0.15*$C$46)),T8-U8)</f>
        <v>11765.66776</v>
      </c>
      <c r="W8" s="27"/>
      <c r="X8" s="27"/>
    </row>
    <row r="9">
      <c r="B9" s="271" t="s">
        <v>50</v>
      </c>
      <c r="C9" s="25">
        <f>Inputs!C11</f>
        <v>1053.5</v>
      </c>
      <c r="D9" s="282">
        <f>(C9+225*15/2/120*IF(1&lt;(IF(C9&gt;C8,1,0)+IF(C9&gt;C10,1,0)+IF(C9&gt;C11,1,0)),E27,0))*(1+0.02*C30)/(1+0.02*Baseline!C30)</f>
        <v>1053.5</v>
      </c>
      <c r="E9" s="282">
        <f>IF(D9&lt;=1320,D9,IF(D9&lt;=1760,1320+0.9*(D9-1320),IF(D9&lt;=2200,1716+0.8*(D9-1760),IF(D9&lt;=2640,2068+0.7*(D9-2200),IF(D9&lt;=3520,2376+0.6*(D9-2640),IF(D9&lt;=8800,2904+0.5*(D9-3520),5544))))))</f>
        <v>1053.5</v>
      </c>
      <c r="F9" s="4"/>
      <c r="G9" s="271" t="s">
        <v>192</v>
      </c>
      <c r="H9" s="118">
        <f>(1+(C29+C33)*0.01)*E9/4400+(C29+C33)*0.01</f>
        <v>0.2394318182</v>
      </c>
      <c r="I9" s="271" t="s">
        <v>194</v>
      </c>
      <c r="J9" s="132">
        <f>(1+H9)*(1+C27*0.15/18)*(1+0.1*C104)*(1+0.02*C49)*(1+0.01*K134)</f>
        <v>1.524574934</v>
      </c>
      <c r="K9" s="283" t="s">
        <v>198</v>
      </c>
      <c r="L9" s="133">
        <f>3/10*J9</f>
        <v>0.4573724803</v>
      </c>
      <c r="N9" s="284" t="s">
        <v>200</v>
      </c>
      <c r="O9" s="250">
        <f>Baseline!O9</f>
        <v>0</v>
      </c>
      <c r="P9" s="135">
        <f>O9*$J$13*$L$10*(1-C51*0.12/C152*1.13*(1-exp(-3*6/60*55/120)))*(1-$C$135*$C$130*$D$130*0.075)*(1-0.08*$C$80)*(1-IF(C127&gt;1,1)*0.06*E127)*(1-(0.04*10*(1/S40)*C100*(1-IF(OR(D100=1,AND(C152&lt;4,C131=1)),0,1)*IF(D100=2,1-(1-(0.75)^((5+(H15/2))/H15))/(1+3*(1-(0.75)^((5+(H15/2))/H15))*C82),1)*IF(NOT(OR(OR(D100=1,AND(C152&lt;4,C131=1)),D100=2)),1-(1-(0.75)^((4+(H15/2))/H15)),1))))*(1-C120*0.025)</f>
        <v>0</v>
      </c>
      <c r="Q9" s="136"/>
      <c r="R9" s="135">
        <f t="shared" si="3"/>
        <v>0</v>
      </c>
      <c r="S9" s="102">
        <f t="shared" si="4"/>
        <v>0</v>
      </c>
      <c r="T9" s="94">
        <f t="shared" si="2"/>
        <v>0</v>
      </c>
      <c r="U9" s="135">
        <f>T8*(T20*(6+2*C67))*0.15</f>
        <v>0</v>
      </c>
      <c r="V9" s="135">
        <f>IF(T8+T9-U8-U9-V8&gt;0,MIN($T$19*($L$7*0.3*$J$10*(1+0.4*$C$68)*(1+0.15*$C$46))-V8,T8+T9-U8-U9-V8),0)
</f>
        <v>0</v>
      </c>
      <c r="W9" s="136"/>
      <c r="X9" s="136"/>
    </row>
    <row r="10">
      <c r="B10" s="271" t="s">
        <v>55</v>
      </c>
      <c r="C10" s="25">
        <f>Inputs!C12</f>
        <v>1514.5</v>
      </c>
      <c r="D10" s="282">
        <f>(C10+65*E24+225*15/2/120*IF(1&lt;(IF(C10&gt;C8,1,0)+IF(C10&gt;C9,0)+IF(C10&gt;C11,1,0)),E27,0))*(1+0.02*C30)/(1+0.02*Baseline!C30)</f>
        <v>1514.5</v>
      </c>
      <c r="E10" s="282">
        <f>IF(D10&lt;=1620,D10,IF(D10&lt;=2160,1622+0.9*(D10-1620),IF(D10&lt;=2700,2106+0.8*(D10-2160),IF(D10&lt;=3240,2538+0.7*(D10-2700),IF(D10&lt;=4320,2916+0.6*(D10-3240),IF(D10&lt;=10800,3564+0.5*(D10-4320),6804))))))</f>
        <v>1514.5</v>
      </c>
      <c r="F10" s="4"/>
      <c r="G10" s="271" t="s">
        <v>210</v>
      </c>
      <c r="H10" s="118">
        <f>E10/5400+(E26+E33)*0.01</f>
        <v>0.280462963</v>
      </c>
      <c r="I10" s="281" t="s">
        <v>226</v>
      </c>
      <c r="J10" s="119">
        <f>1+H10</f>
        <v>1.280462963</v>
      </c>
      <c r="K10" s="281" t="s">
        <v>228</v>
      </c>
      <c r="L10" s="119">
        <f>1-H10/2</f>
        <v>0.8597685185</v>
      </c>
      <c r="N10" s="286" t="s">
        <v>230</v>
      </c>
      <c r="O10" s="140">
        <f t="shared" ref="O10:U10" si="5">SUM(O6:O9)</f>
        <v>3720571.088</v>
      </c>
      <c r="P10" s="140">
        <f t="shared" si="5"/>
        <v>510579.8249</v>
      </c>
      <c r="Q10" s="140">
        <f t="shared" si="5"/>
        <v>328767.1233</v>
      </c>
      <c r="R10" s="140">
        <f t="shared" si="5"/>
        <v>400000</v>
      </c>
      <c r="S10" s="140">
        <f t="shared" si="5"/>
        <v>400000</v>
      </c>
      <c r="T10" s="140">
        <f t="shared" si="5"/>
        <v>400000</v>
      </c>
      <c r="U10" s="140">
        <f t="shared" si="5"/>
        <v>0</v>
      </c>
      <c r="V10" s="140">
        <f>sum(V6:V9)</f>
        <v>11765.66776</v>
      </c>
      <c r="W10" s="140">
        <f>(Y77+C27*0.0011*L7*(1-C144))</f>
        <v>384646.8622</v>
      </c>
      <c r="X10" s="152">
        <f>(MAX((T10-U10-V10-W10),0)*(1-$T$76*(10+2*C92))+MAX((T10-U10-V10-W10*(1.3+0.05*C92)),0)*($T$76*(10+2*C92))/(1.3+0.05*C92))/IF(D100=2,(1+0.06*(1-T40*(1-(0.75)^((5+(H15/2))/H15))/(1+3*(1-(0.75)^((5+(H15/2))/H15))*C82)/(1-(0.75)^((5+(H15/2))/H15)))),(1+0.02*C49))</f>
        <v>1190.030612</v>
      </c>
    </row>
    <row r="11">
      <c r="B11" s="271" t="s">
        <v>62</v>
      </c>
      <c r="C11" s="25">
        <f>Inputs!C13</f>
        <v>479.5</v>
      </c>
      <c r="D11" s="282">
        <f>(C11+225*15/2/120*IF(1&lt;(IF(C11&gt;C8,1,0)+IF(C11&gt;C10,1,0)+IF(C11&gt;C9,1,0)),E27,0))*(1+0.02*C30)/(1+0.02*Baseline!C30)</f>
        <v>479.5</v>
      </c>
      <c r="E11" s="282">
        <f>IF(D11&lt;=1380,D11,IF(D11&lt;=1840,1380+0.9*(D11-1380),IF(D11&lt;=2300,1794+0.8*(D11-1840),IF(D11&lt;=2760,2162+0.7*(D11-2300),IF(D11&lt;=3680,2484+0.6*(D11-2760),IF(D11&lt;=9200,3036+0.5*(D11-3680),5796))))))</f>
        <v>479.5</v>
      </c>
      <c r="F11" s="4"/>
      <c r="G11" s="271" t="s">
        <v>232</v>
      </c>
      <c r="H11" s="118">
        <f>0.16+E11/2300+0.002*(C131*K134)</f>
        <v>0.3835236353</v>
      </c>
      <c r="I11" s="283" t="s">
        <v>253</v>
      </c>
      <c r="J11" s="119">
        <f t="shared" ref="J11:J12" si="6">H11</f>
        <v>0.3835236353</v>
      </c>
      <c r="K11" s="271" t="s">
        <v>255</v>
      </c>
      <c r="L11" s="52">
        <f>1+H11/2</f>
        <v>1.191761818</v>
      </c>
    </row>
    <row r="12">
      <c r="B12" s="281" t="s">
        <v>64</v>
      </c>
      <c r="C12" s="231">
        <f>Inputs!C14+10</f>
        <v>10</v>
      </c>
      <c r="D12" s="115">
        <f t="shared" ref="D12:D13" si="7">C12</f>
        <v>10</v>
      </c>
      <c r="E12" s="115">
        <f>IF(D12&lt;=690,D12,IF(D12&lt;=1035,690+0.8*(D12-690),IF(D12&lt;=1380,966+0.6*(D12-1035),1173+0.4*(D12-1380))))</f>
        <v>10</v>
      </c>
      <c r="F12" s="4"/>
      <c r="G12" s="271" t="s">
        <v>256</v>
      </c>
      <c r="H12" s="159">
        <f>E12/6900+C71*0.03+C131*E138*0.02</f>
        <v>0.03144927536</v>
      </c>
      <c r="I12" s="271" t="s">
        <v>264</v>
      </c>
      <c r="J12" s="119">
        <f t="shared" si="6"/>
        <v>0.03144927536</v>
      </c>
      <c r="K12" s="271" t="s">
        <v>266</v>
      </c>
      <c r="L12" s="119">
        <f>J12+C111*0.15*MIN(8*T42,1)+0.06*(10+2*$C$72)*T54*(1+C131*E138)</f>
        <v>0.1864492754</v>
      </c>
    </row>
    <row r="13">
      <c r="B13" s="281" t="s">
        <v>66</v>
      </c>
      <c r="C13" s="25">
        <f>Inputs!C15</f>
        <v>0</v>
      </c>
      <c r="D13" s="115">
        <f t="shared" si="7"/>
        <v>0</v>
      </c>
      <c r="E13" s="115">
        <f>IF(D13&lt;=368,D13,IF(D13&lt;=552,368+0.8*(D13-368),IF(D13&lt;=736,515.2+0.6*(D13-552),625.6+0.4*(D13-736))))</f>
        <v>0</v>
      </c>
      <c r="F13" s="4"/>
      <c r="G13" s="271" t="s">
        <v>270</v>
      </c>
      <c r="H13" s="159">
        <f>E13/3680+C70*0.03</f>
        <v>0</v>
      </c>
      <c r="I13" s="271" t="s">
        <v>272</v>
      </c>
      <c r="J13" s="119">
        <f>1-H13</f>
        <v>1</v>
      </c>
      <c r="K13" s="271" t="s">
        <v>273</v>
      </c>
      <c r="L13" s="84">
        <f>622/19130+0.03+(L6+L8)/((L6+L8)*1+1/0.94)+0.05*8*T28</f>
        <v>0.2639229608</v>
      </c>
      <c r="N13" s="290" t="s">
        <v>24</v>
      </c>
      <c r="V13" s="171"/>
    </row>
    <row r="14">
      <c r="B14" s="271" t="s">
        <v>68</v>
      </c>
      <c r="C14" s="174">
        <f>Inputs!C16</f>
        <v>151.4</v>
      </c>
      <c r="D14" s="27"/>
      <c r="E14" s="27"/>
      <c r="F14" s="4"/>
      <c r="G14" s="271" t="s">
        <v>277</v>
      </c>
      <c r="H14" s="159">
        <f>0.03+0.02*C32</f>
        <v>0.03</v>
      </c>
      <c r="I14" s="283" t="s">
        <v>279</v>
      </c>
      <c r="J14" s="133">
        <f>(1+E30*0.05*(1.13*(1-exp(-1*J9*15/60))))*(1+C57*0.06*(1-0.85^(5/(3/((1/(1-0.15*C107))*(1+C130))))))*(1+C117*0.05)*IF(D100=2,(1+0.06*C119*(1-T40*(1-(0.75)^((5+(H15/2))/H15))/(1+3*(1-(0.75)^((5+(H15/2))/H15))*C82)/(1-(0.75)^((5+(H15/2))/H15)))),(1+0.06*(14-5*C131*E137)*C119*(1/S40)))*(1+IF(C127&gt;2,2,IF(C127=2,1,0))*0.03*E127)</f>
        <v>1.187331929</v>
      </c>
      <c r="K14" s="283" t="s">
        <v>281</v>
      </c>
      <c r="L14" s="84">
        <f>MAX(L13-0.015*(C153-90),0)+MAX(H14-0.015*(C153-90),0)+MAX(0.03-0.015*(C153-90),0)</f>
        <v>0.3239229608</v>
      </c>
      <c r="N14" s="291" t="s">
        <v>71</v>
      </c>
      <c r="O14" s="291" t="s">
        <v>115</v>
      </c>
      <c r="P14" s="291" t="s">
        <v>150</v>
      </c>
      <c r="Q14" s="291" t="s">
        <v>282</v>
      </c>
      <c r="R14" s="291" t="s">
        <v>283</v>
      </c>
      <c r="S14" s="291" t="s">
        <v>284</v>
      </c>
    </row>
    <row r="15">
      <c r="B15" s="281" t="s">
        <v>69</v>
      </c>
      <c r="C15" s="174">
        <f>Inputs!C17</f>
        <v>3.6</v>
      </c>
      <c r="D15" s="27"/>
      <c r="E15" s="27"/>
      <c r="F15" s="4"/>
      <c r="G15" s="271" t="s">
        <v>285</v>
      </c>
      <c r="H15" s="178">
        <f>C15/(J9*(1+0.06*(3+1.5*C130*C136)*C59*D59))/((195.5+21.9*C152-0.673*C152^2)/195.5)</f>
        <v>1.378599312</v>
      </c>
      <c r="I15" s="291" t="s">
        <v>286</v>
      </c>
      <c r="J15" s="133">
        <f>(1+E30*0.05*(1.13*(1-exp(-1*J9*15/60))))*IF(D100=2,(1+0.06*C119*(1-T40*(1-(0.75)^((5+(H15/2))/H15))/(1+3*(1-(0.75)^((5+(H15/2))/H15))*C82)/(1-(0.75)^((5+(H15/2))/H15)))),(1+0.02*C49))*(1+C73*0.15*(5+2*C68)*(1/S19*C149*(1-C150)))*(1+0.01*E31)</f>
        <v>1.04</v>
      </c>
      <c r="K15" s="291" t="s">
        <v>288</v>
      </c>
      <c r="L15" s="133">
        <f>IF(C127=4,1/(2.5+(2/(1-(L14+0.3*(0.151+0.367*(J8)-0.0791*(J8)^2+0.0086*(J8)^3)))-1+IF(C152=1,0.5,0))/C152),1/(2.5+(2/(1-(L14+0.3*T38*(8+C110*4)))-1+IF(C152=1,0.5,0))/C152))</f>
        <v>0.3269240909</v>
      </c>
      <c r="N15" s="181">
        <f>IF(X10=0,"Self-Sufficient (+"&amp;Round(-((T10-U10-V10-W10)*(1-$T$76*(10+2*C92))+(T10-U10-V10-W10*(1.3+0.05*C92))*($T$76*(10+2*C92)))/O10%,2)&amp;"%)",($O$10-$X$10)/$O$10)</f>
        <v>0.9996801484</v>
      </c>
      <c r="O15" s="182">
        <f t="shared" ref="O15:P15" si="8">V77</f>
        <v>324430.9328</v>
      </c>
      <c r="P15" s="182">
        <f t="shared" si="8"/>
        <v>112067.4741</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9369364.527</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11517616.61</v>
      </c>
      <c r="S15" s="182">
        <f>$L$7*O10/T10*(0.7+0.3/(1-0.15*C79-0.05*IF(C79&gt;0,1,0)))*(1+($T$76*(10+2*C92))*0.3)</f>
        <v>21754755.47</v>
      </c>
    </row>
    <row r="17">
      <c r="A17" s="2"/>
      <c r="B17" s="294" t="s">
        <v>70</v>
      </c>
      <c r="C17" s="2"/>
      <c r="D17" s="2"/>
      <c r="E17" s="2"/>
      <c r="G17" s="296" t="s">
        <v>292</v>
      </c>
      <c r="H17" s="269" t="s">
        <v>255</v>
      </c>
      <c r="I17" s="268" t="s">
        <v>293</v>
      </c>
      <c r="J17" s="268" t="s">
        <v>294</v>
      </c>
      <c r="K17" s="269" t="s">
        <v>295</v>
      </c>
      <c r="L17" s="269" t="s">
        <v>296</v>
      </c>
      <c r="M17" s="268" t="s">
        <v>297</v>
      </c>
      <c r="N17" s="268" t="s">
        <v>298</v>
      </c>
      <c r="O17" s="268" t="s">
        <v>299</v>
      </c>
      <c r="P17" s="269" t="s">
        <v>300</v>
      </c>
      <c r="Q17" s="268" t="s">
        <v>301</v>
      </c>
      <c r="R17" s="268" t="s">
        <v>302</v>
      </c>
      <c r="S17" s="268" t="s">
        <v>303</v>
      </c>
      <c r="T17" s="268" t="s">
        <v>304</v>
      </c>
      <c r="U17" s="268" t="s">
        <v>305</v>
      </c>
      <c r="V17" s="269" t="s">
        <v>115</v>
      </c>
      <c r="W17" s="269" t="s">
        <v>150</v>
      </c>
      <c r="X17" s="268" t="s">
        <v>306</v>
      </c>
      <c r="Y17" s="269" t="s">
        <v>307</v>
      </c>
      <c r="Z17" s="268" t="s">
        <v>308</v>
      </c>
      <c r="AA17" s="268" t="s">
        <v>309</v>
      </c>
      <c r="AB17" s="269" t="s">
        <v>310</v>
      </c>
    </row>
    <row r="18">
      <c r="A18" s="2"/>
      <c r="B18" s="276" t="s">
        <v>72</v>
      </c>
      <c r="C18" s="276" t="s">
        <v>73</v>
      </c>
      <c r="D18" s="276" t="s">
        <v>74</v>
      </c>
      <c r="E18" s="276" t="s">
        <v>75</v>
      </c>
      <c r="G18" s="297" t="s">
        <v>195</v>
      </c>
      <c r="H18" s="194"/>
      <c r="I18" s="194"/>
      <c r="J18" s="194"/>
      <c r="K18" s="194"/>
      <c r="L18" s="194"/>
      <c r="M18" s="194"/>
      <c r="N18" s="194"/>
      <c r="O18" s="195"/>
      <c r="P18" s="194"/>
      <c r="Q18" s="196">
        <f>1.5/$J$9</f>
        <v>0.983880796</v>
      </c>
      <c r="R18" s="197">
        <v>120.0</v>
      </c>
      <c r="S18" s="198">
        <f>R18+$C$151</f>
        <v>120.8</v>
      </c>
      <c r="T18" s="196">
        <f>1/S18*C102*D102</f>
        <v>0</v>
      </c>
      <c r="U18" s="199">
        <f>T18*Q18</f>
        <v>0</v>
      </c>
      <c r="V18" s="194"/>
      <c r="W18" s="194"/>
      <c r="X18" s="194"/>
      <c r="Y18" s="194"/>
      <c r="Z18" s="194"/>
      <c r="AA18" s="195"/>
      <c r="AB18" s="194"/>
    </row>
    <row r="19">
      <c r="A19" s="2"/>
      <c r="B19" s="174" t="str">
        <f>Inputs!B21</f>
        <v/>
      </c>
      <c r="C19" s="174">
        <f>Inputs!C21</f>
        <v>1</v>
      </c>
      <c r="D19" s="79"/>
      <c r="E19" s="79"/>
      <c r="G19" s="281" t="s">
        <v>311</v>
      </c>
      <c r="H19" s="201"/>
      <c r="I19" s="194"/>
      <c r="J19" s="203"/>
      <c r="K19" s="195"/>
      <c r="L19" s="195"/>
      <c r="M19" s="195"/>
      <c r="N19" s="194"/>
      <c r="O19" s="196">
        <f>AA19/T19</f>
        <v>58.26106481</v>
      </c>
      <c r="P19" s="194"/>
      <c r="Q19" s="194"/>
      <c r="R19" s="197">
        <v>60.0</v>
      </c>
      <c r="S19" s="196">
        <f>(R19-20*C68+20*C81)</f>
        <v>40</v>
      </c>
      <c r="T19" s="196">
        <f>1/S19*C149*C150</f>
        <v>0.01</v>
      </c>
      <c r="U19" s="195"/>
      <c r="V19" s="195"/>
      <c r="W19" s="195"/>
      <c r="X19" s="195"/>
      <c r="Y19" s="194"/>
      <c r="Z19" s="194"/>
      <c r="AA19" s="196">
        <f>T19*$J$10*(1+0.4*$C$68)*(1+0.15*$C$46)*25</f>
        <v>0.5826106481</v>
      </c>
      <c r="AB19" s="194"/>
    </row>
    <row r="20">
      <c r="A20" s="2"/>
      <c r="B20" s="276" t="s">
        <v>76</v>
      </c>
      <c r="C20" s="276" t="s">
        <v>77</v>
      </c>
      <c r="D20" s="276" t="s">
        <v>78</v>
      </c>
      <c r="G20" s="276" t="s">
        <v>141</v>
      </c>
      <c r="H20" s="27"/>
      <c r="I20" s="194"/>
      <c r="J20" s="194"/>
      <c r="K20" s="194"/>
      <c r="L20" s="194"/>
      <c r="M20" s="194"/>
      <c r="N20" s="194"/>
      <c r="O20" s="194"/>
      <c r="P20" s="194"/>
      <c r="Q20" s="196">
        <f t="shared" ref="Q20:Q22" si="9">1.5/$J$9</f>
        <v>0.983880796</v>
      </c>
      <c r="R20" s="204">
        <v>240.0</v>
      </c>
      <c r="S20" s="205">
        <f>240-60*C67</f>
        <v>180</v>
      </c>
      <c r="T20" s="196">
        <f>1/S20*C61*D61</f>
        <v>0</v>
      </c>
      <c r="U20" s="199">
        <f t="shared" ref="U20:U22" si="10">T20*Q20</f>
        <v>0</v>
      </c>
      <c r="V20" s="194"/>
      <c r="W20" s="195"/>
      <c r="X20" s="195"/>
      <c r="Y20" s="194"/>
      <c r="Z20" s="194"/>
      <c r="AA20" s="194"/>
      <c r="AB20" s="194"/>
    </row>
    <row r="21">
      <c r="A21" s="2"/>
      <c r="B21" s="25" t="str">
        <f>Inputs!B23</f>
        <v/>
      </c>
      <c r="C21" s="25" t="str">
        <f>Inputs!C23</f>
        <v/>
      </c>
      <c r="D21" s="78"/>
      <c r="G21" s="276" t="s">
        <v>313</v>
      </c>
      <c r="H21" s="206">
        <v>1.5</v>
      </c>
      <c r="I21" s="194"/>
      <c r="J21" s="207">
        <f>($J$6*(1+$E$116)*(1+$D$157)+$C$14*6)*H21*$J$10*$L$11*(1+0.01*E25)</f>
        <v>9466.337868</v>
      </c>
      <c r="K21" s="196">
        <f>J21*$J$8*$C$152*$J$14*(1+0.08*C120*D120)
</f>
        <v>70711.93832</v>
      </c>
      <c r="L21" s="209">
        <f>K21/$C$152</f>
        <v>14142.38766</v>
      </c>
      <c r="M21" s="209">
        <f>K21*$L$12</f>
        <v>13184.18966</v>
      </c>
      <c r="N21" s="194"/>
      <c r="O21" s="194"/>
      <c r="P21" s="194"/>
      <c r="Q21" s="196">
        <f t="shared" si="9"/>
        <v>0.983880796</v>
      </c>
      <c r="R21" s="197">
        <v>180.0</v>
      </c>
      <c r="S21" s="198">
        <f t="shared" ref="S21:S22" si="11">R21+$C$151</f>
        <v>180.8</v>
      </c>
      <c r="T21" s="196">
        <f>1/S21*E25</f>
        <v>0</v>
      </c>
      <c r="U21" s="199">
        <f t="shared" si="10"/>
        <v>0</v>
      </c>
      <c r="V21" s="196">
        <f>T21*K21</f>
        <v>0</v>
      </c>
      <c r="W21" s="196">
        <f>T21*L21</f>
        <v>0</v>
      </c>
      <c r="X21" s="196">
        <f>T21*M21</f>
        <v>0</v>
      </c>
      <c r="Y21" s="196">
        <f>X21*(1-$C$144)</f>
        <v>0</v>
      </c>
      <c r="Z21" s="194"/>
      <c r="AA21" s="194"/>
      <c r="AB21" s="194"/>
    </row>
    <row r="22">
      <c r="A22" s="2"/>
      <c r="B22" s="2"/>
      <c r="E22" s="2"/>
      <c r="G22" s="281" t="s">
        <v>314</v>
      </c>
      <c r="H22" s="201"/>
      <c r="I22" s="194"/>
      <c r="J22" s="203"/>
      <c r="K22" s="195"/>
      <c r="L22" s="195"/>
      <c r="M22" s="195"/>
      <c r="N22" s="194"/>
      <c r="O22" s="211">
        <f>20</f>
        <v>20</v>
      </c>
      <c r="P22" s="194"/>
      <c r="Q22" s="196">
        <f t="shared" si="9"/>
        <v>0.983880796</v>
      </c>
      <c r="R22" s="197">
        <v>120.0</v>
      </c>
      <c r="S22" s="198">
        <f t="shared" si="11"/>
        <v>120.8</v>
      </c>
      <c r="T22" s="196">
        <f>1/S22*C28</f>
        <v>0</v>
      </c>
      <c r="U22" s="199">
        <f t="shared" si="10"/>
        <v>0</v>
      </c>
      <c r="V22" s="195"/>
      <c r="W22" s="195"/>
      <c r="X22" s="195"/>
      <c r="Y22" s="194"/>
      <c r="Z22" s="194"/>
      <c r="AA22" s="196">
        <f>T22*O22</f>
        <v>0</v>
      </c>
      <c r="AB22" s="194"/>
    </row>
    <row r="23">
      <c r="A23" s="2"/>
      <c r="B23" s="294" t="s">
        <v>79</v>
      </c>
      <c r="C23" s="2"/>
      <c r="D23" s="2"/>
      <c r="E23" s="2"/>
      <c r="G23" s="281" t="s">
        <v>315</v>
      </c>
      <c r="H23" s="212">
        <f>5*C15/12*1.25*1.2</f>
        <v>2.25</v>
      </c>
      <c r="I23" s="194"/>
      <c r="J23" s="207">
        <f>($J$6*(1+$E$116)*(1+$D$157)+169*15/120*$C$24+$C$14*6)*H23*$J$10*$L$11</f>
        <v>14199.5068</v>
      </c>
      <c r="K23" s="196">
        <f>J23*$J$8*0.7*$J$14*(1+0.08*C120*D120)
</f>
        <v>14849.50705</v>
      </c>
      <c r="L23" s="209">
        <f>K23</f>
        <v>14849.50705</v>
      </c>
      <c r="M23" s="209">
        <f>K23*$L$12</f>
        <v>2768.679829</v>
      </c>
      <c r="N23" s="215"/>
      <c r="O23" s="194"/>
      <c r="P23" s="194"/>
      <c r="Q23" s="195"/>
      <c r="R23" s="216">
        <f>C15</f>
        <v>3.6</v>
      </c>
      <c r="S23" s="209">
        <f>H15</f>
        <v>1.378599312</v>
      </c>
      <c r="T23" s="209">
        <f>1/S23</f>
        <v>0.7253739295</v>
      </c>
      <c r="U23" s="217"/>
      <c r="V23" s="196">
        <f t="shared" ref="V23:V24" si="12">T23*K23</f>
        <v>10771.44528</v>
      </c>
      <c r="W23" s="196">
        <f t="shared" ref="W23:W24" si="13">T23*L23</f>
        <v>10771.44528</v>
      </c>
      <c r="X23" s="196">
        <f t="shared" ref="X23:X24" si="14">T23*M23</f>
        <v>2008.328167</v>
      </c>
      <c r="Y23" s="196">
        <f t="shared" ref="Y23:Y29" si="15">X23*(1-$C$144)</f>
        <v>1606.662533</v>
      </c>
      <c r="Z23" s="194"/>
      <c r="AA23" s="194"/>
      <c r="AB23" s="194"/>
    </row>
    <row r="24">
      <c r="A24" s="2"/>
      <c r="B24" s="281" t="s">
        <v>80</v>
      </c>
      <c r="C24" s="25">
        <f>Inputs!C26</f>
        <v>0</v>
      </c>
      <c r="D24" s="308" t="s">
        <v>81</v>
      </c>
      <c r="E24" s="25">
        <f>Inputs!E26</f>
        <v>0</v>
      </c>
      <c r="G24" s="276" t="s">
        <v>316</v>
      </c>
      <c r="H24" s="218">
        <f>0.1115*1.4/6*1.36*1.075*15</f>
        <v>0.5705455</v>
      </c>
      <c r="I24" s="204">
        <v>1.15</v>
      </c>
      <c r="J24" s="219">
        <f>($J$6*(1+$E$116)*(1+$D$157)+169*15/120*$C$24+$C$14*6)*H24*$J$10*$L$11*I24*(1+0.01*C24)</f>
        <v>4140.748629</v>
      </c>
      <c r="K24" s="196">
        <f>(J24*$J$8*INT($J$9*10/1+1)*0.7*$J$14+J24*7.875*1.25*$J$8*$C$152/SQRT(MAX(1,$C$152/8))*$J$14)*(1+0.15*$C$152/SQRT(MAX(1,$C$152/8))*(1+$C$131*0.05*MIN(1,5/$C$152))*J10)</f>
        <v>727368.0093</v>
      </c>
      <c r="L24" s="196">
        <f>(J24*$J$8*INT($J$9*10/1+1)*0.7*$J$14+J24*7.875*1.25*$J$8/SQRT(MAX(1,$C$152/8))*$J$14)+(K24/(1+0.15*$C$152/SQRT(MAX(1,$C$152/8))*(1+$C$131*0.05*MIN(1,5/$C$152))*J10))*(0.15*1/SQRT(MAX(1,$C$152/8))*(1+$C$131*0.05)*J10)</f>
        <v>199182.7069</v>
      </c>
      <c r="M24" s="196">
        <f>K24/((1+$C$131*0.05*MIN(1,5/$C$152)))/$C$152</f>
        <v>138546.2875</v>
      </c>
      <c r="N24" s="194"/>
      <c r="O24" s="194"/>
      <c r="P24" s="194"/>
      <c r="Q24" s="195"/>
      <c r="R24" s="195"/>
      <c r="S24" s="196">
        <f>S38</f>
        <v>90.8</v>
      </c>
      <c r="T24" s="196">
        <f>1/S24*C131</f>
        <v>0.01101321586</v>
      </c>
      <c r="U24" s="222"/>
      <c r="V24" s="196">
        <f t="shared" si="12"/>
        <v>8010.660895</v>
      </c>
      <c r="W24" s="196">
        <f t="shared" si="13"/>
        <v>2193.642146</v>
      </c>
      <c r="X24" s="196">
        <f t="shared" si="14"/>
        <v>1525.840171</v>
      </c>
      <c r="Y24" s="196">
        <f t="shared" si="15"/>
        <v>1220.672136</v>
      </c>
      <c r="Z24" s="194"/>
      <c r="AA24" s="194"/>
      <c r="AB24" s="194"/>
    </row>
    <row r="25">
      <c r="A25" s="2"/>
      <c r="B25" s="281" t="s">
        <v>83</v>
      </c>
      <c r="C25" s="25">
        <f>Inputs!C27</f>
        <v>0</v>
      </c>
      <c r="D25" s="308" t="s">
        <v>84</v>
      </c>
      <c r="E25" s="25">
        <f>Inputs!E27</f>
        <v>0</v>
      </c>
      <c r="G25" s="281" t="s">
        <v>177</v>
      </c>
      <c r="H25" s="206">
        <f>1.4256*1.15</f>
        <v>1.63944</v>
      </c>
      <c r="I25" s="204">
        <v>1.15</v>
      </c>
      <c r="J25" s="207">
        <f>($J$6*(1+$E$116)*(1+$D$157)+169*15/120*$C$24+$C$14*6)*H25*$J$10*$L$11*I25*(1+0.01*$E$25)*(1+0.3*C130)</f>
        <v>11898.27793</v>
      </c>
      <c r="K25" s="196">
        <f>J25*$J$8*$C$152*$J$14*(1+C130*0.15*$B$19*(1+0.2*$C$63))*(1+$C$131*0.05*MIN(1,5/$C$152))*$H$135*(1+0.08*C120*D120)
</f>
        <v>93322.02403</v>
      </c>
      <c r="L25" s="209">
        <f t="shared" ref="L25:L26" si="16">K25/$C$152</f>
        <v>18664.40481</v>
      </c>
      <c r="M25" s="209">
        <f>K25*$L$12</f>
        <v>17399.82376</v>
      </c>
      <c r="N25" s="194"/>
      <c r="O25" s="194"/>
      <c r="P25" s="195"/>
      <c r="Q25" s="196">
        <f>1.5/$J$9</f>
        <v>0.983880796</v>
      </c>
      <c r="R25" s="197">
        <v>7.5</v>
      </c>
      <c r="S25" s="196">
        <f>1/((1/(R25/J9))+(C113/((R25/J9)/((1/(1-0.15*C107))/3*(1+C130)*(1-(1-H8)^C152)*0.25))))</f>
        <v>4.91940398</v>
      </c>
      <c r="T25" s="196">
        <f>MIN(1/S25,MAX((1-SUM(U19:U23,U29:U41,U43:U50,U52:U76)-($L$9+SUM(Z19:Z50,Z52:Z76))*Q51/(-N51)+(SUM(AA19:AA24,AA26:AA41,AA43:AA50,AA52:AA76)+(($L$9+SUM(Z19:Z50)+SUM(Z52:Z76))*O51/(-N51)))/O42*Q42)/Q25*(-O42/(O25-O42)),(1+C130)/24-T47*C130*0.5))</f>
        <v>0.04166666667</v>
      </c>
      <c r="U25" s="199">
        <f>T25*Q25</f>
        <v>0.04099503317</v>
      </c>
      <c r="V25" s="196">
        <f>(T25+C108*T51*(1-(1-0.15)*(1-0.15*MAX(4,C152-1)))*1.5)*K25</f>
        <v>40872.21588</v>
      </c>
      <c r="W25" s="196">
        <f>(T25+C108*T51*(1-(1-0.15)*(1-0.15*MAX(4,C152-1)))*1.5)*L25</f>
        <v>8174.443176</v>
      </c>
      <c r="X25" s="196">
        <f>(T25+C108*T51*0.15*1.5)*M25</f>
        <v>2292.175015</v>
      </c>
      <c r="Y25" s="196">
        <f t="shared" si="15"/>
        <v>1833.740012</v>
      </c>
      <c r="Z25" s="194"/>
      <c r="AA25" s="195"/>
      <c r="AB25" s="195"/>
    </row>
    <row r="26">
      <c r="A26" s="2"/>
      <c r="B26" s="281" t="s">
        <v>85</v>
      </c>
      <c r="C26" s="25">
        <f>Inputs!C28</f>
        <v>0</v>
      </c>
      <c r="D26" s="308" t="s">
        <v>86</v>
      </c>
      <c r="E26" s="25">
        <f>Inputs!E28</f>
        <v>0</v>
      </c>
      <c r="G26" s="276" t="s">
        <v>161</v>
      </c>
      <c r="H26" s="218">
        <v>1.2</v>
      </c>
      <c r="I26" s="204">
        <v>1.15</v>
      </c>
      <c r="J26" s="207">
        <f>($J$6*(1+$E$116)*(1+$D$157)+169*15/120*$C$24+$C$14*6)*H26*$J$10*$L$11*I26*(1+0.01*$E$25)</f>
        <v>8709.030839</v>
      </c>
      <c r="K26" s="196">
        <f>J26*$J$8*$C$152*$J$14*(1+$C$131*0.05*MIN(1,5/$C$152))*(1+0.08*C120*D120)
</f>
        <v>68307.73242</v>
      </c>
      <c r="L26" s="196">
        <f t="shared" si="16"/>
        <v>13661.54648</v>
      </c>
      <c r="M26" s="196">
        <f>K26*(1+$L$12)*1.25</f>
        <v>101304.5745</v>
      </c>
      <c r="N26" s="194"/>
      <c r="O26" s="194"/>
      <c r="P26" s="194"/>
      <c r="Q26" s="195"/>
      <c r="R26" s="204">
        <v>120.0</v>
      </c>
      <c r="S26" s="204">
        <v>120.0</v>
      </c>
      <c r="T26" s="196">
        <f>1/S26*C76</f>
        <v>0</v>
      </c>
      <c r="U26" s="222"/>
      <c r="V26" s="196">
        <f>T26*K26</f>
        <v>0</v>
      </c>
      <c r="W26" s="196">
        <f>T26*L26</f>
        <v>0</v>
      </c>
      <c r="X26" s="196">
        <f t="shared" ref="X26:X28" si="17">T26*M26</f>
        <v>0</v>
      </c>
      <c r="Y26" s="196">
        <f t="shared" si="15"/>
        <v>0</v>
      </c>
      <c r="Z26" s="195"/>
      <c r="AA26" s="195"/>
      <c r="AB26" s="194"/>
    </row>
    <row r="27">
      <c r="A27" s="2"/>
      <c r="B27" s="281" t="s">
        <v>88</v>
      </c>
      <c r="C27" s="25">
        <f>Inputs!C29</f>
        <v>0</v>
      </c>
      <c r="D27" s="308" t="s">
        <v>89</v>
      </c>
      <c r="E27" s="25">
        <f>Inputs!E29</f>
        <v>0</v>
      </c>
      <c r="G27" s="276" t="s">
        <v>208</v>
      </c>
      <c r="H27" s="224"/>
      <c r="I27" s="194"/>
      <c r="J27" s="194"/>
      <c r="K27" s="194"/>
      <c r="L27" s="194"/>
      <c r="M27" s="196">
        <f>V10/T19</f>
        <v>1176566.776</v>
      </c>
      <c r="N27" s="194"/>
      <c r="O27" s="194"/>
      <c r="P27" s="194"/>
      <c r="Q27" s="195"/>
      <c r="R27" s="194"/>
      <c r="S27" s="194"/>
      <c r="T27" s="196">
        <f>T19*C112</f>
        <v>0</v>
      </c>
      <c r="U27" s="222"/>
      <c r="V27" s="222"/>
      <c r="W27" s="222"/>
      <c r="X27" s="196">
        <f t="shared" si="17"/>
        <v>0</v>
      </c>
      <c r="Y27" s="196">
        <f t="shared" si="15"/>
        <v>0</v>
      </c>
      <c r="Z27" s="195"/>
      <c r="AA27" s="194"/>
      <c r="AB27" s="194"/>
    </row>
    <row r="28">
      <c r="A28" s="2"/>
      <c r="B28" s="281" t="s">
        <v>90</v>
      </c>
      <c r="C28" s="25">
        <f>Inputs!C30</f>
        <v>0</v>
      </c>
      <c r="D28" s="308" t="s">
        <v>91</v>
      </c>
      <c r="E28" s="25">
        <f>Inputs!E30</f>
        <v>0</v>
      </c>
      <c r="G28" s="276" t="s">
        <v>215</v>
      </c>
      <c r="H28" s="206">
        <v>0.64</v>
      </c>
      <c r="I28" s="204">
        <v>1.15</v>
      </c>
      <c r="J28" s="207">
        <f>($J$6*(1+$E$116)*(1+$D$157)+169*15/120*$C$24+$C$14*6)*H28*$J$10*$L$11*I28*(1+0.01*E25)</f>
        <v>4644.816447</v>
      </c>
      <c r="K28" s="196">
        <f>J28*$J$8*$C$152/SQRT(MAX(1,$C$152/8))*$J$14*9*(1+0.08*C120*D120)*(1+$C$131*0.05*MIN(1,5/$C$152))</f>
        <v>327877.1156</v>
      </c>
      <c r="L28" s="196">
        <f t="shared" ref="L28:L29" si="18">K28/$C$152</f>
        <v>65575.42312</v>
      </c>
      <c r="M28" s="209">
        <f>K28*$L$12</f>
        <v>61132.45062</v>
      </c>
      <c r="N28" s="194"/>
      <c r="O28" s="219">
        <f>MIN(C152,5)*2*9</f>
        <v>90</v>
      </c>
      <c r="P28" s="194"/>
      <c r="Q28" s="195"/>
      <c r="R28" s="194"/>
      <c r="S28" s="194"/>
      <c r="T28" s="196">
        <f>T38*C118</f>
        <v>0</v>
      </c>
      <c r="U28" s="222"/>
      <c r="V28" s="196">
        <f>T28*K28</f>
        <v>0</v>
      </c>
      <c r="W28" s="196">
        <f>T28*L28</f>
        <v>0</v>
      </c>
      <c r="X28" s="196">
        <f t="shared" si="17"/>
        <v>0</v>
      </c>
      <c r="Y28" s="196">
        <f t="shared" si="15"/>
        <v>0</v>
      </c>
      <c r="Z28" s="195"/>
      <c r="AA28" s="196">
        <f>T28*O28</f>
        <v>0</v>
      </c>
      <c r="AB28" s="194"/>
    </row>
    <row r="29">
      <c r="A29" s="2"/>
      <c r="B29" s="281" t="s">
        <v>92</v>
      </c>
      <c r="C29" s="25">
        <f>Inputs!C31</f>
        <v>0</v>
      </c>
      <c r="D29" s="308" t="s">
        <v>93</v>
      </c>
      <c r="E29" s="25">
        <f>Inputs!E31</f>
        <v>0</v>
      </c>
      <c r="G29" s="281" t="s">
        <v>321</v>
      </c>
      <c r="H29" s="237">
        <f>0.3348*24/3*(1/(1-0.15*C107))</f>
        <v>3.151058824</v>
      </c>
      <c r="I29" s="204">
        <v>1.15</v>
      </c>
      <c r="J29" s="207">
        <f>($J$6*(1+$E$116)*(1+$D$157)+169*15/120*$C$24+$C$14*6)*H29*$J$10*$L$11*I29*(1+0.01*E25)</f>
        <v>22868.89039</v>
      </c>
      <c r="K29" s="196">
        <f>J29*$J$8*$C$152*$J$14*(1+0.4*C117*D117)*(1+$C$131*0.05*MIN(1,5/$C$152))*(1+0.08*C120*D120)*(1+0.15*C131)/(1+0.05*C117)
</f>
        <v>259314.9799</v>
      </c>
      <c r="L29" s="196">
        <f t="shared" si="18"/>
        <v>51862.99599</v>
      </c>
      <c r="M29" s="196">
        <f>K29*(1+0.85*$C$107+$L$12)*1.25</f>
        <v>660102.2538</v>
      </c>
      <c r="N29" s="194"/>
      <c r="O29" s="194"/>
      <c r="P29" s="194"/>
      <c r="Q29" s="195"/>
      <c r="R29" s="194"/>
      <c r="S29" s="194"/>
      <c r="T29" s="195"/>
      <c r="U29" s="222"/>
      <c r="V29" s="196">
        <f>K29/24*(1+C130)</f>
        <v>10804.79083</v>
      </c>
      <c r="W29" s="196">
        <f>L29/24*(1+C130)</f>
        <v>2160.958166</v>
      </c>
      <c r="X29" s="196">
        <f>M29/24*(1+C130)</f>
        <v>27504.26057</v>
      </c>
      <c r="Y29" s="196">
        <f t="shared" si="15"/>
        <v>22003.40846</v>
      </c>
      <c r="Z29" s="195"/>
      <c r="AA29" s="195"/>
      <c r="AB29" s="194"/>
    </row>
    <row r="30">
      <c r="A30" s="2"/>
      <c r="B30" s="276" t="s">
        <v>94</v>
      </c>
      <c r="C30" s="25">
        <f>Inputs!C32</f>
        <v>0</v>
      </c>
      <c r="D30" s="276" t="s">
        <v>95</v>
      </c>
      <c r="E30" s="25">
        <f>Inputs!E32</f>
        <v>0</v>
      </c>
      <c r="G30" s="276" t="s">
        <v>327</v>
      </c>
      <c r="H30" s="224"/>
      <c r="I30" s="194"/>
      <c r="J30" s="194"/>
      <c r="K30" s="194"/>
      <c r="L30" s="194"/>
      <c r="M30" s="209">
        <f>MIN(J11*(MAX(5*0.2*T10*(1+0.05*C111),7/100*L7)*(1+0.15*C42))*$J$10*(1+0.15*C46)*(1+0.2*C115),(0.5+0.15*C114)*L7*MAX(1,T42/0.2)/(1+($T$76*(10+2*C92))*(0.3+0.05*C92)))</f>
        <v>370024.8434</v>
      </c>
      <c r="N30" s="194"/>
      <c r="O30" s="194"/>
      <c r="P30" s="194"/>
      <c r="Q30" s="194"/>
      <c r="R30" s="194"/>
      <c r="S30" s="194"/>
      <c r="T30" s="196">
        <f>T42</f>
        <v>0.4013494365</v>
      </c>
      <c r="U30" s="222"/>
      <c r="V30" s="222"/>
      <c r="W30" s="222"/>
      <c r="X30" s="196">
        <f>MIN(T30,0.2)*M30</f>
        <v>74004.96868</v>
      </c>
      <c r="Y30" s="196">
        <f t="shared" ref="Y30:Y33" si="19">X30</f>
        <v>74004.96868</v>
      </c>
      <c r="Z30" s="195"/>
      <c r="AA30" s="195"/>
      <c r="AB30" s="194"/>
    </row>
    <row r="31">
      <c r="A31" s="2"/>
      <c r="B31" s="276" t="s">
        <v>96</v>
      </c>
      <c r="C31" s="25">
        <f>Inputs!C33</f>
        <v>0</v>
      </c>
      <c r="D31" s="276" t="s">
        <v>97</v>
      </c>
      <c r="E31" s="25">
        <f>Inputs!E33</f>
        <v>0</v>
      </c>
      <c r="G31" s="276" t="s">
        <v>328</v>
      </c>
      <c r="H31" s="218">
        <v>9.0</v>
      </c>
      <c r="I31" s="194"/>
      <c r="J31" s="219">
        <f>($J$6*(1+$E$116)*(1+$D$157)+169*15/120*$C$24+$C$14*6)*H31*$J$10*$L$11*(1+0.01*E25)</f>
        <v>56798.02721</v>
      </c>
      <c r="K31" s="196">
        <f>J31*$J$8*(2*$C$152/3+1/3)*(1+$C$131*0.05*MIN(1,5.5/($C$152+0.5)))*$H$135
</f>
        <v>266613.9526</v>
      </c>
      <c r="L31" s="196">
        <f>K31/(2*$C$152/3+1/3)</f>
        <v>72712.89617</v>
      </c>
      <c r="M31" s="209">
        <f>K31*$L$12</f>
        <v>49709.97827</v>
      </c>
      <c r="N31" s="194"/>
      <c r="O31" s="194"/>
      <c r="P31" s="194"/>
      <c r="Q31" s="195"/>
      <c r="R31" s="195"/>
      <c r="S31" s="195"/>
      <c r="T31" s="196">
        <f>T42/10*C158</f>
        <v>0.04013494365</v>
      </c>
      <c r="U31" s="222"/>
      <c r="V31" s="196">
        <f t="shared" ref="V31:V33" si="20">T31*K31</f>
        <v>10700.53597</v>
      </c>
      <c r="W31" s="196">
        <f t="shared" ref="W31:W33" si="21">T31*L31</f>
        <v>2918.327991</v>
      </c>
      <c r="X31" s="196">
        <f t="shared" ref="X31:X33" si="22">T31*M31</f>
        <v>1995.107177</v>
      </c>
      <c r="Y31" s="196">
        <f t="shared" si="19"/>
        <v>1995.107177</v>
      </c>
      <c r="Z31" s="194"/>
      <c r="AA31" s="194"/>
      <c r="AB31" s="194"/>
    </row>
    <row r="32">
      <c r="A32" s="2"/>
      <c r="B32" s="276" t="s">
        <v>98</v>
      </c>
      <c r="C32" s="25">
        <f>Inputs!C34</f>
        <v>0</v>
      </c>
      <c r="D32" s="276" t="s">
        <v>99</v>
      </c>
      <c r="E32" s="25">
        <f>Inputs!E34</f>
        <v>0</v>
      </c>
      <c r="G32" s="281" t="s">
        <v>193</v>
      </c>
      <c r="H32" s="206">
        <f>0.235*1.4/6*1.075</f>
        <v>0.05894583333</v>
      </c>
      <c r="I32" s="204">
        <v>1.0</v>
      </c>
      <c r="J32" s="219">
        <f>($J$6*(1+$E$116)*(1+$D$157)+169*15/120*$C$24+$C$14*6)*H32*$J$10*$L$11*I32*(1+0.01*C24)</f>
        <v>372.0007828</v>
      </c>
      <c r="K32" s="196">
        <f>J32*$J$8*INT($J$9*D101/1.4+1)*0.7*$J$14</f>
        <v>4146.63318</v>
      </c>
      <c r="L32" s="196">
        <f>K32</f>
        <v>4146.63318</v>
      </c>
      <c r="M32" s="196">
        <f>L7*0.5*0.15</f>
        <v>126217.095</v>
      </c>
      <c r="N32" s="194"/>
      <c r="O32" s="194"/>
      <c r="P32" s="194"/>
      <c r="Q32" s="195"/>
      <c r="R32" s="197">
        <f>60/5</f>
        <v>12</v>
      </c>
      <c r="S32" s="196">
        <f>R32/1.13</f>
        <v>10.61946903</v>
      </c>
      <c r="T32" s="196">
        <f>1/S32*C101</f>
        <v>0</v>
      </c>
      <c r="U32" s="222"/>
      <c r="V32" s="196">
        <f t="shared" si="20"/>
        <v>0</v>
      </c>
      <c r="W32" s="196">
        <f t="shared" si="21"/>
        <v>0</v>
      </c>
      <c r="X32" s="196">
        <f t="shared" si="22"/>
        <v>0</v>
      </c>
      <c r="Y32" s="196">
        <f t="shared" si="19"/>
        <v>0</v>
      </c>
      <c r="Z32" s="194"/>
      <c r="AA32" s="194"/>
      <c r="AB32" s="194"/>
    </row>
    <row r="33">
      <c r="A33" s="2"/>
      <c r="B33" s="276" t="s">
        <v>100</v>
      </c>
      <c r="C33" s="25">
        <f>Inputs!C35</f>
        <v>0</v>
      </c>
      <c r="D33" s="276" t="s">
        <v>101</v>
      </c>
      <c r="E33" s="25">
        <f>Inputs!E35</f>
        <v>0</v>
      </c>
      <c r="G33" s="276" t="s">
        <v>211</v>
      </c>
      <c r="H33" s="218">
        <v>1.1</v>
      </c>
      <c r="I33" s="204">
        <v>1.15</v>
      </c>
      <c r="J33" s="207">
        <f>($J$6*(1+$E$116)*(1+$D$157)+169*15/120*$C$24+$C$14*6)*H33*$J$10*$L$11*I33*(1+0.01*$E$25)</f>
        <v>7983.278269</v>
      </c>
      <c r="K33" s="196">
        <f>J33*$J$8*$J$14*(1+$C$131*0.05*MIN(1,5/$C$152))*$H$135*(1+0.08*C127)
</f>
        <v>16017.89849</v>
      </c>
      <c r="L33" s="196">
        <f>K33/C$152</f>
        <v>3203.579699</v>
      </c>
      <c r="M33" s="209">
        <f>K33*$L$12</f>
        <v>2986.525567</v>
      </c>
      <c r="N33" s="194"/>
      <c r="O33" s="194"/>
      <c r="P33" s="194"/>
      <c r="Q33" s="203"/>
      <c r="R33" s="204">
        <v>0.5</v>
      </c>
      <c r="S33" s="196">
        <f>1/T42</f>
        <v>2.491594379</v>
      </c>
      <c r="T33" s="196">
        <f>1/S33*C114</f>
        <v>0</v>
      </c>
      <c r="U33" s="203"/>
      <c r="V33" s="196">
        <f t="shared" si="20"/>
        <v>0</v>
      </c>
      <c r="W33" s="196">
        <f t="shared" si="21"/>
        <v>0</v>
      </c>
      <c r="X33" s="196">
        <f t="shared" si="22"/>
        <v>0</v>
      </c>
      <c r="Y33" s="196">
        <f t="shared" si="19"/>
        <v>0</v>
      </c>
      <c r="Z33" s="194"/>
      <c r="AA33" s="194"/>
      <c r="AB33" s="194"/>
    </row>
    <row r="34">
      <c r="A34" s="2"/>
      <c r="B34" s="276" t="s">
        <v>102</v>
      </c>
      <c r="C34" s="25">
        <f>Inputs!C36</f>
        <v>0</v>
      </c>
      <c r="D34" s="276" t="s">
        <v>103</v>
      </c>
      <c r="E34" s="25">
        <f>Inputs!E36</f>
        <v>0</v>
      </c>
      <c r="G34" s="276" t="s">
        <v>329</v>
      </c>
      <c r="H34" s="252"/>
      <c r="I34" s="203"/>
      <c r="J34" s="203"/>
      <c r="K34" s="203"/>
      <c r="L34" s="203"/>
      <c r="M34" s="203"/>
      <c r="N34" s="194"/>
      <c r="O34" s="194"/>
      <c r="P34" s="194"/>
      <c r="Q34" s="203"/>
      <c r="R34" s="203"/>
      <c r="S34" s="203"/>
      <c r="T34" s="203"/>
      <c r="U34" s="203"/>
      <c r="V34" s="203"/>
      <c r="W34" s="203"/>
      <c r="X34" s="196">
        <f>T10*0.02*E33</f>
        <v>0</v>
      </c>
      <c r="Y34" s="196">
        <f t="shared" ref="Y34:Y36" si="23">X34*(1-$C$144)</f>
        <v>0</v>
      </c>
      <c r="Z34" s="194"/>
      <c r="AA34" s="194"/>
      <c r="AB34" s="194"/>
    </row>
    <row r="35">
      <c r="A35" s="2"/>
      <c r="B35" s="276" t="s">
        <v>104</v>
      </c>
      <c r="C35" s="25">
        <f>Inputs!C37</f>
        <v>0</v>
      </c>
      <c r="D35" s="276"/>
      <c r="E35" s="25" t="str">
        <f>Inputs!E37</f>
        <v/>
      </c>
      <c r="G35" s="281" t="s">
        <v>218</v>
      </c>
      <c r="H35" s="218">
        <f>4.8084*1.3</f>
        <v>6.25092</v>
      </c>
      <c r="I35" s="204">
        <v>1.15</v>
      </c>
      <c r="J35" s="207">
        <f>($J$6*(1+$E$116)*(1+$D$157)+169*15/120*$C$24+$C$14*6)*H35*$J$10*$L$11*I35*(1+0.01*$E$25)</f>
        <v>45366.21254</v>
      </c>
      <c r="K35" s="196">
        <f>J35*$J$8*$C$152/SQRT(MAX(1,$C$152/8))*$J$14*(1+$C$131*0.05*MIN(1,5/$C$152))*(1+0.08*C120*D120)+24/(1+C130)*V29*D121*0.25*(1+0.08*C120*D120)</f>
        <v>422725.0738</v>
      </c>
      <c r="L35" s="196">
        <f>K35/$C$152</f>
        <v>84545.01476</v>
      </c>
      <c r="M35" s="196">
        <f>K35*$L$12+24/(1+C130)*V29*D121*0.25*(1+0.08*C120*D120)*(1+0.5*$C$107+$L$12)*1.25+K35*C125*1.5*J11*J10*(1+0.15*C46)*(1+0.2*C115)/(1-$C$144)</f>
        <v>219852.9868</v>
      </c>
      <c r="N35" s="194"/>
      <c r="O35" s="194"/>
      <c r="P35" s="194"/>
      <c r="Q35" s="196">
        <f>(1+0.5*D121)/$J$9</f>
        <v>0.983880796</v>
      </c>
      <c r="R35" s="204">
        <v>45.0</v>
      </c>
      <c r="S35" s="198">
        <f>(R35/(1+$C$125*22.5*1.1/60*1.13*$J$9))+$C$151</f>
        <v>45.8</v>
      </c>
      <c r="T35" s="196">
        <f>1/S35*C121</f>
        <v>0</v>
      </c>
      <c r="U35" s="199">
        <f t="shared" ref="U35:U36" si="24">T35*Q35</f>
        <v>0</v>
      </c>
      <c r="V35" s="196">
        <f t="shared" ref="V35:V36" si="25">T35*K35</f>
        <v>0</v>
      </c>
      <c r="W35" s="196">
        <f t="shared" ref="W35:W36" si="26">T35*L35</f>
        <v>0</v>
      </c>
      <c r="X35" s="196">
        <f t="shared" ref="X35:X36" si="27">T35*M35</f>
        <v>0</v>
      </c>
      <c r="Y35" s="196">
        <f t="shared" si="23"/>
        <v>0</v>
      </c>
      <c r="Z35" s="194"/>
      <c r="AA35" s="194"/>
      <c r="AB35" s="194"/>
    </row>
    <row r="36">
      <c r="A36" s="2"/>
      <c r="B36" s="2"/>
      <c r="C36" s="2"/>
      <c r="D36" s="2"/>
      <c r="E36" s="2"/>
      <c r="G36" s="276" t="s">
        <v>330</v>
      </c>
      <c r="H36" s="253">
        <v>2.52</v>
      </c>
      <c r="I36" s="203"/>
      <c r="J36" s="207">
        <f>($J$6*(1+$E$116)*(1+$D$157)+$C$14*6)*H36*$J$10*$L$11</f>
        <v>15903.44762</v>
      </c>
      <c r="K36" s="196">
        <f>J36*$J$8*$J$14*(1+0.08*C120*D120)</f>
        <v>23759.21128</v>
      </c>
      <c r="L36" s="196">
        <f>K36</f>
        <v>23759.21128</v>
      </c>
      <c r="M36" s="194"/>
      <c r="N36" s="194"/>
      <c r="O36" s="194"/>
      <c r="P36" s="194"/>
      <c r="Q36" s="196">
        <f>1.5/$J$9</f>
        <v>0.983880796</v>
      </c>
      <c r="R36" s="197">
        <v>90.0</v>
      </c>
      <c r="S36" s="198">
        <f>R36+$C$151</f>
        <v>90.8</v>
      </c>
      <c r="T36" s="196">
        <f>1/S36*IF($E$29=1,1,0)</f>
        <v>0</v>
      </c>
      <c r="U36" s="199">
        <f t="shared" si="24"/>
        <v>0</v>
      </c>
      <c r="V36" s="196">
        <f t="shared" si="25"/>
        <v>0</v>
      </c>
      <c r="W36" s="196">
        <f t="shared" si="26"/>
        <v>0</v>
      </c>
      <c r="X36" s="196">
        <f t="shared" si="27"/>
        <v>0</v>
      </c>
      <c r="Y36" s="196">
        <f t="shared" si="23"/>
        <v>0</v>
      </c>
      <c r="Z36" s="194"/>
      <c r="AA36" s="194"/>
      <c r="AB36" s="194"/>
    </row>
    <row r="37">
      <c r="A37" s="2"/>
      <c r="B37" s="321" t="s">
        <v>105</v>
      </c>
      <c r="C37" s="283" t="s">
        <v>106</v>
      </c>
      <c r="D37" s="283" t="s">
        <v>107</v>
      </c>
      <c r="E37" s="2"/>
      <c r="G37" s="276" t="s">
        <v>331</v>
      </c>
      <c r="H37" s="254"/>
      <c r="I37" s="255"/>
      <c r="J37" s="255"/>
      <c r="K37" s="255"/>
      <c r="L37" s="255"/>
      <c r="M37" s="194"/>
      <c r="N37" s="204">
        <v>1.0</v>
      </c>
      <c r="O37" s="194"/>
      <c r="P37" s="255"/>
      <c r="Q37" s="255"/>
      <c r="R37" s="255"/>
      <c r="S37" s="255"/>
      <c r="T37" s="196">
        <f>F127</f>
        <v>0.1402974432</v>
      </c>
      <c r="U37" s="195"/>
      <c r="V37" s="195"/>
      <c r="W37" s="195"/>
      <c r="X37" s="195"/>
      <c r="Y37" s="194"/>
      <c r="Z37" s="196">
        <f>T37*N37</f>
        <v>0.1402974432</v>
      </c>
      <c r="AA37" s="194"/>
      <c r="AB37" s="194"/>
    </row>
    <row r="38">
      <c r="A38" s="322" t="s">
        <v>108</v>
      </c>
      <c r="B38" s="276" t="s">
        <v>109</v>
      </c>
      <c r="C38" s="25">
        <f>Inputs!C40</f>
        <v>1</v>
      </c>
      <c r="D38" s="78"/>
      <c r="E38" s="2"/>
      <c r="G38" s="281"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2066007.829</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641712.8202</v>
      </c>
      <c r="M38" s="194"/>
      <c r="N38" s="194"/>
      <c r="O38" s="194"/>
      <c r="P38" s="256">
        <f>D105*C105</f>
        <v>5</v>
      </c>
      <c r="Q38" s="196">
        <f>1.5/$J$9</f>
        <v>0.983880796</v>
      </c>
      <c r="R38" s="197">
        <v>120.0</v>
      </c>
      <c r="S38" s="196">
        <f>120-30*C105+$C$151</f>
        <v>90.8</v>
      </c>
      <c r="T38" s="196">
        <f>1/S38*C98*C149</f>
        <v>0.01101321586</v>
      </c>
      <c r="U38" s="199">
        <f>T38*Q38</f>
        <v>0.01083569159</v>
      </c>
      <c r="V38" s="196">
        <f t="shared" ref="V38:V40" si="28">T38*K38</f>
        <v>22753.39019</v>
      </c>
      <c r="W38" s="196">
        <f t="shared" ref="W38:W40" si="29">T38*L38</f>
        <v>7067.321808</v>
      </c>
      <c r="X38" s="195"/>
      <c r="Y38" s="194"/>
      <c r="Z38" s="194"/>
      <c r="AA38" s="194"/>
      <c r="AB38" s="196">
        <f>P38*T38</f>
        <v>0.0550660793</v>
      </c>
    </row>
    <row r="39">
      <c r="A39" s="97"/>
      <c r="B39" s="276" t="s">
        <v>110</v>
      </c>
      <c r="C39" s="25">
        <f>Inputs!C41</f>
        <v>1</v>
      </c>
      <c r="D39" s="78"/>
      <c r="E39" s="2"/>
      <c r="G39" s="276"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452787.6408</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179503.2611</v>
      </c>
      <c r="M39" s="194"/>
      <c r="N39" s="255"/>
      <c r="O39" s="255"/>
      <c r="P39" s="194"/>
      <c r="Q39" s="255"/>
      <c r="R39" s="255"/>
      <c r="S39" s="255">
        <f>IF(OR(D100=1,AND(C152&lt;4,C131=1)),MAX((10-5*C131*E137+H15*3.5+C151),12),0)+IF(NOT(OR(D100=1,AND(C152&lt;4,C131=1))),15-5*C131*E137-C82,0)</f>
        <v>14</v>
      </c>
      <c r="T39" s="196">
        <f>IF(C127&gt;3,1,0)*0.1*(T40+T43+T51+T57+T63)</f>
        <v>0.05623539705</v>
      </c>
      <c r="U39" s="195"/>
      <c r="V39" s="196">
        <f t="shared" si="28"/>
        <v>25462.69276</v>
      </c>
      <c r="W39" s="196">
        <f t="shared" si="29"/>
        <v>10094.43716</v>
      </c>
      <c r="X39" s="195"/>
      <c r="Y39" s="194"/>
      <c r="Z39" s="194"/>
      <c r="AA39" s="194"/>
      <c r="AB39" s="195"/>
    </row>
    <row r="40">
      <c r="A40" s="98"/>
      <c r="B40" s="276" t="s">
        <v>111</v>
      </c>
      <c r="C40" s="25">
        <f>Inputs!C42</f>
        <v>1</v>
      </c>
      <c r="D40" s="78"/>
      <c r="E40" s="2"/>
      <c r="G40" s="281" t="s">
        <v>333</v>
      </c>
      <c r="H40" s="237">
        <f>0.083*(11+2*C107)*1.3*1.25</f>
        <v>1.753375</v>
      </c>
      <c r="I40" s="204">
        <f>1.48*1.15</f>
        <v>1.702</v>
      </c>
      <c r="J40" s="207">
        <f>($J$6*(1+$E$116)*(1+$D$157)+169*15/120*$C$24+$C$14*6)*H40*$J$10*$L$11*I40*(1+0.01*E25)</f>
        <v>18833.2429</v>
      </c>
      <c r="K40" s="196">
        <f>J40*$J$8*$C$152*$J$14*(1+$C$131*0.05*MIN(1,5/$C$152))*(1+0.08*C120*D120)
</f>
        <v>147715.1867</v>
      </c>
      <c r="L40" s="196">
        <f>K40/$C$152</f>
        <v>29543.03735</v>
      </c>
      <c r="M40" s="196">
        <f>K40*$L$12+($J$6*(1+$E$116)*(1+$D$157)+4925*15/120*C24+$C$14*6)*0.375*(D97+2*C104)*$J$10*$J$8*$L$11*C94*(1-IF(OR(D100=1,AND(C152&lt;4,C131=1)),0,1)*IF(D100=2,1-(1-(0.75)^((5+(H15/2))/H15))/(1+3*(1-(0.75)^((5+(H15/2))/H15))*C82),1)*IF(NOT(OR(OR(D100=1,AND(C152&lt;4,C131=1)),D100=2)),1-(1-(0.75)^((4+(H15/2))/H15)),1))</f>
        <v>43749.7188</v>
      </c>
      <c r="N40" s="196">
        <f>-1*IF(OR(D100=1,AND(C152&lt;4,C131=1)),0,1)*IF(D100=2,1-(1-(0.75)^((5+(H15/2))/H15))/(1+3*(1-(0.75)^((5+(H15/2))/H15))*C82),1)*IF(NOT(OR(OR(D100=1,AND(C152&lt;4,C131=1)),D100=2)),1-(1-(0.75)^((4+(H15/2))/H15)),1)</f>
        <v>-0.3758559437</v>
      </c>
      <c r="O40" s="196">
        <f>10*IF(OR(D100=1,AND(C152&lt;4,C131=1)),C94,1)*IF(D100=2,IF(C94&gt;0,1,1-(1-(0.75)^((5+(H15/2))/H15))/(1+3*(1-(0.75)^((5+(H15/2))/H15))*C82)),1)*IF(NOT(OR(OR(D100=1,AND(C152&lt;4,C131=1)),D100=2)),IF(C94&gt;0,1,1-(1-(0.75)^((4+(H15/2))/H15))),1)</f>
        <v>10</v>
      </c>
      <c r="P40" s="194"/>
      <c r="Q40" s="196">
        <f>1.5/$J$9</f>
        <v>0.983880796</v>
      </c>
      <c r="R40" s="197">
        <v>15.0</v>
      </c>
      <c r="S40" s="196">
        <f>IF(OR(D100=1,AND(C152&lt;4,C131=1)),MAX((10-5*C131*E137+H15*3.5+C151),12),0)+IF(NOT(OR(D100=1,AND(C152&lt;4,C131=1))),15-5*C131*E137-C82,0)</f>
        <v>14</v>
      </c>
      <c r="T40" s="196">
        <f>1/S40</f>
        <v>0.07142857143</v>
      </c>
      <c r="U40" s="199">
        <f>T40*Q40</f>
        <v>0.07027719971</v>
      </c>
      <c r="V40" s="196">
        <f t="shared" si="28"/>
        <v>10551.08477</v>
      </c>
      <c r="W40" s="196">
        <f t="shared" si="29"/>
        <v>2110.216954</v>
      </c>
      <c r="X40" s="196">
        <f t="shared" ref="X40:X41" si="30">T40*M40</f>
        <v>3124.979914</v>
      </c>
      <c r="Y40" s="196">
        <f>X40*(1-$C$144)</f>
        <v>2499.983931</v>
      </c>
      <c r="Z40" s="196">
        <f>T40*N40</f>
        <v>-0.02684685312</v>
      </c>
      <c r="AA40" s="196">
        <f>T40*O40</f>
        <v>0.7142857143</v>
      </c>
      <c r="AB40" s="194"/>
    </row>
    <row r="41">
      <c r="A41" s="322" t="s">
        <v>112</v>
      </c>
      <c r="B41" s="276" t="s">
        <v>113</v>
      </c>
      <c r="C41" s="25">
        <f>Inputs!C43</f>
        <v>1</v>
      </c>
      <c r="D41" s="78"/>
      <c r="E41" s="2"/>
      <c r="G41" s="276" t="s">
        <v>135</v>
      </c>
      <c r="H41" s="254"/>
      <c r="I41" s="194"/>
      <c r="J41" s="194"/>
      <c r="K41" s="255"/>
      <c r="L41" s="255"/>
      <c r="M41" s="196">
        <f>$L$7*(0.2+0.1*C62)*$J$10</f>
        <v>430976.8412</v>
      </c>
      <c r="N41" s="194"/>
      <c r="O41" s="194"/>
      <c r="P41" s="194"/>
      <c r="Q41" s="194"/>
      <c r="R41" s="197">
        <v>120.0</v>
      </c>
      <c r="S41" s="198">
        <f>R41-30*C62+$C$151</f>
        <v>120.8</v>
      </c>
      <c r="T41" s="196">
        <f>1/S41*C56</f>
        <v>0</v>
      </c>
      <c r="U41" s="222"/>
      <c r="V41" s="222"/>
      <c r="W41" s="222"/>
      <c r="X41" s="196">
        <f t="shared" si="30"/>
        <v>0</v>
      </c>
      <c r="Y41" s="196">
        <f>X41</f>
        <v>0</v>
      </c>
      <c r="Z41" s="194"/>
      <c r="AA41" s="194"/>
      <c r="AB41" s="194"/>
    </row>
    <row r="42">
      <c r="A42" s="97"/>
      <c r="B42" s="276" t="s">
        <v>114</v>
      </c>
      <c r="C42" s="25">
        <f>Inputs!C44</f>
        <v>1</v>
      </c>
      <c r="D42" s="78"/>
      <c r="G42" s="323" t="s">
        <v>110</v>
      </c>
      <c r="H42" s="260">
        <f>1.5312*1.2*1.12</f>
        <v>2.0579328</v>
      </c>
      <c r="I42" s="204">
        <f>2.3</f>
        <v>2.3</v>
      </c>
      <c r="J42" s="207">
        <f>($J$6*(1+$E$116)*(1+$D$157)+169*15/120*$C$24+$C$14*6)*H42*$J$10*$L$11*I42*(1+0.12*C130)</f>
        <v>29871.00036</v>
      </c>
      <c r="K42" s="196">
        <f>J42*$J$8*0.7*(1+C99*0.08*MIN((T25+C108*T51*(1-(1-0.15)*(1-0.15*MAX(4,C152-1))))/T42*C152,5))*(1+0.6*C19*(1+0.2*C63))*$J$14*(1+0.08*C120)*(1+0.05*K134)*MAX((1+0.2*C63*C19),MIN((1+0.2*C63*C19)+C106*0.75*(C152-1),(1+0.2*C63*C19)+C106*1.5))</f>
        <v>272610.7645</v>
      </c>
      <c r="L42" s="196">
        <f>K42*(1+0.2*C63*C19)/MAX((1+0.2*C63*C19),MIN((1+0.2*C63*C19)+C106*0.75*(C152-1),(1+0.2*C63*C19)+C106*1.5))</f>
        <v>121160.3398</v>
      </c>
      <c r="M42" s="196">
        <f>K42*$L$12+MAX(5*0.2*T10*(1+0.05*C111),7/100*L7)*(1+C99*0.08*MIN((T25+C108*T51*(1-(1-0.15)*(1-0.15*MAX(4,C152-1))))/T42*C152,5))*$J$10*$J$15*(1+0.15*C42)</f>
        <v>890104.1481</v>
      </c>
      <c r="N42" s="194"/>
      <c r="O42" s="196">
        <f>(-45)+5*C91+IF(C42&gt;0,5,0)+10*8*T26</f>
        <v>-35</v>
      </c>
      <c r="P42" s="194"/>
      <c r="Q42" s="196">
        <f t="shared" ref="Q42:Q43" si="31">1.5/$J$9</f>
        <v>0.983880796</v>
      </c>
      <c r="R42" s="194"/>
      <c r="S42" s="194"/>
      <c r="T42" s="196">
        <f>-(SUM(AA19:AA41,AA43:AA76))/O42</f>
        <v>0.4013494365</v>
      </c>
      <c r="U42" s="199">
        <f t="shared" ref="U42:U43" si="32">T42*Q42</f>
        <v>0.3948800031</v>
      </c>
      <c r="V42" s="196">
        <f t="shared" ref="V42:V44" si="33">T42*K42</f>
        <v>109412.1767</v>
      </c>
      <c r="W42" s="196">
        <f t="shared" ref="W42:W44" si="34">T42*L42</f>
        <v>48627.6341</v>
      </c>
      <c r="X42" s="196">
        <f>MIN(T42,0.2)*M42</f>
        <v>178020.8296</v>
      </c>
      <c r="Y42" s="196">
        <f t="shared" ref="Y42:Y48" si="35">X42*(1-$C$144)</f>
        <v>142416.6637</v>
      </c>
      <c r="Z42" s="194"/>
      <c r="AA42" s="196">
        <f t="shared" ref="AA42:AA43" si="36">T42*O42</f>
        <v>-14.04723028</v>
      </c>
      <c r="AB42" s="194"/>
    </row>
    <row r="43">
      <c r="A43" s="98"/>
      <c r="B43" s="276" t="s">
        <v>116</v>
      </c>
      <c r="C43" s="25">
        <f>Inputs!C45</f>
        <v>1</v>
      </c>
      <c r="D43" s="78"/>
      <c r="E43" s="2"/>
      <c r="G43" s="281" t="s">
        <v>334</v>
      </c>
      <c r="H43" s="263">
        <f>0.4374</f>
        <v>0.4374</v>
      </c>
      <c r="I43" s="204">
        <v>1.15</v>
      </c>
      <c r="J43" s="207">
        <f>($J$6*(1+$E$116)*(1+$D$157)+169*15/120*$C$24+$C$14*6)*H43*$J$10*$L$11*I43*(1+0.01*E25)</f>
        <v>3174.441741</v>
      </c>
      <c r="K43" s="196">
        <f>J43*$J$8*$J$14*(1+$C$131*0.05)*(1+0.08*C120*D120)</f>
        <v>4979.633694</v>
      </c>
      <c r="L43" s="209">
        <f t="shared" ref="L43:L46" si="37">K43</f>
        <v>4979.633694</v>
      </c>
      <c r="M43" s="209">
        <f>K43*$L$12</f>
        <v>928.4490937</v>
      </c>
      <c r="N43" s="197">
        <v>-1.0</v>
      </c>
      <c r="O43" s="211">
        <v>10.0</v>
      </c>
      <c r="P43" s="204">
        <v>2.0</v>
      </c>
      <c r="Q43" s="196">
        <f t="shared" si="31"/>
        <v>0.983880796</v>
      </c>
      <c r="R43" s="204">
        <v>6.0</v>
      </c>
      <c r="S43" s="198">
        <f>IF(4*Q43&gt;=R43,4*Q43,(IF(5*Q43&gt;=R43,5*Q43,(IF(6*Q43&gt;=R43,6*Q43,(IF(7*Q43&gt;=R43,7*Q43,(8*Q43))))))))</f>
        <v>6.887165572</v>
      </c>
      <c r="T43" s="196">
        <f>MIN(1/S43,(L15-SUM(AB19:AB42)-SUM(AB44:AB56)-SUM(AB61:AB76))/2)*D87</f>
        <v>0</v>
      </c>
      <c r="U43" s="199">
        <f t="shared" si="32"/>
        <v>0</v>
      </c>
      <c r="V43" s="196">
        <f t="shared" si="33"/>
        <v>0</v>
      </c>
      <c r="W43" s="196">
        <f t="shared" si="34"/>
        <v>0</v>
      </c>
      <c r="X43" s="196">
        <f t="shared" ref="X43:X44" si="38">T43*M43</f>
        <v>0</v>
      </c>
      <c r="Y43" s="196">
        <f t="shared" si="35"/>
        <v>0</v>
      </c>
      <c r="Z43" s="196">
        <f>T43*N43</f>
        <v>0</v>
      </c>
      <c r="AA43" s="196">
        <f t="shared" si="36"/>
        <v>0</v>
      </c>
      <c r="AB43" s="196">
        <f>P43*T43</f>
        <v>0</v>
      </c>
    </row>
    <row r="44">
      <c r="A44" s="322" t="s">
        <v>117</v>
      </c>
      <c r="B44" s="276" t="s">
        <v>118</v>
      </c>
      <c r="C44" s="25">
        <f>Inputs!C46</f>
        <v>1</v>
      </c>
      <c r="D44" s="264">
        <f>Inputs!D46</f>
        <v>0</v>
      </c>
      <c r="G44" s="276" t="s">
        <v>335</v>
      </c>
      <c r="H44" s="263">
        <f>0.22</f>
        <v>0.22</v>
      </c>
      <c r="I44" s="255"/>
      <c r="J44" s="207">
        <f t="shared" ref="J44:J45" si="39">($J$6*(1+$E$116)*(1+$D$157)+$C$14*6)*H44*$J$10*$L$11</f>
        <v>1388.396221</v>
      </c>
      <c r="K44" s="196">
        <f>J44*$J$8*$J$14*(1+0.08*C120*D120)</f>
        <v>2074.216858</v>
      </c>
      <c r="L44" s="196">
        <f t="shared" si="37"/>
        <v>2074.216858</v>
      </c>
      <c r="M44" s="196">
        <f>K44*(1+$L$12)</f>
        <v>2460.953088</v>
      </c>
      <c r="N44" s="255"/>
      <c r="O44" s="255"/>
      <c r="P44" s="194"/>
      <c r="Q44" s="255"/>
      <c r="R44" s="197">
        <f>60/3</f>
        <v>20</v>
      </c>
      <c r="S44" s="196">
        <f>R44/1.13/$J$9</f>
        <v>11.60921293</v>
      </c>
      <c r="T44" s="196">
        <f>1/S44*IF($E$28=1,1,0)</f>
        <v>0</v>
      </c>
      <c r="U44" s="194"/>
      <c r="V44" s="196">
        <f t="shared" si="33"/>
        <v>0</v>
      </c>
      <c r="W44" s="196">
        <f t="shared" si="34"/>
        <v>0</v>
      </c>
      <c r="X44" s="196">
        <f t="shared" si="38"/>
        <v>0</v>
      </c>
      <c r="Y44" s="196">
        <f t="shared" si="35"/>
        <v>0</v>
      </c>
      <c r="Z44" s="194"/>
      <c r="AA44" s="194"/>
      <c r="AB44" s="194"/>
    </row>
    <row r="45">
      <c r="A45" s="97"/>
      <c r="B45" s="276" t="s">
        <v>119</v>
      </c>
      <c r="C45" s="25">
        <f>Inputs!C47</f>
        <v>1</v>
      </c>
      <c r="D45" s="78"/>
      <c r="G45" s="276" t="s">
        <v>336</v>
      </c>
      <c r="H45" s="253">
        <v>0.075</v>
      </c>
      <c r="I45" s="255"/>
      <c r="J45" s="207">
        <f t="shared" si="39"/>
        <v>473.3168934</v>
      </c>
      <c r="K45" s="209">
        <f>J45*$J$8*$J$14*(1+0.08*C120*D120)</f>
        <v>707.1193832</v>
      </c>
      <c r="L45" s="196">
        <f t="shared" si="37"/>
        <v>707.1193832</v>
      </c>
      <c r="M45" s="196">
        <f t="shared" ref="M45:M47" si="40">K45*$L$12</f>
        <v>131.8418966</v>
      </c>
      <c r="N45" s="255"/>
      <c r="O45" s="255"/>
      <c r="P45" s="194"/>
      <c r="Q45" s="255"/>
      <c r="R45" s="194"/>
      <c r="S45" s="194"/>
      <c r="T45" s="194"/>
      <c r="U45" s="194"/>
      <c r="V45" s="209">
        <f>IF(IF($E$28=2,1,0),1.13*(exp(6*12*J9/60)-1)*(1-(1-exp(-6*12*J9/60))^3)*K45/6,0)</f>
        <v>0</v>
      </c>
      <c r="W45" s="196">
        <f>V45</f>
        <v>0</v>
      </c>
      <c r="X45" s="196">
        <f>V45*$L$12</f>
        <v>0</v>
      </c>
      <c r="Y45" s="196">
        <f t="shared" si="35"/>
        <v>0</v>
      </c>
      <c r="Z45" s="194"/>
      <c r="AA45" s="194"/>
      <c r="AB45" s="194"/>
    </row>
    <row r="46">
      <c r="A46" s="97"/>
      <c r="B46" s="276" t="s">
        <v>120</v>
      </c>
      <c r="C46" s="25">
        <f>Inputs!C48</f>
        <v>2</v>
      </c>
      <c r="D46" s="78"/>
      <c r="G46" s="276" t="s">
        <v>337</v>
      </c>
      <c r="H46" s="253">
        <f>7.1545*1.2*1.2</f>
        <v>10.30248</v>
      </c>
      <c r="I46" s="204">
        <v>1.15</v>
      </c>
      <c r="J46" s="207">
        <f t="shared" ref="J46:J47" si="41">($J$6*(1+$E$116)*(1+$D$157)+169*15/120*$C$24+$C$14*6)*H46*$J$10*$L$11*I46*(1+0.01*$E$25)</f>
        <v>74770.51336</v>
      </c>
      <c r="K46" s="196">
        <f>J46*$J$8*$J$14*(1+C130*0.15*$B$19*(1+0.2*$C$63))*$H$135*(1+0.08*C120*D120)
</f>
        <v>111704.6107</v>
      </c>
      <c r="L46" s="196">
        <f t="shared" si="37"/>
        <v>111704.6107</v>
      </c>
      <c r="M46" s="196">
        <f t="shared" si="40"/>
        <v>20827.24371</v>
      </c>
      <c r="N46" s="194"/>
      <c r="O46" s="194"/>
      <c r="P46" s="194"/>
      <c r="Q46" s="194"/>
      <c r="R46" s="194"/>
      <c r="S46" s="194"/>
      <c r="T46" s="196">
        <f>T64*(3-C137)+T38</f>
        <v>0.01101321586</v>
      </c>
      <c r="U46" s="194"/>
      <c r="V46" s="196">
        <f t="shared" ref="V46:V47" si="42">T46*K46</f>
        <v>1230.22699</v>
      </c>
      <c r="W46" s="196">
        <f t="shared" ref="W46:W47" si="43">T46*L46</f>
        <v>1230.22699</v>
      </c>
      <c r="X46" s="196">
        <f t="shared" ref="X46:X48" si="44">T46*M46</f>
        <v>229.3749307</v>
      </c>
      <c r="Y46" s="196">
        <f t="shared" si="35"/>
        <v>183.4999446</v>
      </c>
      <c r="Z46" s="194"/>
      <c r="AA46" s="194"/>
      <c r="AB46" s="194"/>
    </row>
    <row r="47">
      <c r="A47" s="97"/>
      <c r="B47" s="276" t="s">
        <v>122</v>
      </c>
      <c r="C47" s="25">
        <f>Inputs!C49</f>
        <v>0</v>
      </c>
      <c r="D47" s="78"/>
      <c r="G47" s="276" t="s">
        <v>338</v>
      </c>
      <c r="H47" s="253">
        <f>3.91*1.2</f>
        <v>4.692</v>
      </c>
      <c r="I47" s="204">
        <v>1.15</v>
      </c>
      <c r="J47" s="207">
        <f t="shared" si="41"/>
        <v>34052.31058</v>
      </c>
      <c r="K47" s="196">
        <f>J47*$J$8*$C$152/SQRT(MAX(1,$C$152/8))*$J$14*(1+C130*0.15*$B$19*(1+0.2*$C$63))*$H$135*(1+0.08*C120*D120)
</f>
        <v>254364.9845</v>
      </c>
      <c r="L47" s="209">
        <f>K47/$C$152</f>
        <v>50872.99691</v>
      </c>
      <c r="M47" s="209">
        <f t="shared" si="40"/>
        <v>47426.16705</v>
      </c>
      <c r="N47" s="194"/>
      <c r="O47" s="194"/>
      <c r="P47" s="194"/>
      <c r="Q47" s="194"/>
      <c r="R47" s="194"/>
      <c r="S47" s="194"/>
      <c r="T47" s="196">
        <f>T64*(3-C137)+T38</f>
        <v>0.01101321586</v>
      </c>
      <c r="U47" s="194"/>
      <c r="V47" s="196">
        <f t="shared" si="42"/>
        <v>2801.376482</v>
      </c>
      <c r="W47" s="196">
        <f t="shared" si="43"/>
        <v>560.2752963</v>
      </c>
      <c r="X47" s="196">
        <f t="shared" si="44"/>
        <v>522.314615</v>
      </c>
      <c r="Y47" s="196">
        <f t="shared" si="35"/>
        <v>417.851692</v>
      </c>
      <c r="Z47" s="194"/>
      <c r="AA47" s="194"/>
      <c r="AB47" s="194"/>
    </row>
    <row r="48">
      <c r="A48" s="97"/>
      <c r="B48" s="276" t="s">
        <v>123</v>
      </c>
      <c r="C48" s="25">
        <f>Inputs!C50</f>
        <v>0</v>
      </c>
      <c r="D48" s="78"/>
      <c r="G48" s="276" t="s">
        <v>339</v>
      </c>
      <c r="H48" s="252"/>
      <c r="I48" s="203"/>
      <c r="J48" s="203"/>
      <c r="K48" s="255"/>
      <c r="L48" s="203"/>
      <c r="M48" s="196">
        <f>L7*0.2</f>
        <v>336578.92</v>
      </c>
      <c r="N48" s="194"/>
      <c r="O48" s="194"/>
      <c r="P48" s="194"/>
      <c r="Q48" s="194"/>
      <c r="R48" s="204">
        <v>120.0</v>
      </c>
      <c r="S48" s="198">
        <f t="shared" ref="S48:S50" si="45">R48+$C$151</f>
        <v>120.8</v>
      </c>
      <c r="T48" s="196">
        <f>1/S48*C34</f>
        <v>0</v>
      </c>
      <c r="U48" s="194"/>
      <c r="V48" s="194"/>
      <c r="W48" s="194"/>
      <c r="X48" s="196">
        <f t="shared" si="44"/>
        <v>0</v>
      </c>
      <c r="Y48" s="196">
        <f t="shared" si="35"/>
        <v>0</v>
      </c>
      <c r="Z48" s="194"/>
      <c r="AA48" s="194"/>
      <c r="AB48" s="194"/>
    </row>
    <row r="49">
      <c r="A49" s="97"/>
      <c r="B49" s="276" t="s">
        <v>125</v>
      </c>
      <c r="C49" s="25">
        <f>Inputs!C51</f>
        <v>2</v>
      </c>
      <c r="D49" s="78"/>
      <c r="G49" s="276" t="s">
        <v>196</v>
      </c>
      <c r="H49" s="252"/>
      <c r="I49" s="203"/>
      <c r="J49" s="203"/>
      <c r="K49" s="255"/>
      <c r="L49" s="203"/>
      <c r="M49" s="203"/>
      <c r="N49" s="194"/>
      <c r="O49" s="194"/>
      <c r="P49" s="256">
        <f>MIN(C90*C152,6)</f>
        <v>5</v>
      </c>
      <c r="Q49" s="196">
        <f t="shared" ref="Q49:Q51" si="46">1.5/$J$9</f>
        <v>0.983880796</v>
      </c>
      <c r="R49" s="204">
        <v>90.0</v>
      </c>
      <c r="S49" s="198">
        <f t="shared" si="45"/>
        <v>90.8</v>
      </c>
      <c r="T49" s="196">
        <f>1/S49*C103*D103</f>
        <v>0</v>
      </c>
      <c r="U49" s="199">
        <f t="shared" ref="U49:U51" si="47">T49*Q49</f>
        <v>0</v>
      </c>
      <c r="V49" s="194"/>
      <c r="W49" s="194"/>
      <c r="X49" s="194"/>
      <c r="Y49" s="194"/>
      <c r="Z49" s="194"/>
      <c r="AA49" s="194"/>
      <c r="AB49" s="196">
        <f>P49*T49</f>
        <v>0</v>
      </c>
    </row>
    <row r="50">
      <c r="A50" s="97"/>
      <c r="B50" s="276" t="s">
        <v>126</v>
      </c>
      <c r="C50" s="25">
        <f>Inputs!C52</f>
        <v>0</v>
      </c>
      <c r="D50" s="78"/>
      <c r="G50" s="276" t="s">
        <v>340</v>
      </c>
      <c r="H50" s="253">
        <v>3.78</v>
      </c>
      <c r="I50" s="203"/>
      <c r="J50" s="207">
        <f>($J$6*(1+$E$116)*(1+$D$157)+$C$14*6)*H50*$J$10*$L$11</f>
        <v>23855.17143</v>
      </c>
      <c r="K50" s="255"/>
      <c r="L50" s="203"/>
      <c r="M50" s="196">
        <f>J50*$J$8*$J$15</f>
        <v>30248.56481</v>
      </c>
      <c r="N50" s="194"/>
      <c r="O50" s="194"/>
      <c r="P50" s="194"/>
      <c r="Q50" s="196">
        <f t="shared" si="46"/>
        <v>0.983880796</v>
      </c>
      <c r="R50" s="197">
        <v>90.0</v>
      </c>
      <c r="S50" s="198">
        <f t="shared" si="45"/>
        <v>90.8</v>
      </c>
      <c r="T50" s="196">
        <f>1/S50*IF($E$29=2,1,0)</f>
        <v>0</v>
      </c>
      <c r="U50" s="199">
        <f t="shared" si="47"/>
        <v>0</v>
      </c>
      <c r="V50" s="194"/>
      <c r="W50" s="194"/>
      <c r="X50" s="196">
        <f>T50*M50</f>
        <v>0</v>
      </c>
      <c r="Y50" s="196">
        <f t="shared" ref="Y50:Y51" si="48">X50*(1-$C$144)</f>
        <v>0</v>
      </c>
      <c r="Z50" s="194"/>
      <c r="AA50" s="194"/>
      <c r="AB50" s="194"/>
    </row>
    <row r="51">
      <c r="A51" s="98"/>
      <c r="B51" s="276" t="s">
        <v>128</v>
      </c>
      <c r="C51" s="25">
        <f>Inputs!C53</f>
        <v>1</v>
      </c>
      <c r="D51" s="78"/>
      <c r="E51" s="2"/>
      <c r="G51" s="281" t="s">
        <v>175</v>
      </c>
      <c r="H51" s="253">
        <f>1.31112*1.2*1.25</f>
        <v>1.96668</v>
      </c>
      <c r="I51" s="204">
        <v>1.15</v>
      </c>
      <c r="J51" s="207">
        <f>($J$6*(1+$E$116)*(1+$D$157)+169*15/120*$C$24+$C$14*6)*H51*$J$10*$L$11*I51*(1+0.15*C93)</f>
        <v>14273.23064</v>
      </c>
      <c r="K51" s="196">
        <f>J51*$J$8*0.7*IF($C$152&lt;=5,IF($C$152&lt;3,$C$152,2+IF($C$43&gt;0,$C$152-2,0)*((14-5*C131*E137)/S40)),2+IF($C$43&gt;0,3,0)*((14-5*C131*E137)/S40))*$J$14*(1+0.08*C120*D120)</f>
        <v>74633.02844</v>
      </c>
      <c r="L51" s="196">
        <f>K51/IF($C$152&lt;=5,IF($C$152&lt;3,$C$152,2+IF($C$43&gt;0,$C$152-2,0)*((14-5*C131*E137)/S40)),2+IF($C$43&gt;0,3,0)*((14-5*C131*E137)/S40))</f>
        <v>14926.60569</v>
      </c>
      <c r="M51" s="196">
        <f>K51*$L$12+IF($C$152&lt;=5,IF($C$152&lt;3,$C$152,2+IF($C$43&gt;0,$C$152-2,0)*((14-5*C131*E137)/S40)),2+IF($C$43&gt;0,3,0)*((14-5*C131*E137)/S40))*$L$7*0.0025*$C$95</f>
        <v>13915.27407</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6"/>
        <v>0.983880796</v>
      </c>
      <c r="R51" s="194"/>
      <c r="S51" s="194"/>
      <c r="T51" s="196">
        <f>MIN(($L$9+SUM(Z19:Z50)+SUM(Z52:Z76))/(-N51),MAX((1-SUM(U18:U41,U43:U50,U52:U76)+SUM(AA19:AA41,AA43:AA50,AA52:AA76)/O42*Q42)/Q51*(-O42/(O51-O42)),0))</f>
        <v>0.4003060619</v>
      </c>
      <c r="U51" s="199">
        <f t="shared" si="47"/>
        <v>0.3938534468</v>
      </c>
      <c r="V51" s="196">
        <f>(T51-T74+3*(1-C131*T38*(8+C110*4))*C116/(9/(1/(0.5+(2/((L14+0.3*(1-(1-(T38*(8+C110*4)))*(1-IF(C127&gt;3,1,0)*(1-0.875^(8*(T40+T43+T51+T57+T63)))))))-1+IF(C152=1,0.5,0))/C152))+9/(1/(0.5+(2/((L14+0.3*(1-(1-(T38*(8+C110*4)))*(1-IF(C127&gt;3,1,0)*(1-0.875^(8*(T40+T43+T51+T57+T63)))))))-1+IF(C152=1,0.5,0))/C152))/2*((0.8/3^(C152-1))/(1-(0.8/3^(C152-1))))+6)+1.5*(1-C131*(T38*(8+C110*4))/(1-(1-(T38*(8+C110*4)))*(1-IF(C127&gt;3,1,0)*(1-0.875^(8*(T40+T43+T51+T57+T63))))))*F127)*K51</f>
        <v>39245.06523</v>
      </c>
      <c r="W51" s="196">
        <f>(T51-T74+3*(1-C131*T38*(8+C110*4))*C116/(9/(1/(0.5+(2/((L14+0.3*(1-(1-(T38*(8+C110*4)))*(1-IF(C127&gt;3,1,0)*(1-0.875^(8*(T40+T43+T51+T57+T63)))))))-1+IF(C152=1,0.5,0))/C152))+9/(1/(0.5+(2/((L14+0.3*(1-(1-(T38*(8+C110*4)))*(1-IF(C127&gt;3,1,0)*(1-0.875^(8*(T40+T43+T51+T57+T63)))))))-1+IF(C152=1,0.5,0))/C152))/2*((0.8/3^(C152-1))/(1-(0.8/3^(C152-1))))+6)+1.5*(1-C131*(T38*(8+C110*4))/(1-(1-(T38*(8+C110*4)))*(1-IF(C127&gt;3,1,0)*(1-0.875^(8*(T40+T43+T51+T57+T63))))))*F127)*L51</f>
        <v>7849.013046</v>
      </c>
      <c r="X51" s="196">
        <f>(T51-T74)*M51</f>
        <v>2895.477883</v>
      </c>
      <c r="Y51" s="196">
        <f t="shared" si="48"/>
        <v>2316.382306</v>
      </c>
      <c r="Z51" s="196">
        <f>T51*N51</f>
        <v>-0.4003060619</v>
      </c>
      <c r="AA51" s="196">
        <f>T51*O51</f>
        <v>10.00765155</v>
      </c>
      <c r="AB51" s="194"/>
    </row>
    <row r="52">
      <c r="A52" s="329" t="s">
        <v>129</v>
      </c>
      <c r="B52" s="276" t="s">
        <v>130</v>
      </c>
      <c r="C52" s="25">
        <f>Inputs!C54</f>
        <v>1</v>
      </c>
      <c r="D52" s="78"/>
      <c r="G52" s="281"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276" t="s">
        <v>132</v>
      </c>
      <c r="C53" s="25">
        <f>Inputs!C55</f>
        <v>0</v>
      </c>
      <c r="D53" s="78"/>
      <c r="G53" s="276" t="s">
        <v>342</v>
      </c>
      <c r="H53" s="27"/>
      <c r="I53" s="194"/>
      <c r="J53" s="207">
        <f>J29*0.2</f>
        <v>4573.778078</v>
      </c>
      <c r="K53" s="196">
        <f>J53*$J$8*IF($C$152&lt;=5,IF($C$152&lt;3,$C$152,IF($C$43&gt;0,$C$152,2)*(14-5*C131*E137)/$S$40+2*($S$40-(14-5*C131*E137))/$S$40),IF($C$43&gt;0,5,2)*(14-5*C131*E137)/$S$40+2*($S$40-(14-5*C131*E137))/$S$40)*$J$14*(1+$C$131*0.05)*(1+0.08*C120*D120)</f>
        <v>35873.61383</v>
      </c>
      <c r="L53" s="196">
        <f>K53/IF($C$152&lt;=5,IF($C$152&lt;3,$C$152,IF($C$43&gt;0,$C$152,2)*(14-5*C131*E137)/$S$40+2*($S$40-(14-5*C131*E137))/$S$40),IF($C$43&gt;0,5,2)*(14-5*C131*E137)/$S$40+2*($S$40-(14-5*C131*E137))/$S$40)</f>
        <v>7174.722765</v>
      </c>
      <c r="M53" s="209">
        <f>K53*$L$12</f>
        <v>6688.609303</v>
      </c>
      <c r="N53" s="194"/>
      <c r="O53" s="194"/>
      <c r="P53" s="194"/>
      <c r="Q53" s="194"/>
      <c r="R53" s="194"/>
      <c r="S53" s="194"/>
      <c r="T53" s="196">
        <f>C131*T74</f>
        <v>0.1922269492</v>
      </c>
      <c r="U53" s="194"/>
      <c r="V53" s="196">
        <f>T53*K53*C131</f>
        <v>6895.875341</v>
      </c>
      <c r="W53" s="196">
        <f>T53*L53*C131</f>
        <v>1379.175068</v>
      </c>
      <c r="X53" s="196">
        <f>T53*M53*C131</f>
        <v>1285.73096</v>
      </c>
      <c r="Y53" s="196">
        <f>X53*(1-$C$144)</f>
        <v>1028.584768</v>
      </c>
      <c r="Z53" s="195"/>
      <c r="AA53" s="195"/>
      <c r="AB53" s="194"/>
    </row>
    <row r="54">
      <c r="A54" s="97"/>
      <c r="B54" s="276" t="s">
        <v>133</v>
      </c>
      <c r="C54" s="25">
        <f>Inputs!C56</f>
        <v>1</v>
      </c>
      <c r="D54" s="78"/>
      <c r="G54" s="276"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276" t="s">
        <v>134</v>
      </c>
      <c r="C55" s="25">
        <f>Inputs!C57</f>
        <v>1</v>
      </c>
      <c r="D55" s="78"/>
      <c r="G55" s="276" t="s">
        <v>204</v>
      </c>
      <c r="H55" s="27"/>
      <c r="I55" s="194"/>
      <c r="J55" s="194"/>
      <c r="K55" s="194"/>
      <c r="L55" s="255"/>
      <c r="M55" s="196">
        <f>M42*0.2/(1+C99*0.08*MIN((T25+C108*T51*(1-(1-0.15)*(1-0.15*MAX(4,C152-1))))/T42*C152,5))</f>
        <v>136431.1287</v>
      </c>
      <c r="N55" s="194"/>
      <c r="O55" s="194"/>
      <c r="P55" s="194"/>
      <c r="Q55" s="194"/>
      <c r="R55" s="194"/>
      <c r="S55" s="194"/>
      <c r="T55" s="196">
        <f>T42*C109</f>
        <v>0.4013494365</v>
      </c>
      <c r="U55" s="194"/>
      <c r="V55" s="255"/>
      <c r="W55" s="255"/>
      <c r="X55" s="196">
        <f t="shared" ref="X55:X57" si="49">T55*M55</f>
        <v>54756.55664</v>
      </c>
      <c r="Y55" s="196">
        <f t="shared" ref="Y55:Y57" si="50">X55*(1-$C$144)</f>
        <v>43805.24531</v>
      </c>
      <c r="Z55" s="195"/>
      <c r="AA55" s="195"/>
      <c r="AB55" s="194"/>
    </row>
    <row r="56">
      <c r="A56" s="97"/>
      <c r="B56" s="276" t="s">
        <v>135</v>
      </c>
      <c r="C56" s="25">
        <f>Inputs!C58</f>
        <v>0</v>
      </c>
      <c r="D56" s="78"/>
      <c r="G56" s="276" t="s">
        <v>344</v>
      </c>
      <c r="H56" s="253">
        <v>4.2</v>
      </c>
      <c r="I56" s="194"/>
      <c r="J56" s="207">
        <f>($J$6*(1+$E$116)*(1+$D$157)+$C$14*6)*H56*$J$10*$L$11</f>
        <v>26505.74603</v>
      </c>
      <c r="K56" s="196">
        <f>J56*$J$8*$C$152/SQRT(MAX(1,$C$152/8))*$J$14*(1+0.08*C120*D120)
</f>
        <v>197993.4273</v>
      </c>
      <c r="L56" s="196">
        <f>K56/$C$152</f>
        <v>39598.68546</v>
      </c>
      <c r="M56" s="196">
        <f t="shared" ref="M56:M57" si="51">K56*$L$12</f>
        <v>36915.73105</v>
      </c>
      <c r="N56" s="194"/>
      <c r="O56" s="194"/>
      <c r="P56" s="194"/>
      <c r="Q56" s="196">
        <f t="shared" ref="Q56:Q57" si="52">1.5/$J$9</f>
        <v>0.983880796</v>
      </c>
      <c r="R56" s="204">
        <v>150.0</v>
      </c>
      <c r="S56" s="198">
        <f>R56+$C$151</f>
        <v>150.8</v>
      </c>
      <c r="T56" s="196">
        <f>1/S56*E31</f>
        <v>0</v>
      </c>
      <c r="U56" s="199">
        <f t="shared" ref="U56:U57" si="53">T56*Q56</f>
        <v>0</v>
      </c>
      <c r="V56" s="196">
        <f t="shared" ref="V56:V57" si="54">T56*K56</f>
        <v>0</v>
      </c>
      <c r="W56" s="196">
        <f t="shared" ref="W56:W57" si="55">T56*L56</f>
        <v>0</v>
      </c>
      <c r="X56" s="196">
        <f t="shared" si="49"/>
        <v>0</v>
      </c>
      <c r="Y56" s="196">
        <f t="shared" si="50"/>
        <v>0</v>
      </c>
      <c r="Z56" s="195"/>
      <c r="AA56" s="195"/>
      <c r="AB56" s="194"/>
    </row>
    <row r="57">
      <c r="A57" s="97"/>
      <c r="B57" s="276" t="s">
        <v>136</v>
      </c>
      <c r="C57" s="25">
        <f>Inputs!C59</f>
        <v>1</v>
      </c>
      <c r="D57" s="78"/>
      <c r="G57" s="281" t="s">
        <v>176</v>
      </c>
      <c r="H57" s="253">
        <f>1.471*1.5</f>
        <v>2.2065</v>
      </c>
      <c r="I57" s="204">
        <v>1.15</v>
      </c>
      <c r="J57" s="207">
        <f>($J$6*(1+$E$116)*(1+$D$157)+169*15/120*$C$24+$C$14*6)*H57*$J$10*$L$11*I57</f>
        <v>16013.73045</v>
      </c>
      <c r="K57" s="196">
        <f>J57*$J$8*0.7*$J$14*(1+0.08*C120*D120)
</f>
        <v>16746.77907</v>
      </c>
      <c r="L57" s="196">
        <f>K57</f>
        <v>16746.77907</v>
      </c>
      <c r="M57" s="196">
        <f t="shared" si="51"/>
        <v>3122.424821</v>
      </c>
      <c r="N57" s="197">
        <v>-2.0</v>
      </c>
      <c r="O57" s="211">
        <f>20</f>
        <v>20</v>
      </c>
      <c r="P57" s="204">
        <v>3.0</v>
      </c>
      <c r="Q57" s="196">
        <f t="shared" si="52"/>
        <v>0.983880796</v>
      </c>
      <c r="R57" s="194"/>
      <c r="S57" s="194"/>
      <c r="T57" s="196">
        <f>MAX((L15-SUM(AB19:AB56)-SUM(AB58:AB76))/3,T47)</f>
        <v>0.0906193372</v>
      </c>
      <c r="U57" s="199">
        <f t="shared" si="53"/>
        <v>0.08915862562</v>
      </c>
      <c r="V57" s="196">
        <f t="shared" si="54"/>
        <v>1517.582019</v>
      </c>
      <c r="W57" s="196">
        <f t="shared" si="55"/>
        <v>1517.582019</v>
      </c>
      <c r="X57" s="196">
        <f t="shared" si="49"/>
        <v>282.9520678</v>
      </c>
      <c r="Y57" s="196">
        <f t="shared" si="50"/>
        <v>226.3616542</v>
      </c>
      <c r="Z57" s="196">
        <f>(T57-T47/(2))*N57</f>
        <v>-0.1702254585</v>
      </c>
      <c r="AA57" s="196">
        <f t="shared" ref="AA57:AA58" si="56">T57*O57</f>
        <v>1.812386744</v>
      </c>
      <c r="AB57" s="196">
        <f>P57*T57</f>
        <v>0.2718580116</v>
      </c>
    </row>
    <row r="58">
      <c r="A58" s="97"/>
      <c r="B58" s="276" t="s">
        <v>137</v>
      </c>
      <c r="C58" s="25">
        <f>Inputs!C60</f>
        <v>0</v>
      </c>
      <c r="D58" s="78"/>
      <c r="G58" s="276"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6"/>
        <v>0</v>
      </c>
      <c r="AB58" s="194"/>
    </row>
    <row r="59">
      <c r="A59" s="329" t="s">
        <v>138</v>
      </c>
      <c r="B59" s="276" t="s">
        <v>139</v>
      </c>
      <c r="C59" s="25">
        <f>Inputs!C61</f>
        <v>1</v>
      </c>
      <c r="D59" s="264">
        <f>Inputs!D61</f>
        <v>0.9</v>
      </c>
      <c r="E59" s="2"/>
      <c r="G59" s="276" t="s">
        <v>249</v>
      </c>
      <c r="H59" s="27"/>
      <c r="I59" s="278"/>
      <c r="J59" s="194"/>
      <c r="K59" s="256">
        <f>SUM(V25,V26,K28/10*C118,V29,V35,V40,V43,V53,K68/10*C123,IF(C131=1,V74*T51/T74,0))*10*0.15*0.15*$C$152/SQRT(MAX(1,$C$152/8))*(1+$C$131*0.05*MIN(1,5/$C$152))*J10*(1+0.08*C120*D120)</f>
        <v>174737.8144</v>
      </c>
      <c r="L59" s="209">
        <f>K59/$C$152</f>
        <v>34947.56289</v>
      </c>
      <c r="M59" s="196">
        <f>K59/((1+$C$131*0.05*MIN(1,5/$C$152)))/$C$152</f>
        <v>33283.39323</v>
      </c>
      <c r="N59" s="195"/>
      <c r="O59" s="195"/>
      <c r="P59" s="194"/>
      <c r="Q59" s="194"/>
      <c r="R59" s="194"/>
      <c r="S59" s="194"/>
      <c r="T59" s="196">
        <f>T24*C131*E141</f>
        <v>0.01101321586</v>
      </c>
      <c r="U59" s="278"/>
      <c r="V59" s="196">
        <f>T59*K59</f>
        <v>1924.425269</v>
      </c>
      <c r="W59" s="196">
        <f>T59*L59</f>
        <v>384.8850538</v>
      </c>
      <c r="X59" s="196">
        <f>T59*M59</f>
        <v>366.5571941</v>
      </c>
      <c r="Y59" s="196">
        <f>X59*(1-$C$144)</f>
        <v>293.2457553</v>
      </c>
      <c r="Z59" s="194"/>
      <c r="AA59" s="194"/>
      <c r="AB59" s="194"/>
    </row>
    <row r="60">
      <c r="A60" s="97"/>
      <c r="B60" s="276" t="s">
        <v>140</v>
      </c>
      <c r="C60" s="25">
        <f>Inputs!C62</f>
        <v>1</v>
      </c>
      <c r="D60" s="78"/>
      <c r="G60" s="276" t="s">
        <v>133</v>
      </c>
      <c r="H60" s="27"/>
      <c r="I60" s="278"/>
      <c r="J60" s="194"/>
      <c r="K60" s="194"/>
      <c r="L60" s="195"/>
      <c r="M60" s="196">
        <f>K23*0.5*(1+0.15*C46)*(1+C130)</f>
        <v>9652.179581</v>
      </c>
      <c r="N60" s="195"/>
      <c r="O60" s="195"/>
      <c r="P60" s="194"/>
      <c r="Q60" s="194"/>
      <c r="R60" s="194"/>
      <c r="S60" s="194"/>
      <c r="T60" s="196">
        <f>T23*C54</f>
        <v>0.7253739295</v>
      </c>
      <c r="U60" s="278"/>
      <c r="V60" s="194"/>
      <c r="W60" s="194"/>
      <c r="X60" s="196">
        <f>T60*M60+C130*T47*(K46+K47)*0.1*(1+0.15*C46)*C54</f>
        <v>7001.439431</v>
      </c>
      <c r="Y60" s="196">
        <f>X60</f>
        <v>7001.439431</v>
      </c>
      <c r="Z60" s="194"/>
      <c r="AA60" s="194"/>
      <c r="AB60" s="194"/>
    </row>
    <row r="61">
      <c r="A61" s="97"/>
      <c r="B61" s="276" t="s">
        <v>141</v>
      </c>
      <c r="C61" s="25">
        <f>Inputs!C63</f>
        <v>1</v>
      </c>
      <c r="D61" s="264">
        <f>Inputs!D63</f>
        <v>0</v>
      </c>
      <c r="G61" s="276" t="s">
        <v>111</v>
      </c>
      <c r="H61" s="218">
        <f>0.5875*2/6*1.075</f>
        <v>0.2105208333</v>
      </c>
      <c r="I61" s="204">
        <v>1.0</v>
      </c>
      <c r="J61" s="219">
        <f>($J$6*(1+$E$116)*(1+$D$157)+169*15/120*$C$24+$C$14*6)*H61*$J$10*$L$11*I61*(1+0.01*C24)</f>
        <v>1328.574224</v>
      </c>
      <c r="K61" s="196">
        <f>J61*$J$8*0.7*(INT($J$9*60/2+1)+(60*$J$9*10+25)/40*1.35)*$J$14*(1+$C$131*0.05)</f>
        <v>109861.8312</v>
      </c>
      <c r="L61" s="196">
        <f t="shared" ref="L61:L65" si="57">K61</f>
        <v>109861.8312</v>
      </c>
      <c r="M61" s="195"/>
      <c r="N61" s="195"/>
      <c r="O61" s="195"/>
      <c r="P61" s="194"/>
      <c r="Q61" s="194"/>
      <c r="R61" s="197">
        <v>120.0</v>
      </c>
      <c r="S61" s="256">
        <f>120-30*C130*C138</f>
        <v>120</v>
      </c>
      <c r="T61" s="196">
        <f>1/S61*C40</f>
        <v>0.008333333333</v>
      </c>
      <c r="U61" s="194"/>
      <c r="V61" s="196">
        <f t="shared" ref="V61:V65" si="58">T61*K61</f>
        <v>915.5152597</v>
      </c>
      <c r="W61" s="196">
        <f t="shared" ref="W61:W65" si="59">T61*L61</f>
        <v>915.5152597</v>
      </c>
      <c r="X61" s="194"/>
      <c r="Y61" s="194"/>
      <c r="Z61" s="194"/>
      <c r="AA61" s="194"/>
      <c r="AB61" s="194"/>
    </row>
    <row r="62">
      <c r="A62" s="97"/>
      <c r="B62" s="276" t="s">
        <v>142</v>
      </c>
      <c r="C62" s="25">
        <f>Inputs!C64</f>
        <v>0</v>
      </c>
      <c r="D62" s="78"/>
      <c r="G62" s="276" t="s">
        <v>72</v>
      </c>
      <c r="H62" s="253">
        <v>0.01127</v>
      </c>
      <c r="I62" s="204">
        <v>1.15</v>
      </c>
      <c r="J62" s="207">
        <f>($J$6*(1+$E$116)*(1+$D$157)+169*15/120*$C$24+$C$14*6)*H62*$J$10*$L$11*I62*(1+0.01*E25)</f>
        <v>81.79231463</v>
      </c>
      <c r="K62" s="209">
        <f>J62*$J$8*$J$14*(1+0.2*C63)*(1+0.08*C120*D120)*(1+0.15*$B$19*(1+0.2*$C$63))</f>
        <v>146.6339323</v>
      </c>
      <c r="L62" s="196">
        <f t="shared" si="57"/>
        <v>146.6339323</v>
      </c>
      <c r="M62" s="196">
        <f t="shared" ref="M62:M65" si="60">K62*$L$12</f>
        <v>27.33979041</v>
      </c>
      <c r="N62" s="194"/>
      <c r="O62" s="194"/>
      <c r="P62" s="194"/>
      <c r="Q62" s="194"/>
      <c r="R62" s="194"/>
      <c r="S62" s="194"/>
      <c r="T62" s="196">
        <f>$B$19*(T23+T35*$C$152+T42*MIN((C152-1)*C106+1,2*C106+1)+T51*IF($C$152&lt;=5,IF($C$152&lt;3,$C$152,2+IF(C43&gt;0,$C$152-2,0)*10/S40+2*(S40-10)/S40),2+IF(C43&gt;0,3,0)*10/S40+2*(S40-10)/S40)+T57)</f>
        <v>0</v>
      </c>
      <c r="U62" s="194"/>
      <c r="V62" s="196">
        <f t="shared" si="58"/>
        <v>0</v>
      </c>
      <c r="W62" s="196">
        <f t="shared" si="59"/>
        <v>0</v>
      </c>
      <c r="X62" s="196">
        <f t="shared" ref="X62:X66" si="61">T62*M62</f>
        <v>0</v>
      </c>
      <c r="Y62" s="196">
        <f t="shared" ref="Y62:Y66" si="62">X62*(1-$C$144)</f>
        <v>0</v>
      </c>
      <c r="Z62" s="194"/>
      <c r="AA62" s="194"/>
      <c r="AB62" s="194"/>
    </row>
    <row r="63">
      <c r="A63" s="97"/>
      <c r="B63" s="276" t="s">
        <v>143</v>
      </c>
      <c r="C63" s="25">
        <f>Inputs!C65</f>
        <v>1</v>
      </c>
      <c r="D63" s="78"/>
      <c r="G63" s="276" t="s">
        <v>345</v>
      </c>
      <c r="H63" s="253">
        <f>3.07125*1.2*1.2</f>
        <v>4.4226</v>
      </c>
      <c r="I63" s="204">
        <v>1.15</v>
      </c>
      <c r="J63" s="207">
        <f>($J$6*(1+$E$116)*(1+$D$157)+169*15/120*$C$24+$C$14*6)*H63*$J$10*$L$11*I63*(1+0.01*E25)*1.05</f>
        <v>33701.98981</v>
      </c>
      <c r="K63" s="196">
        <f>J63*$J$8*$J$14*(1+0.15*$B$19*(1+0.2*$C$63))*(1+0.08*C120*D120)</f>
        <v>50349.62957</v>
      </c>
      <c r="L63" s="196">
        <f t="shared" si="57"/>
        <v>50349.62957</v>
      </c>
      <c r="M63" s="196">
        <f t="shared" si="60"/>
        <v>9387.651948</v>
      </c>
      <c r="N63" s="197">
        <v>-2.0</v>
      </c>
      <c r="O63" s="211">
        <f>20</f>
        <v>20</v>
      </c>
      <c r="P63" s="204">
        <f>3</f>
        <v>3</v>
      </c>
      <c r="Q63" s="196">
        <f>1.5/$J$9</f>
        <v>0.983880796</v>
      </c>
      <c r="R63" s="204">
        <v>45.0</v>
      </c>
      <c r="S63" s="198">
        <f>2*R63/(2+C137)+$C$151</f>
        <v>45.8</v>
      </c>
      <c r="T63" s="196">
        <f>1/S63*C130</f>
        <v>0</v>
      </c>
      <c r="U63" s="199">
        <f>T63*Q63</f>
        <v>0</v>
      </c>
      <c r="V63" s="196">
        <f t="shared" si="58"/>
        <v>0</v>
      </c>
      <c r="W63" s="196">
        <f t="shared" si="59"/>
        <v>0</v>
      </c>
      <c r="X63" s="196">
        <f t="shared" si="61"/>
        <v>0</v>
      </c>
      <c r="Y63" s="196">
        <f t="shared" si="62"/>
        <v>0</v>
      </c>
      <c r="Z63" s="196">
        <f>T63*N63</f>
        <v>0</v>
      </c>
      <c r="AA63" s="196">
        <f>T63*O63</f>
        <v>0</v>
      </c>
      <c r="AB63" s="196">
        <f>P63*T63</f>
        <v>0</v>
      </c>
    </row>
    <row r="64">
      <c r="A64" s="329" t="s">
        <v>144</v>
      </c>
      <c r="B64" s="276" t="s">
        <v>145</v>
      </c>
      <c r="C64" s="25">
        <f>Inputs!C66</f>
        <v>0</v>
      </c>
      <c r="D64" s="78"/>
      <c r="G64" s="276" t="s">
        <v>346</v>
      </c>
      <c r="H64" s="253">
        <f>0.3779*1.2</f>
        <v>0.45348</v>
      </c>
      <c r="I64" s="204">
        <v>1.15</v>
      </c>
      <c r="J64" s="207">
        <f>($J$6*(1+$E$116)*(1+$D$157)+169*15/120*$C$24+$C$14*6)*H64*$J$10*$L$11*I64*(1+0.01*E25)*1.05</f>
        <v>3455.699892</v>
      </c>
      <c r="K64" s="196">
        <f>J64*$J$8*$J$14*(1+0.15*$B$19*(1+0.2*$C$63))*$H$134*(1+0.15)*(1+0.05*(1+H8))*(1+0.08*C120*D120)</f>
        <v>251961.6242</v>
      </c>
      <c r="L64" s="196">
        <f t="shared" si="57"/>
        <v>251961.6242</v>
      </c>
      <c r="M64" s="196">
        <f t="shared" si="60"/>
        <v>46978.06225</v>
      </c>
      <c r="N64" s="194"/>
      <c r="O64" s="194"/>
      <c r="P64" s="194"/>
      <c r="Q64" s="194"/>
      <c r="R64" s="194"/>
      <c r="S64" s="194"/>
      <c r="T64" s="196">
        <f>T63</f>
        <v>0</v>
      </c>
      <c r="U64" s="194"/>
      <c r="V64" s="196">
        <f t="shared" si="58"/>
        <v>0</v>
      </c>
      <c r="W64" s="196">
        <f t="shared" si="59"/>
        <v>0</v>
      </c>
      <c r="X64" s="196">
        <f t="shared" si="61"/>
        <v>0</v>
      </c>
      <c r="Y64" s="196">
        <f t="shared" si="62"/>
        <v>0</v>
      </c>
      <c r="Z64" s="194"/>
      <c r="AA64" s="194"/>
      <c r="AB64" s="194"/>
    </row>
    <row r="65">
      <c r="A65" s="97"/>
      <c r="B65" s="276" t="s">
        <v>146</v>
      </c>
      <c r="C65" s="25">
        <f>Inputs!C67</f>
        <v>0</v>
      </c>
      <c r="D65" s="78"/>
      <c r="G65" s="281" t="s">
        <v>347</v>
      </c>
      <c r="H65" s="263">
        <v>0.5</v>
      </c>
      <c r="I65" s="194"/>
      <c r="J65" s="219">
        <f>(360+343*0.429/0.5*(1+0.05*C21)+$J$6*(1+$E$116)*(1+$D$157)+$C$14*6)*H65*$J$10*$L$11</f>
        <v>3654.674525</v>
      </c>
      <c r="K65" s="209">
        <f>J65*$J$8*$J$14*(1+0.08*C120*D120)</f>
        <v>5459.959769</v>
      </c>
      <c r="L65" s="196">
        <f t="shared" si="57"/>
        <v>5459.959769</v>
      </c>
      <c r="M65" s="196">
        <f t="shared" si="60"/>
        <v>1018.005542</v>
      </c>
      <c r="N65" s="194"/>
      <c r="O65" s="194"/>
      <c r="P65" s="194"/>
      <c r="Q65" s="196">
        <f>1.5/$J$9</f>
        <v>0.983880796</v>
      </c>
      <c r="R65" s="197">
        <v>90.0</v>
      </c>
      <c r="S65" s="198">
        <f>R65+$C$151</f>
        <v>90.8</v>
      </c>
      <c r="T65" s="196">
        <f>1/S65*C29</f>
        <v>0</v>
      </c>
      <c r="U65" s="199">
        <f>T65*Q65</f>
        <v>0</v>
      </c>
      <c r="V65" s="196">
        <f t="shared" si="58"/>
        <v>0</v>
      </c>
      <c r="W65" s="196">
        <f t="shared" si="59"/>
        <v>0</v>
      </c>
      <c r="X65" s="196">
        <f t="shared" si="61"/>
        <v>0</v>
      </c>
      <c r="Y65" s="196">
        <f t="shared" si="62"/>
        <v>0</v>
      </c>
      <c r="Z65" s="194"/>
      <c r="AA65" s="194"/>
      <c r="AB65" s="194"/>
    </row>
    <row r="66">
      <c r="A66" s="97"/>
      <c r="B66" s="276" t="s">
        <v>147</v>
      </c>
      <c r="C66" s="25">
        <f>Inputs!C68</f>
        <v>1</v>
      </c>
      <c r="D66" s="78"/>
      <c r="E66" s="2"/>
      <c r="G66" s="276" t="s">
        <v>348</v>
      </c>
      <c r="H66" s="27"/>
      <c r="I66" s="194"/>
      <c r="J66" s="194"/>
      <c r="K66" s="194"/>
      <c r="L66" s="194"/>
      <c r="M66" s="196">
        <f>$L$7*0.48*(1+0.2*C63)</f>
        <v>969347.2896</v>
      </c>
      <c r="N66" s="194"/>
      <c r="O66" s="194"/>
      <c r="P66" s="194"/>
      <c r="Q66" s="194"/>
      <c r="R66" s="204">
        <v>360.0</v>
      </c>
      <c r="S66" s="204">
        <v>360.0</v>
      </c>
      <c r="T66" s="196">
        <f>1/S66*C19</f>
        <v>0.002777777778</v>
      </c>
      <c r="U66" s="194"/>
      <c r="V66" s="194"/>
      <c r="W66" s="194"/>
      <c r="X66" s="196">
        <f t="shared" si="61"/>
        <v>2692.63136</v>
      </c>
      <c r="Y66" s="196">
        <f t="shared" si="62"/>
        <v>2154.105088</v>
      </c>
      <c r="Z66" s="194"/>
      <c r="AA66" s="194"/>
      <c r="AB66" s="194"/>
    </row>
    <row r="67">
      <c r="A67" s="97"/>
      <c r="B67" s="276" t="s">
        <v>148</v>
      </c>
      <c r="C67" s="25">
        <f>Inputs!C69</f>
        <v>1</v>
      </c>
      <c r="D67" s="78"/>
      <c r="E67" s="2"/>
      <c r="G67" s="276" t="s">
        <v>113</v>
      </c>
      <c r="H67" s="27"/>
      <c r="I67" s="194"/>
      <c r="J67" s="194"/>
      <c r="K67" s="194"/>
      <c r="L67" s="194"/>
      <c r="M67" s="194"/>
      <c r="N67" s="194"/>
      <c r="O67" s="211">
        <v>3.0</v>
      </c>
      <c r="P67" s="194"/>
      <c r="Q67" s="194"/>
      <c r="R67" s="285">
        <f>60/10.8</f>
        <v>5.555555556</v>
      </c>
      <c r="S67" s="198">
        <f>1/(10.8*J9*1.13/60)</f>
        <v>3.22478137</v>
      </c>
      <c r="T67" s="196">
        <f>1/S67*C41</f>
        <v>0.3100985417</v>
      </c>
      <c r="U67" s="194"/>
      <c r="V67" s="194"/>
      <c r="W67" s="194"/>
      <c r="X67" s="194"/>
      <c r="Y67" s="194"/>
      <c r="Z67" s="194"/>
      <c r="AA67" s="196">
        <f>T67*O67</f>
        <v>0.930295625</v>
      </c>
      <c r="AB67" s="194"/>
    </row>
    <row r="68">
      <c r="A68" s="97"/>
      <c r="B68" s="276" t="s">
        <v>149</v>
      </c>
      <c r="C68" s="25">
        <f>Inputs!C70</f>
        <v>1</v>
      </c>
      <c r="D68" s="78"/>
      <c r="G68" s="276" t="s">
        <v>220</v>
      </c>
      <c r="H68" s="253">
        <v>2.76</v>
      </c>
      <c r="I68" s="194"/>
      <c r="J68" s="207">
        <f>($J$6*(1+$E$116)*(1+$D$157)+169*15/120*$C$24+$C$14*6)*H68*$J$10*$L$11*(1+0.01*$E$25)</f>
        <v>17418.06168</v>
      </c>
      <c r="K68" s="196">
        <f>J68*$J$8*$J$14*(1+$C$131*0.05*MIN(1,5/$C$152))*$C$152/SQRT(MAX(1,$C$152/8))*(1+0.02*-AA42*8*((O42-5*IF(C42&gt;0,1,0))/O42))*(1+0.08*C120*D120)</f>
        <v>487530.9198</v>
      </c>
      <c r="L68" s="209">
        <f t="shared" ref="L68:L69" si="63">K68/$C$152</f>
        <v>97506.18396</v>
      </c>
      <c r="M68" s="196">
        <f>K68*(0.18+$L$12)</f>
        <v>178655.3523</v>
      </c>
      <c r="N68" s="194"/>
      <c r="O68" s="194"/>
      <c r="P68" s="194"/>
      <c r="Q68" s="194"/>
      <c r="R68" s="194"/>
      <c r="S68" s="194"/>
      <c r="T68" s="196">
        <f>T28*C123</f>
        <v>0</v>
      </c>
      <c r="U68" s="194"/>
      <c r="V68" s="196">
        <f t="shared" ref="V68:V69" si="64">T68*K68</f>
        <v>0</v>
      </c>
      <c r="W68" s="196">
        <f t="shared" ref="W68:W69" si="65">T68*L68</f>
        <v>0</v>
      </c>
      <c r="X68" s="196">
        <f t="shared" ref="X68:X69" si="66">T68*M68</f>
        <v>0</v>
      </c>
      <c r="Y68" s="196">
        <f t="shared" ref="Y68:Y69" si="67">X68*(1-$C$144)</f>
        <v>0</v>
      </c>
      <c r="Z68" s="194"/>
      <c r="AA68" s="194"/>
      <c r="AB68" s="194"/>
    </row>
    <row r="69">
      <c r="A69" s="97"/>
      <c r="B69" s="276" t="s">
        <v>151</v>
      </c>
      <c r="C69" s="25">
        <f>Inputs!C71</f>
        <v>1</v>
      </c>
      <c r="D69" s="78"/>
      <c r="G69" s="276" t="s">
        <v>349</v>
      </c>
      <c r="H69" s="27"/>
      <c r="I69" s="204">
        <v>1.15</v>
      </c>
      <c r="J69" s="194"/>
      <c r="K69" s="196">
        <f>K64*1/10*($C$152-1)*$I$69*1.05*IF(D100=2,(1+0.06*C119*(1-T40*(1-(0.75)^((5+(H15/2))/H15))/(1+3*(1-(0.75)^((5+(H15/2))/H15))*C82)/(1-(0.75)^((5+(H15/2))/H15)))),(1+0.06*(14-5*C131*E137)*C119*(1/S40)))</f>
        <v>128999.3124</v>
      </c>
      <c r="L69" s="196">
        <f t="shared" si="63"/>
        <v>25799.86247</v>
      </c>
      <c r="M69" s="196">
        <f>K69*$L$12</f>
        <v>24051.82831</v>
      </c>
      <c r="N69" s="194"/>
      <c r="O69" s="194"/>
      <c r="P69" s="194"/>
      <c r="Q69" s="194"/>
      <c r="R69" s="194"/>
      <c r="S69" s="194"/>
      <c r="T69" s="196">
        <f>T64</f>
        <v>0</v>
      </c>
      <c r="U69" s="194"/>
      <c r="V69" s="196">
        <f t="shared" si="64"/>
        <v>0</v>
      </c>
      <c r="W69" s="196">
        <f t="shared" si="65"/>
        <v>0</v>
      </c>
      <c r="X69" s="196">
        <f t="shared" si="66"/>
        <v>0</v>
      </c>
      <c r="Y69" s="196">
        <f t="shared" si="67"/>
        <v>0</v>
      </c>
      <c r="Z69" s="194"/>
      <c r="AA69" s="194"/>
      <c r="AB69" s="194"/>
    </row>
    <row r="70">
      <c r="A70" s="329" t="s">
        <v>152</v>
      </c>
      <c r="B70" s="276" t="s">
        <v>153</v>
      </c>
      <c r="C70" s="25">
        <f>Inputs!C72</f>
        <v>0</v>
      </c>
      <c r="D70" s="78"/>
      <c r="E70" s="2"/>
      <c r="G70" s="276"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276" t="s">
        <v>154</v>
      </c>
      <c r="C71" s="25">
        <f>Inputs!C73</f>
        <v>1</v>
      </c>
      <c r="D71" s="78"/>
      <c r="G71" s="281" t="s">
        <v>351</v>
      </c>
      <c r="H71" s="263">
        <f>1.25*0.25</f>
        <v>0.3125</v>
      </c>
      <c r="I71" s="194"/>
      <c r="J71" s="207">
        <f>($J$6*(1+$E$116)*(1+$D$157)+$C$14*6)*H71*$J$10*$L$11</f>
        <v>1972.153723</v>
      </c>
      <c r="K71" s="196">
        <f>J71*$J$8*$J$14*(1+0.08*C120*D120)*(1+$C$131*0.05*MIN(1,5/$C$152))</f>
        <v>3093.647302</v>
      </c>
      <c r="L71" s="196">
        <f>K71</f>
        <v>3093.647302</v>
      </c>
      <c r="M71" s="196">
        <f>K71*(1+$L$12)</f>
        <v>3670.455599</v>
      </c>
      <c r="N71" s="194"/>
      <c r="O71" s="194"/>
      <c r="P71" s="194"/>
      <c r="Q71" s="195"/>
      <c r="R71" s="197">
        <v>15.0</v>
      </c>
      <c r="S71" s="288">
        <f>15</f>
        <v>15</v>
      </c>
      <c r="T71" s="196">
        <f>1/S71*C25</f>
        <v>0</v>
      </c>
      <c r="U71" s="222"/>
      <c r="V71" s="196">
        <f>T71*K71</f>
        <v>0</v>
      </c>
      <c r="W71" s="196">
        <f>T71*L71</f>
        <v>0</v>
      </c>
      <c r="X71" s="196">
        <f t="shared" ref="X71:X75" si="68">T71*M71</f>
        <v>0</v>
      </c>
      <c r="Y71" s="196">
        <f>X71*(1-$C$144)</f>
        <v>0</v>
      </c>
      <c r="Z71" s="194"/>
      <c r="AA71" s="194"/>
      <c r="AB71" s="194"/>
    </row>
    <row r="72">
      <c r="A72" s="98"/>
      <c r="B72" s="276" t="s">
        <v>155</v>
      </c>
      <c r="C72" s="25">
        <f>Inputs!C74</f>
        <v>0</v>
      </c>
      <c r="D72" s="78"/>
      <c r="E72" s="2"/>
      <c r="G72" s="276" t="s">
        <v>223</v>
      </c>
      <c r="H72" s="27"/>
      <c r="I72" s="194"/>
      <c r="J72" s="194"/>
      <c r="K72" s="194"/>
      <c r="L72" s="194"/>
      <c r="M72" s="196">
        <f>MIN(L7,V29*(10+2*C92)*6)*J10*(1+0.15*C46)</f>
        <v>1510796.685</v>
      </c>
      <c r="N72" s="194"/>
      <c r="O72" s="194"/>
      <c r="P72" s="194"/>
      <c r="Q72" s="194"/>
      <c r="R72" s="194"/>
      <c r="S72" s="194"/>
      <c r="T72" s="196">
        <f>T76*C126</f>
        <v>0.04678661658</v>
      </c>
      <c r="U72" s="194"/>
      <c r="V72" s="194"/>
      <c r="W72" s="194"/>
      <c r="X72" s="196">
        <f t="shared" si="68"/>
        <v>70685.06525</v>
      </c>
      <c r="Y72" s="196">
        <f>X72</f>
        <v>70685.06525</v>
      </c>
      <c r="Z72" s="194"/>
      <c r="AA72" s="194"/>
      <c r="AB72" s="194"/>
    </row>
    <row r="73">
      <c r="A73" s="329" t="s">
        <v>156</v>
      </c>
      <c r="B73" s="276" t="s">
        <v>157</v>
      </c>
      <c r="C73" s="25">
        <f>Inputs!C75</f>
        <v>0</v>
      </c>
      <c r="D73" s="78"/>
      <c r="G73" s="281" t="s">
        <v>352</v>
      </c>
      <c r="H73" s="27"/>
      <c r="I73" s="194"/>
      <c r="J73" s="194"/>
      <c r="K73" s="194"/>
      <c r="L73" s="194"/>
      <c r="M73" s="196">
        <f>$L$7*0.04*(1+0.2*C63)</f>
        <v>80778.9408</v>
      </c>
      <c r="N73" s="194"/>
      <c r="O73" s="194"/>
      <c r="P73" s="194"/>
      <c r="Q73" s="194"/>
      <c r="R73" s="197">
        <f>60/3</f>
        <v>20</v>
      </c>
      <c r="S73" s="196">
        <f>R73/1.13/$J$9</f>
        <v>11.60921293</v>
      </c>
      <c r="T73" s="196">
        <f>1/S73*B21</f>
        <v>0</v>
      </c>
      <c r="U73" s="194"/>
      <c r="V73" s="194"/>
      <c r="W73" s="194"/>
      <c r="X73" s="196">
        <f t="shared" si="68"/>
        <v>0</v>
      </c>
      <c r="Y73" s="196">
        <f t="shared" ref="Y73:Y75" si="69">X73*(1-$C$144)</f>
        <v>0</v>
      </c>
      <c r="Z73" s="194"/>
      <c r="AA73" s="194"/>
      <c r="AB73" s="194"/>
    </row>
    <row r="74">
      <c r="A74" s="97"/>
      <c r="B74" s="276" t="s">
        <v>158</v>
      </c>
      <c r="C74" s="25">
        <f>Inputs!C76</f>
        <v>1</v>
      </c>
      <c r="D74" s="78"/>
      <c r="G74" s="276" t="s">
        <v>353</v>
      </c>
      <c r="H74" s="289">
        <f>0.907*1.25</f>
        <v>1.13375</v>
      </c>
      <c r="I74" s="204">
        <v>1.15</v>
      </c>
      <c r="J74" s="207">
        <f>($J$6*(1+$E$116)*(1+$D$157)+169*15/120*$C$24+$C$14*6)*H74*$J$10*$L$11*I74*(1+0.15*C93)*(1+0.01*$E$25)*(1+0.1*C43)</f>
        <v>9051.041737</v>
      </c>
      <c r="K74" s="196">
        <f>J74*$J$8*IF($C$152&lt;=5,IF($C$152&lt;3,$C$152,IF($C$43&gt;0,$C$152,2)*(14-5*C131*E137)/$S$40+2*($S$40-(14-5*C131*E137))/$S$40),IF($C$43&gt;0,5,2)*(14-5*C131*E137)/$S$40+2*($S$40-(14-5*C131*E137))/$S$40)*$J$14*(1+$C$131*0.2)*(1+0.08*C120*D120)</f>
        <v>81131.696</v>
      </c>
      <c r="L74" s="196">
        <f>K74/IF($C$152&lt;=5,IF($C$152&lt;3,$C$152,IF($C$43&gt;0,$C$152,2)*(14-5*C131*E137)/$S$40+2*($S$40-(14-5*C131*E137))/$S$40),IF($C$43&gt;0,5,2)*(14-5*C131*E137)/$S$40+2*($S$40-(14-5*C131*E137))/$S$40)</f>
        <v>16226.3392</v>
      </c>
      <c r="M74" s="196">
        <f>K74*$L$12+IF($C$152&lt;=5,IF($C$152&lt;3,$C$152,IF($C$43&gt;0,$C$152,2)*(14-5*C131*E137)/$S$40+2*($S$40-(14-5*C131*E137))/$S$40),IF($C$43&gt;0,5,2)*(14-5*C131*E137)/$S$40+2*($S$40-(14-5*C131*E137))/$S$40)*$L$7*0.0025*$C$95+$L$7*0.02*$J$10</f>
        <v>58224.63004</v>
      </c>
      <c r="N74" s="194"/>
      <c r="O74" s="194"/>
      <c r="P74" s="194"/>
      <c r="Q74" s="194"/>
      <c r="R74" s="194"/>
      <c r="S74" s="194"/>
      <c r="T74" s="196">
        <f>C131*((T38*(8+C110*4))*T51+(1-T38*(8+C110*4))*((0.35+0.05*14/S40*E136)*T42+(E140*0.35*0.15)*T42))</f>
        <v>0.1922269492</v>
      </c>
      <c r="U74" s="194"/>
      <c r="V74" s="196">
        <f>(T74+(C131*T38*(8+C110*4))*C116/(9/(1/(0.5+(2/((L14+0.3*(1-(1-(T38*(8+C110*4)))*(1-IF(C127&gt;3,1,0)*(1-0.875^(8*(T40+T43+T51+T57+T63)))))))-1+IF(C152=1,0.5,0))/C152))+9/(1/(0.5+(2/((L14+0.3*(1-(1-(T38*(8+C110*4)))*(1-IF(C127&gt;3,1,0)*(1-0.875^(8*(T40+T43+T51+T57+T63)))))))-1+IF(C152=1,0.5,0))/C152))/2*((0.8/3^(C152-1))/(1-(0.8/3^(C152-1))))+6)+1.5*C131*F127*((T38*(8+C110*4))/(1-(1-(T38*(8+C110*4)))*(1-IF(C127&gt;3,1,0)*(1-0.875^(8*(T40+T43+T51+T57+T63)))))))*K74</f>
        <v>20561.87291</v>
      </c>
      <c r="W74" s="196">
        <f>(T74+(C131*T38*(8+C110*4))*C116/(9/(1/(0.5+(2/((L14+0.3*(1-(1-(T38*(8+C110*4)))*(1-IF(C127&gt;3,1,0)*(1-0.875^(8*(T40+T43+T51+T57+T63)))))))-1+IF(C152=1,0.5,0))/C152))+9/(1/(0.5+(2/((L14+0.3*(1-(1-(T38*(8+C110*4)))*(1-IF(C127&gt;3,1,0)*(1-0.875^(8*(T40+T43+T51+T57+T63)))))))-1+IF(C152=1,0.5,0))/C152))/2*((0.8/3^(C152-1))/(1-(0.8/3^(C152-1))))+6)+1.5*C131*F127*((T38*(8+C110*4))/(1-(1-(T38*(8+C110*4)))*(1-IF(C127&gt;3,1,0)*(1-0.875^(8*(T40+T43+T51+T57+T63)))))))*L74</f>
        <v>4112.374582</v>
      </c>
      <c r="X74" s="196">
        <f t="shared" si="68"/>
        <v>11192.343</v>
      </c>
      <c r="Y74" s="196">
        <f t="shared" si="69"/>
        <v>8953.874399</v>
      </c>
      <c r="Z74" s="194"/>
      <c r="AA74" s="194"/>
      <c r="AB74" s="293"/>
    </row>
    <row r="75">
      <c r="A75" s="97"/>
      <c r="B75" s="276" t="s">
        <v>160</v>
      </c>
      <c r="C75" s="25">
        <f>Inputs!C77</f>
        <v>1</v>
      </c>
      <c r="D75" s="78"/>
      <c r="G75" s="276" t="s">
        <v>354</v>
      </c>
      <c r="H75" s="253">
        <f>1.766*1.2</f>
        <v>2.1192</v>
      </c>
      <c r="I75" s="204">
        <v>1.15</v>
      </c>
      <c r="J75" s="207">
        <f>($J$6*(1+$E$116)*(1+$D$157)+169*15/120*$C$24+$C$14*6)*H75*$J$10*$L$11*I75*(1+0.01*$E$25)</f>
        <v>15380.14846</v>
      </c>
      <c r="K75" s="196">
        <f>J75*($J$8+2)/2*(1+$C$152)*$J$14*(1+0.15*$B$19*(1+0.2*$C$63))*(H8*0.05/2+1)*(1+0.08*C120*D120)</f>
        <v>183004.0595</v>
      </c>
      <c r="L75" s="196">
        <f>K75*2/(1+$C$152)</f>
        <v>61001.35316</v>
      </c>
      <c r="M75" s="196">
        <f>K75*$L$12</f>
        <v>34120.97428</v>
      </c>
      <c r="N75" s="194"/>
      <c r="O75" s="194"/>
      <c r="P75" s="194"/>
      <c r="Q75" s="194"/>
      <c r="R75" s="194"/>
      <c r="S75" s="194"/>
      <c r="T75" s="196">
        <f>T63</f>
        <v>0</v>
      </c>
      <c r="U75" s="293"/>
      <c r="V75" s="196">
        <f>T75*K75</f>
        <v>0</v>
      </c>
      <c r="W75" s="196">
        <f>T75*L75</f>
        <v>0</v>
      </c>
      <c r="X75" s="196">
        <f t="shared" si="68"/>
        <v>0</v>
      </c>
      <c r="Y75" s="196">
        <f t="shared" si="69"/>
        <v>0</v>
      </c>
      <c r="Z75" s="293"/>
      <c r="AA75" s="293"/>
      <c r="AB75" s="293"/>
    </row>
    <row r="76">
      <c r="A76" s="98"/>
      <c r="B76" s="276" t="s">
        <v>161</v>
      </c>
      <c r="C76" s="25">
        <f>Inputs!C78</f>
        <v>0</v>
      </c>
      <c r="D76" s="78"/>
      <c r="G76" s="281" t="s">
        <v>179</v>
      </c>
      <c r="H76" s="27"/>
      <c r="I76" s="194"/>
      <c r="J76" s="194"/>
      <c r="K76" s="194"/>
      <c r="L76" s="194"/>
      <c r="M76" s="194"/>
      <c r="N76" s="194"/>
      <c r="O76" s="194"/>
      <c r="P76" s="194"/>
      <c r="Q76" s="194"/>
      <c r="R76" s="295">
        <f>90</f>
        <v>90</v>
      </c>
      <c r="S76" s="287">
        <f>R76/(1-AA42/5*C122*((O42-5*IF(C42&gt;0,1,0))/O42))</f>
        <v>21.3736336</v>
      </c>
      <c r="T76" s="287">
        <f>1/S76*C89*C149</f>
        <v>0.04678661658</v>
      </c>
      <c r="U76" s="293"/>
      <c r="V76" s="293"/>
      <c r="W76" s="298"/>
      <c r="X76" s="298"/>
      <c r="Y76" s="293"/>
      <c r="Z76" s="293"/>
      <c r="AA76" s="293"/>
      <c r="AB76" s="293"/>
    </row>
    <row r="77">
      <c r="A77" s="329" t="s">
        <v>162</v>
      </c>
      <c r="B77" s="276" t="s">
        <v>163</v>
      </c>
      <c r="C77" s="25">
        <f>Inputs!C79</f>
        <v>2</v>
      </c>
      <c r="D77" s="78"/>
      <c r="T77" s="334" t="s">
        <v>230</v>
      </c>
      <c r="U77" s="300">
        <f t="shared" ref="U77:X77" si="70">sum(U19:U76)</f>
        <v>1</v>
      </c>
      <c r="V77" s="140">
        <f t="shared" si="70"/>
        <v>324430.9328</v>
      </c>
      <c r="W77" s="140">
        <f t="shared" si="70"/>
        <v>112067.4741</v>
      </c>
      <c r="X77" s="140">
        <f t="shared" si="70"/>
        <v>442386.9326</v>
      </c>
      <c r="Y77" s="140">
        <f>sum(Y19:Y76)+W78</f>
        <v>384646.8622</v>
      </c>
      <c r="Z77" s="140">
        <f t="shared" ref="Z77:AB77" si="71">sum(Z19:Z76)</f>
        <v>-0.4570809304</v>
      </c>
      <c r="AA77" s="140">
        <f t="shared" si="71"/>
        <v>0</v>
      </c>
      <c r="AB77" s="152">
        <f t="shared" si="71"/>
        <v>0.3269240909</v>
      </c>
    </row>
    <row r="78">
      <c r="A78" s="97"/>
      <c r="B78" s="276" t="s">
        <v>165</v>
      </c>
      <c r="C78" s="25">
        <f>Inputs!C80</f>
        <v>0</v>
      </c>
      <c r="D78" s="78"/>
      <c r="E78" s="2"/>
      <c r="I78" s="325"/>
    </row>
    <row r="79">
      <c r="A79" s="98"/>
      <c r="B79" s="276" t="s">
        <v>166</v>
      </c>
      <c r="C79" s="25">
        <f>Inputs!C81</f>
        <v>2</v>
      </c>
      <c r="D79" s="78"/>
      <c r="E79" s="2"/>
      <c r="V79" s="326">
        <f>8047*20*1.13/60*J8*J10*0.7</f>
        <v>3312.418059</v>
      </c>
      <c r="W79" s="326">
        <f>498629/150*J8*J10*(0.85+0.15*C152)</f>
        <v>8303.518747</v>
      </c>
      <c r="Y79" s="326">
        <f>-(1.13*(1-exp(-1*12/60)))*49872/12*J10*L10</f>
        <v>-937.1879001</v>
      </c>
    </row>
    <row r="80">
      <c r="A80" s="335" t="s">
        <v>168</v>
      </c>
      <c r="B80" s="276" t="s">
        <v>169</v>
      </c>
      <c r="C80" s="25">
        <f>Inputs!C82</f>
        <v>1</v>
      </c>
      <c r="D80" s="78"/>
      <c r="E80" s="2"/>
      <c r="S80" s="301"/>
      <c r="T80" s="301"/>
      <c r="V80" s="326">
        <f>(239640*0.7+129036)*1.13*0.92/60*J8*J10</f>
        <v>8028.074942</v>
      </c>
    </row>
    <row r="81">
      <c r="A81" s="122"/>
      <c r="B81" s="276" t="s">
        <v>171</v>
      </c>
      <c r="C81" s="25">
        <f>Inputs!C83</f>
        <v>0</v>
      </c>
      <c r="D81" s="78"/>
      <c r="E81" s="2"/>
      <c r="S81" s="62"/>
      <c r="T81" s="62"/>
      <c r="V81" s="326">
        <f>221688*0.85*1.13/60*J8*J10*J9*(0.85+0.15*C152)</f>
        <v>13514.90433</v>
      </c>
      <c r="W81" s="326">
        <f>(1.13*(1-exp(-2*10/60)))*8804*5/10*(0.85+0.15*C152)*J8*J10</f>
        <v>3522.163189</v>
      </c>
    </row>
    <row r="82">
      <c r="A82" s="122"/>
      <c r="B82" s="276" t="s">
        <v>172</v>
      </c>
      <c r="C82" s="25">
        <f>Inputs!C84</f>
        <v>1</v>
      </c>
      <c r="D82" s="78"/>
      <c r="E82" s="2"/>
      <c r="S82" s="301"/>
      <c r="T82" s="301"/>
      <c r="U82" s="336"/>
      <c r="V82" s="326">
        <f>150750*1.25*1.13/60*J8*J10*J9*(0.85+0.15*C152)</f>
        <v>13515.09798</v>
      </c>
    </row>
    <row r="83">
      <c r="A83" s="123"/>
      <c r="B83" s="276" t="s">
        <v>173</v>
      </c>
      <c r="C83" s="25">
        <f>Inputs!C85</f>
        <v>0</v>
      </c>
      <c r="D83" s="78"/>
      <c r="E83" s="2"/>
      <c r="V83" s="326">
        <f>124747/6*(1.13*(1-exp(-2*J9*6/60)))*J8*J10</f>
        <v>9639.658385</v>
      </c>
    </row>
    <row r="84">
      <c r="A84" s="2"/>
      <c r="B84" s="2"/>
      <c r="C84" s="2"/>
      <c r="D84" s="2"/>
      <c r="E84" s="2"/>
      <c r="R84" s="302"/>
      <c r="V84" s="326">
        <f>135322*4/150*J8*J10*(0.85+0.15*C152)</f>
        <v>9013.906242</v>
      </c>
    </row>
    <row r="85">
      <c r="A85" s="2"/>
      <c r="B85" s="321" t="s">
        <v>174</v>
      </c>
      <c r="C85" s="283" t="s">
        <v>106</v>
      </c>
      <c r="D85" s="283" t="s">
        <v>107</v>
      </c>
      <c r="E85" s="2"/>
      <c r="V85" s="326">
        <f>15233*1.5*1.13/60*J8*J10*5*5/3</f>
        <v>5598.588682</v>
      </c>
    </row>
    <row r="86">
      <c r="A86" s="337" t="s">
        <v>108</v>
      </c>
      <c r="B86" s="276" t="s">
        <v>175</v>
      </c>
      <c r="C86" s="25">
        <f>Inputs!C88</f>
        <v>1</v>
      </c>
      <c r="D86" s="78"/>
      <c r="E86" s="2"/>
      <c r="U86" s="326">
        <f>(20*0.793)*14698*J8*J10*0.7/60*1.375</f>
        <v>5838.03679</v>
      </c>
      <c r="V86" s="326">
        <f>(20+2/3*(C152*4-2-2/3))*14698*J8*J10*0.7/60*1.375</f>
        <v>11615.54188</v>
      </c>
    </row>
    <row r="87">
      <c r="A87" s="322" t="s">
        <v>112</v>
      </c>
      <c r="B87" s="276" t="s">
        <v>176</v>
      </c>
      <c r="C87" s="25">
        <f>Inputs!C89</f>
        <v>1</v>
      </c>
      <c r="D87" s="25">
        <f>Inputs!D89</f>
        <v>0</v>
      </c>
      <c r="V87" s="326">
        <f>156528*1.13/60*J8*J9*J10*1.5*(0.85+0.15*C152)</f>
        <v>16839.73139</v>
      </c>
    </row>
    <row r="88">
      <c r="A88" s="98"/>
      <c r="B88" s="276" t="s">
        <v>177</v>
      </c>
      <c r="C88" s="25">
        <f>Inputs!C90</f>
        <v>1</v>
      </c>
      <c r="D88" s="78"/>
      <c r="E88" s="2"/>
      <c r="V88" s="326">
        <f>91711*J8*J10/90*(0.85+0.15*C152)*5*0.79+2395/3*J10*J8*C152*0.8</f>
        <v>15039.70349</v>
      </c>
      <c r="W88" s="326">
        <f>80382*J8*J10/90*(0.85+0.15*C152)*5*0.79+2013/3*J10*J8*C152*0.8</f>
        <v>13002.53577</v>
      </c>
      <c r="X88" s="326">
        <f>(660181*J10*1.15*1.5-93582*5*J10*L10*0.79)/90*1.5-2395*J10*L10/3*0.8</f>
        <v>16817.8867</v>
      </c>
      <c r="Y88" s="326">
        <f>(578625*J10*1.15*1.5-82021*5*J10*L10*0.79)/90*1.5-2013*J10*L10/3*0.8</f>
        <v>14765.58097</v>
      </c>
    </row>
    <row r="89">
      <c r="A89" s="329" t="s">
        <v>117</v>
      </c>
      <c r="B89" s="276" t="s">
        <v>179</v>
      </c>
      <c r="C89" s="25">
        <f>Inputs!C91</f>
        <v>1</v>
      </c>
      <c r="D89" s="78"/>
      <c r="E89" s="2"/>
      <c r="U89" s="326">
        <f>205064/1.2^15</f>
        <v>13309.77561</v>
      </c>
      <c r="V89" s="4">
        <f>(304680/(1.2)^15)*3*1.13*1.2^15/60*J8*J9*J10*(127566/205064)*IF(C152&gt;1,1,1)*0.9</f>
        <v>22939.56121</v>
      </c>
      <c r="X89" s="326">
        <f>-V89/2*L10</f>
        <v>-9861.356279</v>
      </c>
    </row>
    <row r="90">
      <c r="A90" s="98"/>
      <c r="B90" s="276" t="s">
        <v>180</v>
      </c>
      <c r="C90" s="25">
        <f>Inputs!C92</f>
        <v>1</v>
      </c>
      <c r="D90" s="78"/>
      <c r="E90" s="2"/>
      <c r="U90" s="326">
        <f>9935*1.2^14</f>
        <v>127557.2995</v>
      </c>
      <c r="V90" s="326">
        <f>7848*1.5*5*1.13/60*J8*J9*J10</f>
        <v>2638.469874</v>
      </c>
      <c r="X90" s="326">
        <f>-1053*1.5*5*1.13/60*J9*J10*L10</f>
        <v>-249.6399937</v>
      </c>
    </row>
    <row r="91">
      <c r="A91" s="329" t="s">
        <v>129</v>
      </c>
      <c r="B91" s="276" t="s">
        <v>181</v>
      </c>
      <c r="C91" s="25">
        <f>Inputs!C93</f>
        <v>1</v>
      </c>
      <c r="D91" s="78"/>
      <c r="E91" s="2"/>
      <c r="V91" s="326">
        <f>V25/C152</f>
        <v>8174.443176</v>
      </c>
      <c r="X91" s="326">
        <f>258568*2*1.13/60*1.15*J9*J10</f>
        <v>21864.80466</v>
      </c>
    </row>
    <row r="92">
      <c r="A92" s="97"/>
      <c r="B92" s="276" t="s">
        <v>182</v>
      </c>
      <c r="C92" s="25">
        <f>Inputs!C94</f>
        <v>2</v>
      </c>
      <c r="D92" s="78"/>
      <c r="E92" s="2"/>
      <c r="V92" s="326">
        <f>69524/60*1.13*2*J9*J8*J10+44080*J9*J8*J10*2/60*0.7*1.13</f>
        <v>8999.307032</v>
      </c>
    </row>
    <row r="93">
      <c r="A93" s="97"/>
      <c r="B93" s="276" t="s">
        <v>184</v>
      </c>
      <c r="C93" s="25">
        <f>Inputs!C95</f>
        <v>0</v>
      </c>
      <c r="D93" s="78"/>
      <c r="X93" s="326">
        <f>1.13*1.21/60*(140745+93831*2)*1.15*J10</f>
        <v>11020.20898</v>
      </c>
    </row>
    <row r="94">
      <c r="A94" s="98"/>
      <c r="B94" s="276" t="s">
        <v>185</v>
      </c>
      <c r="C94" s="25">
        <f>Inputs!C96</f>
        <v>1</v>
      </c>
      <c r="D94" s="78"/>
      <c r="E94" s="2"/>
      <c r="V94" s="326">
        <f>64988*J8*J10/90*(0.85+0.15*C152)*1.31*5+2182/3*J10*J8*C152</f>
        <v>17491.82593</v>
      </c>
      <c r="X94" s="326">
        <f>(409961*J10*1.15-58027*5*(1-L5)*L10)/90*1.5-2396*J10*L10/3</f>
        <v>8154.273506</v>
      </c>
    </row>
    <row r="95">
      <c r="A95" s="329" t="s">
        <v>138</v>
      </c>
      <c r="B95" s="276" t="s">
        <v>186</v>
      </c>
      <c r="C95" s="25">
        <f>Inputs!C97</f>
        <v>0</v>
      </c>
      <c r="D95" s="78"/>
    </row>
    <row r="96">
      <c r="A96" s="97"/>
      <c r="B96" s="276" t="s">
        <v>187</v>
      </c>
      <c r="C96" s="25">
        <f>Inputs!C98</f>
        <v>1</v>
      </c>
      <c r="D96" s="78"/>
      <c r="U96" s="4" t="s">
        <v>368</v>
      </c>
    </row>
    <row r="97">
      <c r="A97" s="97"/>
      <c r="B97" s="276" t="s">
        <v>188</v>
      </c>
      <c r="C97" s="25">
        <f>Inputs!C99</f>
        <v>1</v>
      </c>
      <c r="D97" s="25">
        <f>Inputs!D99</f>
        <v>7</v>
      </c>
      <c r="E97" s="2"/>
      <c r="N97" s="328"/>
    </row>
    <row r="98">
      <c r="A98" s="97"/>
      <c r="B98" s="276" t="s">
        <v>189</v>
      </c>
      <c r="C98" s="25">
        <f>Inputs!C100</f>
        <v>1</v>
      </c>
      <c r="D98" s="78"/>
    </row>
    <row r="99">
      <c r="A99" s="97"/>
      <c r="B99" s="276" t="s">
        <v>190</v>
      </c>
      <c r="C99" s="25">
        <f>Inputs!C101</f>
        <v>1</v>
      </c>
      <c r="D99" s="78"/>
    </row>
    <row r="100">
      <c r="A100" s="97"/>
      <c r="B100" s="276" t="s">
        <v>191</v>
      </c>
      <c r="C100" s="25">
        <f>Inputs!C102</f>
        <v>0</v>
      </c>
      <c r="D100" s="25">
        <f>Inputs!D102</f>
        <v>0</v>
      </c>
      <c r="E100" s="2"/>
    </row>
    <row r="101">
      <c r="A101" s="98"/>
      <c r="B101" s="276" t="s">
        <v>193</v>
      </c>
      <c r="C101" s="25">
        <f>Inputs!C103</f>
        <v>0</v>
      </c>
      <c r="D101" s="25">
        <f>Inputs!D103</f>
        <v>10</v>
      </c>
    </row>
    <row r="102">
      <c r="A102" s="329" t="s">
        <v>144</v>
      </c>
      <c r="B102" s="276" t="s">
        <v>195</v>
      </c>
      <c r="C102" s="25">
        <f>Inputs!C104</f>
        <v>0</v>
      </c>
      <c r="D102" s="78"/>
      <c r="E102" s="2"/>
    </row>
    <row r="103">
      <c r="A103" s="97"/>
      <c r="B103" s="276" t="s">
        <v>196</v>
      </c>
      <c r="C103" s="25">
        <f>Inputs!C105</f>
        <v>1</v>
      </c>
      <c r="D103" s="25">
        <f>Inputs!D105</f>
        <v>0</v>
      </c>
      <c r="E103" s="2"/>
      <c r="Q103" s="326">
        <f>264000/1.1957</f>
        <v>220791.1684</v>
      </c>
    </row>
    <row r="104">
      <c r="A104" s="97"/>
      <c r="B104" s="276" t="s">
        <v>197</v>
      </c>
      <c r="C104" s="25">
        <f>Inputs!C106</f>
        <v>1</v>
      </c>
      <c r="D104" s="78"/>
    </row>
    <row r="105">
      <c r="A105" s="97"/>
      <c r="B105" s="276" t="s">
        <v>199</v>
      </c>
      <c r="C105" s="25">
        <f>Inputs!C107</f>
        <v>1</v>
      </c>
      <c r="D105" s="25">
        <f>Inputs!D107</f>
        <v>5</v>
      </c>
    </row>
    <row r="106">
      <c r="A106" s="97"/>
      <c r="B106" s="276" t="s">
        <v>201</v>
      </c>
      <c r="C106" s="25">
        <f>Inputs!C108</f>
        <v>1</v>
      </c>
      <c r="D106" s="78"/>
      <c r="E106" s="2"/>
    </row>
    <row r="107">
      <c r="A107" s="97"/>
      <c r="B107" s="276" t="s">
        <v>202</v>
      </c>
      <c r="C107" s="25">
        <f>Inputs!C109</f>
        <v>1</v>
      </c>
      <c r="D107" s="78"/>
    </row>
    <row r="108">
      <c r="A108" s="329" t="s">
        <v>152</v>
      </c>
      <c r="B108" s="276" t="s">
        <v>203</v>
      </c>
      <c r="C108" s="25">
        <f>Inputs!C110</f>
        <v>1</v>
      </c>
      <c r="D108" s="78"/>
    </row>
    <row r="109">
      <c r="A109" s="97"/>
      <c r="B109" s="276" t="s">
        <v>204</v>
      </c>
      <c r="C109" s="25">
        <f>Inputs!C111</f>
        <v>1</v>
      </c>
      <c r="D109" s="78"/>
      <c r="E109" s="2"/>
    </row>
    <row r="110">
      <c r="A110" s="97"/>
      <c r="B110" s="276" t="s">
        <v>205</v>
      </c>
      <c r="C110" s="25">
        <f>Inputs!C112</f>
        <v>1</v>
      </c>
      <c r="D110" s="78"/>
      <c r="E110" s="2"/>
    </row>
    <row r="111">
      <c r="A111" s="97"/>
      <c r="B111" s="276" t="s">
        <v>207</v>
      </c>
      <c r="C111" s="25">
        <f>Inputs!C113</f>
        <v>1</v>
      </c>
      <c r="D111" s="78"/>
      <c r="E111" s="2"/>
    </row>
    <row r="112">
      <c r="A112" s="97"/>
      <c r="B112" s="276" t="s">
        <v>208</v>
      </c>
      <c r="C112" s="25">
        <f>Inputs!C114</f>
        <v>0</v>
      </c>
      <c r="D112" s="78"/>
    </row>
    <row r="113">
      <c r="A113" s="329" t="s">
        <v>156</v>
      </c>
      <c r="B113" s="276" t="s">
        <v>209</v>
      </c>
      <c r="C113" s="25">
        <f>Inputs!C115</f>
        <v>0</v>
      </c>
      <c r="D113" s="78"/>
    </row>
    <row r="114">
      <c r="A114" s="97"/>
      <c r="B114" s="276" t="s">
        <v>211</v>
      </c>
      <c r="C114" s="25">
        <f>Inputs!C116</f>
        <v>0</v>
      </c>
      <c r="D114" s="78"/>
      <c r="E114" s="2"/>
    </row>
    <row r="115">
      <c r="A115" s="97"/>
      <c r="B115" s="276" t="s">
        <v>212</v>
      </c>
      <c r="C115" s="25">
        <f>Inputs!C117</f>
        <v>1</v>
      </c>
      <c r="D115" s="78"/>
    </row>
    <row r="116">
      <c r="A116" s="97"/>
      <c r="B116" s="276" t="s">
        <v>213</v>
      </c>
      <c r="C116" s="25">
        <f>Inputs!C118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0.04814081478</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0.004894802317</v>
      </c>
    </row>
    <row r="117">
      <c r="A117" s="97"/>
      <c r="B117" s="276" t="s">
        <v>214</v>
      </c>
      <c r="C117" s="25">
        <f>Inputs!C119</f>
        <v>1</v>
      </c>
      <c r="D117" s="25">
        <f>Inputs!D119</f>
        <v>0.8</v>
      </c>
    </row>
    <row r="118">
      <c r="A118" s="329" t="s">
        <v>162</v>
      </c>
      <c r="B118" s="276" t="s">
        <v>215</v>
      </c>
      <c r="C118" s="25">
        <f>Inputs!C120</f>
        <v>0</v>
      </c>
      <c r="D118" s="78"/>
    </row>
    <row r="119">
      <c r="A119" s="97"/>
      <c r="B119" s="276" t="s">
        <v>216</v>
      </c>
      <c r="C119" s="25">
        <f>Inputs!C121</f>
        <v>1</v>
      </c>
      <c r="D119" s="78"/>
    </row>
    <row r="120">
      <c r="A120" s="97"/>
      <c r="B120" s="276" t="s">
        <v>217</v>
      </c>
      <c r="C120" s="25">
        <f>Inputs!C122</f>
        <v>1</v>
      </c>
      <c r="D120" s="25">
        <f>Inputs!D122</f>
        <v>0.4</v>
      </c>
      <c r="E120" s="2"/>
    </row>
    <row r="121">
      <c r="A121" s="97"/>
      <c r="B121" s="276" t="s">
        <v>218</v>
      </c>
      <c r="C121" s="25">
        <f>Inputs!C123</f>
        <v>0</v>
      </c>
      <c r="D121" s="25">
        <f>Inputs!D123</f>
        <v>1</v>
      </c>
    </row>
    <row r="122">
      <c r="A122" s="97"/>
      <c r="B122" s="276" t="s">
        <v>219</v>
      </c>
      <c r="C122" s="25">
        <f>Inputs!C124</f>
        <v>1</v>
      </c>
      <c r="D122" s="78"/>
    </row>
    <row r="123">
      <c r="A123" s="329" t="s">
        <v>168</v>
      </c>
      <c r="B123" s="276" t="s">
        <v>220</v>
      </c>
      <c r="C123" s="25">
        <f>Inputs!C125</f>
        <v>0</v>
      </c>
      <c r="D123" s="78"/>
    </row>
    <row r="124">
      <c r="A124" s="97"/>
      <c r="B124" s="276" t="s">
        <v>221</v>
      </c>
      <c r="C124" s="25">
        <f>Inputs!C126</f>
        <v>1</v>
      </c>
      <c r="D124" s="78"/>
      <c r="E124" s="2"/>
    </row>
    <row r="125">
      <c r="A125" s="97"/>
      <c r="B125" s="276" t="s">
        <v>222</v>
      </c>
      <c r="C125" s="25">
        <f>Inputs!C127</f>
        <v>0</v>
      </c>
      <c r="D125" s="78"/>
    </row>
    <row r="126">
      <c r="A126" s="97"/>
      <c r="B126" s="276" t="s">
        <v>223</v>
      </c>
      <c r="C126" s="25">
        <f>Inputs!C128</f>
        <v>1</v>
      </c>
      <c r="D126" s="78"/>
      <c r="E126" s="2"/>
    </row>
    <row r="127">
      <c r="A127" s="329" t="s">
        <v>224</v>
      </c>
      <c r="B127" s="276" t="s">
        <v>225</v>
      </c>
      <c r="C127" s="25">
        <f>Inputs!C129</f>
        <v>4</v>
      </c>
      <c r="D127" s="78"/>
      <c r="E127" s="309">
        <f>T38*(8+C110*4)*(1+C110)+IF(C127&gt;3,1,0)*8*0.125*(T40+T43+T51+T57+T63)</f>
        <v>0.8266711512</v>
      </c>
      <c r="F127" s="309">
        <f>IF(C127=4,(1-(1-(1-(1-(T38*(8+C110*4)))*(1-IF(C127&gt;3,1,0)*(1-0.875^(8*(T40+T43-T46+MIN(($L$9+SUM(Z19:Z36,Z38:Z50)+SUM(Z52:Z76))/(-N51),MAX((1-SUM(U18:U24,U26:U41,U43:U50,U52:U76)+SUM(AA19:AA24,AA26:AA41,AA43:AA50,AA52:AA76)/O42*Q42)/Q51*(-O42/(O51-O42)),0))+2*T57+2*T63)))))))/(3+(2/(L13+0.3)-1+IF(C152=1,0.5,0))/C152),IF(C127&gt;0,1,0)*(1-(1-(T38*(8+C110*4))))/(3+(2/(L13+0.3)-1+IF(C152=1,0.5,0))/C152))</f>
        <v>0.1402974432</v>
      </c>
    </row>
    <row r="128">
      <c r="A128" s="2"/>
      <c r="B128" s="2"/>
      <c r="C128" s="2"/>
      <c r="D128" s="2"/>
      <c r="E128" s="2"/>
    </row>
    <row r="129">
      <c r="A129" s="2"/>
      <c r="B129" s="321" t="s">
        <v>229</v>
      </c>
      <c r="C129" s="2"/>
      <c r="D129" s="2"/>
      <c r="E129" s="2"/>
    </row>
    <row r="130">
      <c r="A130" s="2"/>
      <c r="B130" s="339" t="s">
        <v>231</v>
      </c>
      <c r="C130" s="25">
        <f>Inputs!C132</f>
        <v>0</v>
      </c>
      <c r="D130" s="264">
        <f>Inputs!D132</f>
        <v>0.6</v>
      </c>
      <c r="E130" s="2"/>
    </row>
    <row r="131">
      <c r="A131" s="2"/>
      <c r="B131" s="339" t="s">
        <v>233</v>
      </c>
      <c r="C131" s="25">
        <f>Inputs!C133</f>
        <v>1</v>
      </c>
      <c r="D131" s="264">
        <f>Inputs!D133</f>
        <v>0.85</v>
      </c>
      <c r="E131" s="2"/>
    </row>
    <row r="132">
      <c r="A132" s="2"/>
      <c r="B132" s="2"/>
      <c r="C132" s="2"/>
      <c r="D132" s="2"/>
      <c r="E132" s="2"/>
    </row>
    <row r="133">
      <c r="A133" s="2"/>
      <c r="B133" s="340" t="s">
        <v>234</v>
      </c>
      <c r="C133" s="341"/>
      <c r="D133" s="342" t="s">
        <v>235</v>
      </c>
      <c r="E133" s="342"/>
      <c r="G133" s="340" t="s">
        <v>355</v>
      </c>
      <c r="J133" s="340" t="s">
        <v>356</v>
      </c>
    </row>
    <row r="134">
      <c r="A134" s="2"/>
      <c r="B134" s="343" t="s">
        <v>236</v>
      </c>
      <c r="C134" s="150"/>
      <c r="D134" s="339" t="s">
        <v>237</v>
      </c>
      <c r="E134" s="150"/>
      <c r="G134" s="343" t="s">
        <v>357</v>
      </c>
      <c r="H134" s="311">
        <f>MIN(40,1+12*(2*(1+H8)*T25+T26+1/3*(2)*(1/(1-0.15*C107))+T35*2+T40*(11+2*C107)+T42*(2*C136)*(1+C136*H8)+T43+T38*2*(2*(1+H8))+T38*2*(2*(1+H8))+T62*(2*C136)*(1+C136*H8)+2*(2/12+(1+H8)/12)))</f>
        <v>40</v>
      </c>
      <c r="J134" s="343" t="s">
        <v>358</v>
      </c>
      <c r="K134" s="282">
        <f>C131*7*(1+2*T38*(8+C110*4))*D131</f>
        <v>7.522687225</v>
      </c>
    </row>
    <row r="135">
      <c r="A135" s="2"/>
      <c r="B135" s="343" t="s">
        <v>238</v>
      </c>
      <c r="C135" s="25">
        <f>Inputs!C137</f>
        <v>1</v>
      </c>
      <c r="D135" s="339" t="s">
        <v>239</v>
      </c>
      <c r="E135" s="150"/>
      <c r="G135" s="343" t="s">
        <v>359</v>
      </c>
      <c r="H135" s="312">
        <f>1+C130*(0.05*15+0.05*17*H8)*T75</f>
        <v>1</v>
      </c>
    </row>
    <row r="136">
      <c r="A136" s="2"/>
      <c r="B136" s="343" t="s">
        <v>240</v>
      </c>
      <c r="C136" s="25">
        <f>Inputs!C138</f>
        <v>1</v>
      </c>
      <c r="D136" s="339" t="s">
        <v>241</v>
      </c>
      <c r="E136" s="25">
        <f>Inputs!E138</f>
        <v>1</v>
      </c>
    </row>
    <row r="137">
      <c r="A137" s="2"/>
      <c r="B137" s="343" t="s">
        <v>242</v>
      </c>
      <c r="C137" s="25">
        <f>Inputs!C139</f>
        <v>0</v>
      </c>
      <c r="D137" s="339" t="s">
        <v>243</v>
      </c>
      <c r="E137" s="25">
        <f>Inputs!E139</f>
        <v>0</v>
      </c>
    </row>
    <row r="138">
      <c r="A138" s="2"/>
      <c r="B138" s="343" t="s">
        <v>244</v>
      </c>
      <c r="C138" s="25">
        <f>Inputs!C140</f>
        <v>1</v>
      </c>
      <c r="D138" s="339" t="s">
        <v>245</v>
      </c>
      <c r="E138" s="25">
        <f>Inputs!E140</f>
        <v>0</v>
      </c>
    </row>
    <row r="139">
      <c r="A139" s="2"/>
      <c r="B139" s="343" t="s">
        <v>246</v>
      </c>
      <c r="C139" s="150"/>
      <c r="D139" s="339" t="s">
        <v>247</v>
      </c>
      <c r="E139" s="25">
        <f>Inputs!E141</f>
        <v>1</v>
      </c>
    </row>
    <row r="140">
      <c r="A140" s="2"/>
      <c r="B140" s="2"/>
      <c r="C140" s="2"/>
      <c r="D140" s="339" t="s">
        <v>248</v>
      </c>
      <c r="E140" s="25">
        <f>Inputs!E142</f>
        <v>0</v>
      </c>
    </row>
    <row r="141">
      <c r="A141" s="2"/>
      <c r="B141" s="2"/>
      <c r="C141" s="2"/>
      <c r="D141" s="339" t="s">
        <v>249</v>
      </c>
      <c r="E141" s="25">
        <f>Inputs!E143</f>
        <v>1</v>
      </c>
    </row>
    <row r="142">
      <c r="A142" s="2"/>
      <c r="B142" s="2"/>
      <c r="C142" s="2"/>
      <c r="D142" s="2"/>
      <c r="E142" s="2"/>
    </row>
    <row r="143">
      <c r="A143" s="2"/>
      <c r="B143" s="294" t="s">
        <v>250</v>
      </c>
      <c r="C143" s="2"/>
      <c r="D143" s="2"/>
      <c r="E143" s="2"/>
    </row>
    <row r="144">
      <c r="A144" s="2"/>
      <c r="B144" s="281" t="s">
        <v>251</v>
      </c>
      <c r="C144" s="313">
        <f>Inputs!C146</f>
        <v>0.2</v>
      </c>
      <c r="D144" s="2"/>
      <c r="E144" s="2"/>
    </row>
    <row r="145">
      <c r="A145" s="2"/>
      <c r="B145" s="276" t="s">
        <v>252</v>
      </c>
      <c r="C145" s="25">
        <f>Inputs!C147</f>
        <v>400000</v>
      </c>
      <c r="D145" s="2"/>
      <c r="E145" s="2"/>
    </row>
    <row r="146">
      <c r="A146" s="2"/>
      <c r="B146" s="281" t="s">
        <v>254</v>
      </c>
      <c r="C146" s="313">
        <f>Inputs!C148</f>
        <v>0.2</v>
      </c>
      <c r="D146" s="2"/>
      <c r="E146" s="2"/>
    </row>
    <row r="147">
      <c r="A147" s="2"/>
      <c r="B147" s="281" t="s">
        <v>257</v>
      </c>
      <c r="C147" s="313">
        <f>Inputs!C149</f>
        <v>0</v>
      </c>
      <c r="D147" s="2"/>
      <c r="E147" s="2"/>
    </row>
    <row r="148">
      <c r="A148" s="2"/>
      <c r="B148" s="281" t="s">
        <v>258</v>
      </c>
      <c r="C148" s="313">
        <f>Inputs!C150</f>
        <v>0</v>
      </c>
      <c r="D148" s="2"/>
      <c r="E148" s="2"/>
    </row>
    <row r="149">
      <c r="A149" s="2"/>
      <c r="B149" s="281" t="s">
        <v>259</v>
      </c>
      <c r="C149" s="313">
        <f>Inputs!C151</f>
        <v>1</v>
      </c>
      <c r="D149" s="2"/>
      <c r="E149" s="2"/>
    </row>
    <row r="150">
      <c r="A150" s="2"/>
      <c r="B150" s="276" t="s">
        <v>260</v>
      </c>
      <c r="C150" s="313">
        <f>Inputs!C152</f>
        <v>0.4</v>
      </c>
      <c r="D150" s="2"/>
      <c r="E150" s="2"/>
    </row>
    <row r="151">
      <c r="A151" s="2"/>
      <c r="B151" s="276" t="s">
        <v>261</v>
      </c>
      <c r="C151" s="174">
        <f>Inputs!C153</f>
        <v>0.8</v>
      </c>
      <c r="D151" s="2"/>
      <c r="E151" s="2"/>
    </row>
    <row r="152">
      <c r="A152" s="2"/>
      <c r="B152" s="281" t="s">
        <v>262</v>
      </c>
      <c r="C152" s="25">
        <f>Inputs!C154</f>
        <v>5</v>
      </c>
      <c r="D152" s="2"/>
      <c r="E152" s="2"/>
      <c r="F152" s="2"/>
    </row>
    <row r="153">
      <c r="A153" s="2"/>
      <c r="B153" s="276" t="s">
        <v>263</v>
      </c>
      <c r="C153" s="25">
        <f>Inputs!C155</f>
        <v>90</v>
      </c>
      <c r="D153" s="2"/>
      <c r="E153" s="2"/>
      <c r="F153" s="2"/>
    </row>
    <row r="154">
      <c r="A154" s="2"/>
      <c r="B154" s="281" t="s">
        <v>265</v>
      </c>
      <c r="C154" s="174">
        <f>Inputs!C156</f>
        <v>3966.55</v>
      </c>
      <c r="D154" s="2"/>
      <c r="E154" s="2"/>
      <c r="F154" s="2"/>
    </row>
    <row r="155">
      <c r="A155" s="2"/>
      <c r="D155" s="2"/>
      <c r="E155" s="2"/>
      <c r="F155" s="2"/>
    </row>
    <row r="156">
      <c r="B156" s="344" t="s">
        <v>267</v>
      </c>
      <c r="C156" s="345" t="s">
        <v>268</v>
      </c>
      <c r="D156" s="2"/>
      <c r="E156" s="2"/>
      <c r="F156" s="2"/>
    </row>
    <row r="157">
      <c r="B157" s="346" t="s">
        <v>269</v>
      </c>
      <c r="C157" s="25">
        <f>Inputs!C159</f>
        <v>1</v>
      </c>
      <c r="D157" s="309">
        <f>C157*(0.025+0.1*T42)</f>
        <v>0.06513494365</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0.006610037601</v>
      </c>
      <c r="F157" s="2"/>
    </row>
    <row r="158">
      <c r="B158" s="346" t="s">
        <v>271</v>
      </c>
      <c r="C158" s="25">
        <f>Inputs!C160</f>
        <v>1</v>
      </c>
      <c r="D158" s="2"/>
      <c r="E158" s="2"/>
      <c r="F158" s="2"/>
      <c r="G158" s="2"/>
      <c r="H158" s="2"/>
    </row>
    <row r="159">
      <c r="D159" s="2"/>
      <c r="E159" s="2"/>
      <c r="F159" s="2"/>
      <c r="G159" s="2"/>
      <c r="H159" s="2"/>
    </row>
    <row r="160">
      <c r="B160" s="296" t="s">
        <v>274</v>
      </c>
      <c r="C160" s="2"/>
      <c r="D160" s="2"/>
      <c r="E160" s="2"/>
      <c r="F160" s="2"/>
      <c r="G160" s="2"/>
      <c r="H160" s="2"/>
    </row>
    <row r="161">
      <c r="B161" s="281" t="s">
        <v>275</v>
      </c>
      <c r="C161" s="347"/>
      <c r="D161" s="1"/>
      <c r="E161" s="1"/>
      <c r="F161" s="2"/>
      <c r="G161" s="2"/>
      <c r="H161" s="2"/>
    </row>
    <row r="162">
      <c r="B162" s="281" t="s">
        <v>276</v>
      </c>
      <c r="C162" s="173"/>
      <c r="D162" s="2"/>
      <c r="E162" s="1"/>
      <c r="F162" s="2"/>
      <c r="G162" s="2"/>
      <c r="H162" s="2"/>
    </row>
    <row r="163">
      <c r="B163" s="281" t="s">
        <v>361</v>
      </c>
      <c r="C163" s="315"/>
      <c r="D163" s="2"/>
      <c r="E163" s="2"/>
      <c r="F163" s="2"/>
      <c r="G163" s="2"/>
      <c r="H163" s="2"/>
    </row>
    <row r="164">
      <c r="B164" s="281" t="s">
        <v>362</v>
      </c>
      <c r="C164" s="235"/>
      <c r="D164" s="2"/>
      <c r="E164" s="2"/>
      <c r="G164" s="2"/>
      <c r="H164" s="2"/>
    </row>
    <row r="165">
      <c r="B165" s="281" t="s">
        <v>278</v>
      </c>
      <c r="C165" s="316"/>
      <c r="G165" s="2"/>
      <c r="H165" s="2"/>
    </row>
    <row r="166">
      <c r="B166" s="281" t="s">
        <v>280</v>
      </c>
      <c r="C166" s="27"/>
      <c r="G166" s="2"/>
      <c r="H166" s="2"/>
    </row>
    <row r="167">
      <c r="B167" s="281" t="s">
        <v>363</v>
      </c>
      <c r="C167" s="317"/>
      <c r="G167" s="2"/>
      <c r="H167" s="2"/>
    </row>
    <row r="168">
      <c r="B168" s="281" t="s">
        <v>364</v>
      </c>
      <c r="C168" s="236"/>
      <c r="D168" s="202"/>
      <c r="G168" s="2"/>
      <c r="H168" s="2"/>
    </row>
    <row r="169">
      <c r="B169" s="318"/>
      <c r="C169" s="202"/>
      <c r="D169" s="202"/>
      <c r="G169" s="2"/>
      <c r="H169" s="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row r="196">
      <c r="N196" s="4" t="s">
        <v>366</v>
      </c>
      <c r="O196" s="4">
        <v>3.0</v>
      </c>
      <c r="P196" s="326">
        <f>SUM(P167:Q167)</f>
        <v>0</v>
      </c>
    </row>
    <row r="197">
      <c r="O197" s="4">
        <v>4.0</v>
      </c>
      <c r="P197" s="326">
        <f>SUM(P167:Q167)</f>
        <v>0</v>
      </c>
    </row>
    <row r="198">
      <c r="O198" s="4">
        <v>5.0</v>
      </c>
      <c r="P198" s="326">
        <f>SUM(P167:Q167)</f>
        <v>0</v>
      </c>
    </row>
    <row r="199">
      <c r="O199" s="4">
        <v>6.0</v>
      </c>
      <c r="P199" s="326">
        <f>SUM(P167:X167)</f>
        <v>0</v>
      </c>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17.75"/>
    <col customWidth="1" min="9" max="9" width="23.25"/>
    <col customWidth="1" min="10" max="10" width="17.88"/>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2.5"/>
    <col customWidth="1" min="19" max="19" width="15.25"/>
    <col customWidth="1" min="20" max="20" width="15.88"/>
    <col customWidth="1" min="21" max="21" width="12.38"/>
    <col customWidth="1" min="22" max="22" width="11.75"/>
    <col customWidth="1" min="23" max="23" width="19.25"/>
    <col customWidth="1" min="24" max="24" width="19.13"/>
    <col customWidth="1" min="25" max="25" width="11.25"/>
    <col customWidth="1" min="26" max="26" width="15.0"/>
    <col customWidth="1" min="27" max="27" width="19.63"/>
    <col customWidth="1" min="28" max="28" width="19.13"/>
  </cols>
  <sheetData>
    <row r="2">
      <c r="B2" s="266" t="s">
        <v>373</v>
      </c>
    </row>
    <row r="4">
      <c r="B4" s="267" t="s">
        <v>1</v>
      </c>
      <c r="C4" s="268" t="s">
        <v>3</v>
      </c>
      <c r="D4" s="269" t="s">
        <v>5</v>
      </c>
      <c r="E4" s="269" t="s">
        <v>7</v>
      </c>
      <c r="G4" s="267" t="s">
        <v>9</v>
      </c>
      <c r="J4" s="229"/>
      <c r="N4" s="270" t="s">
        <v>10</v>
      </c>
    </row>
    <row r="5">
      <c r="B5" s="271" t="s">
        <v>12</v>
      </c>
      <c r="C5" s="231">
        <f>H5*(1+C21*0.05*(1+0.2*C63))</f>
        <v>3852</v>
      </c>
      <c r="D5" s="27"/>
      <c r="E5" s="27"/>
      <c r="G5" s="271" t="s">
        <v>21</v>
      </c>
      <c r="H5" s="277">
        <f>Baseline!H5</f>
        <v>3852</v>
      </c>
      <c r="I5" s="272" t="s">
        <v>31</v>
      </c>
      <c r="J5" s="49">
        <f>(C5*1.45+((J6*(1+E116)*(1+D157)*1.8)+IF(E28=3,1,0)*1.13*(1-exp(-1*$J$9*12/60))*($J$6*(1+E116)*(1+D157)*0.02*$J$10)))*(1+0.06*C75)</f>
        <v>12077.94396</v>
      </c>
      <c r="K5" s="272" t="s">
        <v>41</v>
      </c>
      <c r="L5" s="52">
        <f>(J5 / (J5 + C154))</f>
        <v>0.7527781176</v>
      </c>
      <c r="N5" s="273" t="s">
        <v>46</v>
      </c>
      <c r="O5" s="274" t="s">
        <v>47</v>
      </c>
      <c r="P5" s="274" t="s">
        <v>49</v>
      </c>
      <c r="Q5" s="275" t="s">
        <v>325</v>
      </c>
      <c r="R5" s="275" t="s">
        <v>53</v>
      </c>
      <c r="S5" s="275" t="s">
        <v>326</v>
      </c>
      <c r="T5" s="274" t="s">
        <v>56</v>
      </c>
      <c r="U5" s="275" t="s">
        <v>57</v>
      </c>
      <c r="V5" s="276" t="s">
        <v>59</v>
      </c>
      <c r="W5" s="269" t="s">
        <v>60</v>
      </c>
      <c r="X5" s="268" t="s">
        <v>63</v>
      </c>
    </row>
    <row r="6">
      <c r="B6" s="271" t="s">
        <v>36</v>
      </c>
      <c r="C6" s="231">
        <f>(H6+C34*33)*(1+C21*0.05*(1+0.2*C63))</f>
        <v>2672</v>
      </c>
      <c r="D6" s="27"/>
      <c r="E6" s="27"/>
      <c r="G6" s="271" t="s">
        <v>65</v>
      </c>
      <c r="H6" s="277">
        <f>Baseline!H6</f>
        <v>2672</v>
      </c>
      <c r="I6" s="271" t="s">
        <v>67</v>
      </c>
      <c r="J6" s="52">
        <f>(C6+E32*252*8/120+E34*50)*(1+B21*1.13*(1-exp(-3*J9*15/60))*0.15*(1+0.2*C63))*(1+0.03*C77*(1-(0.85)^(8*L9)))*(1+0.1*12*(1/S40)*C131*(1-IF(OR(D100=1,AND(C152&lt;4,C131=1)),0,1)*IF(D100=2,1-(1-(0.75)^((5+(H15/2))/H15))/(1+3*(1-(0.75)^((5+(H15/2))/H15))*C82),1)*IF(NOT(OR(OR(D100=1,AND(C152&lt;4,C131=1)),D100=2)),1-(1-(0.75)^((4+(H15/2))/H15)),1)))*(1+0.1*T69*8*IF(C152=1,1,0))</f>
        <v>2890.654188</v>
      </c>
      <c r="K6" s="271" t="s">
        <v>82</v>
      </c>
      <c r="L6" s="84">
        <f>(J6-622)/19130</f>
        <v>0.1185914369</v>
      </c>
      <c r="N6" s="276" t="s">
        <v>87</v>
      </c>
      <c r="O6" s="250">
        <f>Baseline!O6</f>
        <v>3608042.253</v>
      </c>
      <c r="P6" s="94">
        <f>(O6-E26*C152/2*C7*0.0003*30)*(1-$L$14)*(1-$L$5)*$L$10*(1-0.01*E32)*(1-0.2/C152*C74)*(1-C51*0.12/C152*1.13*(1-exp(-3*6/60*55/120)))*(1-$C$135*$C$130*$D$130*0.075)*(1-$C$131*E136*10/S40*0.08)*(1-F116)*(1-E157)*(1-IF(C127&gt;1,1)*0.06*E127)*(1-(0.04*10*(1/S40)*C100*(1-IF(OR(D100=1,AND(C152&lt;4,C131=1)),0,1)*IF(D100=2,1-(1-(0.75)^((5+(H15/2))/H15))/(1+3*(1-(0.75)^((5+(H15/2))/H15))*C82),1)*IF(NOT(OR(OR(D100=1,AND(C152&lt;4,C131=1)),D100=2)),1-(1-(0.75)^((4+(H15/2))/H15)),1))))*(1-C120*0.025)</f>
        <v>428388.0441</v>
      </c>
      <c r="Q6" s="99">
        <f>P6*(1-((1-(1-(T38*(8+C110*4)))*(1-IF(C127&gt;3,1,0)*(1-0.875^(8*(T40+T43+T51+T57+T63)))))*MIN(0.3/(1-$L$14),1)))</f>
        <v>328767.1233</v>
      </c>
      <c r="R6" s="94">
        <f>Q6*(1-($T$52*8)*(0.3+0.1*$E$139))</f>
        <v>320000</v>
      </c>
      <c r="S6" s="102">
        <f t="shared" ref="S6:S7" si="1">R6*(1-($T$70*8)*0.1)*(1-($T$26*8)*0.1)</f>
        <v>320000</v>
      </c>
      <c r="T6" s="94">
        <f t="shared" ref="T6:T9" si="2">S6</f>
        <v>320000</v>
      </c>
      <c r="U6" s="107"/>
      <c r="V6" s="27"/>
      <c r="W6" s="27"/>
      <c r="X6" s="27"/>
    </row>
    <row r="7">
      <c r="B7" s="271" t="s">
        <v>40</v>
      </c>
      <c r="C7" s="231">
        <f>(H7+C26*99)*(1+C21*0.05*(1+0.2*C63))*1.05*(1+0.2*C55)*(1.4)</f>
        <v>77197</v>
      </c>
      <c r="D7" s="27"/>
      <c r="E7" s="27"/>
      <c r="G7" s="271" t="s">
        <v>121</v>
      </c>
      <c r="H7" s="277">
        <f>Baseline!H7</f>
        <v>43762.47166</v>
      </c>
      <c r="I7" s="280" t="s">
        <v>124</v>
      </c>
      <c r="J7" s="109">
        <f>C7*20</f>
        <v>1543940</v>
      </c>
      <c r="K7" s="280" t="s">
        <v>127</v>
      </c>
      <c r="L7" s="111">
        <f>(J7+IF(E28=3,1,0)*1.13*(1-exp(-1*$J$9*12/60))*($J$6*1.3*$J$10))*(1+0.01*C97*(D97+2*C104))</f>
        <v>1682894.6</v>
      </c>
      <c r="N7" s="281" t="s">
        <v>131</v>
      </c>
      <c r="O7" s="250">
        <f>Baseline!O7</f>
        <v>0</v>
      </c>
      <c r="P7" s="94">
        <f>O7*$J$13*(1-$L$5)*$L$10*(1-0.01*E32)*(1-C51*0.12/C152*1.13*(1-exp(-3*6/60*55/120)))*(1-$C$135*$C$130*$D$130*0.075)*(1-$C$131*E136*10/S40*0.08)*(1-IF(C127&gt;1,1)*0.06*E127)*(1-(0.04*10*(1/S40)*C100*(1-IF(OR(D100=1,AND(C152&lt;4,C131=1)),0,1)*IF(D100=2,1-(1-(0.75)^((5+(H15/2))/H15))/(1+3*(1-(0.75)^((5+(H15/2))/H15))*C82),1)*IF(NOT(OR(OR(D100=1,AND(C152&lt;4,C131=1)),D100=2)),1-(1-(0.75)^((4+(H15/2))/H15)),1))))*(1-C120*0.025)</f>
        <v>0</v>
      </c>
      <c r="Q7" s="27"/>
      <c r="R7" s="94">
        <f t="shared" ref="R7:R9" si="3">P7*(1-($T$52*8)*(0.3+0.1*$E$139))</f>
        <v>0</v>
      </c>
      <c r="S7" s="102">
        <f t="shared" si="1"/>
        <v>0</v>
      </c>
      <c r="T7" s="94">
        <f t="shared" si="2"/>
        <v>0</v>
      </c>
      <c r="U7" s="107"/>
      <c r="V7" s="27"/>
      <c r="W7" s="27"/>
      <c r="X7" s="27"/>
    </row>
    <row r="8">
      <c r="B8" s="271" t="s">
        <v>44</v>
      </c>
      <c r="C8" s="25">
        <f>Inputs!C10</f>
        <v>778.5</v>
      </c>
      <c r="D8" s="282">
        <f>(C8+225*15/2/120*IF(1&lt;(IF(C8&gt;C9,1,0)+IF(C8&gt;C10,1,0)+IF(C8&gt;C11,1,0)),E27,0))*(1+0.02*C30)/(1+0.02*Baseline!C30)</f>
        <v>778.5</v>
      </c>
      <c r="E8" s="282">
        <f>IF(D8&lt;=1380,D8,IF(D8&lt;=1840,1380+0.9*(D8-1380),IF(D8&lt;=2300,1794+0.8*(D8-1840),IF(D8&lt;=2760,2162+0.7*(D8-2300),IF(D8&lt;=3680,2484+0.6*(D8-2760),IF(D8&lt;=9200,3036+0.5*(D8-3680),5796))))))</f>
        <v>778.5</v>
      </c>
      <c r="F8" s="4"/>
      <c r="G8" s="271" t="s">
        <v>159</v>
      </c>
      <c r="H8" s="118">
        <f>E8/4600+0.05+(C28+C32+C35)*0.01+IF(E28=4,1,0)*1.13*(1-exp(-1*$J$9*12/60))*0.04</f>
        <v>0.2192391304</v>
      </c>
      <c r="I8" s="271" t="s">
        <v>164</v>
      </c>
      <c r="J8" s="119">
        <f>1+H8*(1+2*0.02*(C26+C31))</f>
        <v>1.21923913</v>
      </c>
      <c r="K8" s="271" t="s">
        <v>167</v>
      </c>
      <c r="L8" s="84">
        <f>E8/5200/(1+0.02*C30)</f>
        <v>0.1497115385</v>
      </c>
      <c r="N8" s="276" t="s">
        <v>170</v>
      </c>
      <c r="O8" s="250">
        <f>Baseline!O8</f>
        <v>112528.835</v>
      </c>
      <c r="P8" s="94">
        <f>O8*$L$10*(1-C51*0.12/C152*1.13*(1-exp(-3*6/60*55/120)))*(1-$C$135*$C$130*$D$130*0.075)*(1-0.08*$C$80)*(1-IF(C127&gt;1,1)*0.06*E127)*(1-(0.04*10*(1/S40)*C100*(1-IF(OR(D100=1,AND(C152&lt;4,C131=1)),0,1)*IF(D100=2,1-(1-(0.75)^((5+(H15/2))/H15))/(1+3*(1-(0.75)^((5+(H15/2))/H15))*C82),1)*IF(NOT(OR(OR(D100=1,AND(C152&lt;4,C131=1)),D100=2)),1-(1-(0.75)^((4+(H15/2))/H15)),1))))*(1-C120*0.025)</f>
        <v>82191.78082</v>
      </c>
      <c r="Q8" s="27"/>
      <c r="R8" s="94">
        <f t="shared" si="3"/>
        <v>80000</v>
      </c>
      <c r="S8" s="102">
        <f t="shared" ref="S8:S9" si="4">R8*(1-($T$26*8)*0.1)</f>
        <v>80000</v>
      </c>
      <c r="T8" s="94">
        <f t="shared" si="2"/>
        <v>80000</v>
      </c>
      <c r="U8" s="94">
        <f>T8*(T20*(6+2*C67))*0.15</f>
        <v>0</v>
      </c>
      <c r="V8" s="99">
        <f>IF(T8-U8-$T$19*(($L$7*0.3*$J$10*(1+0.4*$C$68)*(1+0.15*$C$46)))&gt;0,$T$19*($L$7*0.3*$J$10*(1+0.4*$C$68)*(1+0.15*$C$46)),T8-U8)</f>
        <v>11765.66776</v>
      </c>
      <c r="W8" s="27"/>
      <c r="X8" s="27"/>
    </row>
    <row r="9">
      <c r="B9" s="271" t="s">
        <v>50</v>
      </c>
      <c r="C9" s="25">
        <f>Inputs!C11</f>
        <v>1053.5</v>
      </c>
      <c r="D9" s="282">
        <f>(C9+225*15/2/120*IF(1&lt;(IF(C9&gt;C8,1,0)+IF(C9&gt;C10,1,0)+IF(C9&gt;C11,1,0)),E27,0))*(1+0.02*C30)/(1+0.02*Baseline!C30)</f>
        <v>1053.5</v>
      </c>
      <c r="E9" s="282">
        <f>IF(D9&lt;=1320,D9,IF(D9&lt;=1760,1320+0.9*(D9-1320),IF(D9&lt;=2200,1716+0.8*(D9-1760),IF(D9&lt;=2640,2068+0.7*(D9-2200),IF(D9&lt;=3520,2376+0.6*(D9-2640),IF(D9&lt;=8800,2904+0.5*(D9-3520),5544))))))</f>
        <v>1053.5</v>
      </c>
      <c r="F9" s="4"/>
      <c r="G9" s="271" t="s">
        <v>192</v>
      </c>
      <c r="H9" s="118">
        <f>(1+(C29+C33)*0.01)*E9/4400+(C29+C33)*0.01</f>
        <v>0.2394318182</v>
      </c>
      <c r="I9" s="271" t="s">
        <v>194</v>
      </c>
      <c r="J9" s="132">
        <f>(1+H9)*(1+C27*0.15/18)*(1+0.1*C104)*(1+0.02*C49)*(1+0.01*K134)</f>
        <v>1.524574934</v>
      </c>
      <c r="K9" s="283" t="s">
        <v>198</v>
      </c>
      <c r="L9" s="133">
        <f>3/10*J9</f>
        <v>0.4573724803</v>
      </c>
      <c r="N9" s="284" t="s">
        <v>200</v>
      </c>
      <c r="O9" s="250">
        <f>Baseline!O9</f>
        <v>0</v>
      </c>
      <c r="P9" s="135">
        <f>O9*$J$13*$L$10*(1-C51*0.12/C152*1.13*(1-exp(-3*6/60*55/120)))*(1-$C$135*$C$130*$D$130*0.075)*(1-0.08*$C$80)*(1-IF(C127&gt;1,1)*0.06*E127)*(1-(0.04*10*(1/S40)*C100*(1-IF(OR(D100=1,AND(C152&lt;4,C131=1)),0,1)*IF(D100=2,1-(1-(0.75)^((5+(H15/2))/H15))/(1+3*(1-(0.75)^((5+(H15/2))/H15))*C82),1)*IF(NOT(OR(OR(D100=1,AND(C152&lt;4,C131=1)),D100=2)),1-(1-(0.75)^((4+(H15/2))/H15)),1))))*(1-C120*0.025)</f>
        <v>0</v>
      </c>
      <c r="Q9" s="136"/>
      <c r="R9" s="135">
        <f t="shared" si="3"/>
        <v>0</v>
      </c>
      <c r="S9" s="102">
        <f t="shared" si="4"/>
        <v>0</v>
      </c>
      <c r="T9" s="94">
        <f t="shared" si="2"/>
        <v>0</v>
      </c>
      <c r="U9" s="135">
        <f>T8*(T20*(6+2*C67))*0.15</f>
        <v>0</v>
      </c>
      <c r="V9" s="135">
        <f>IF(T8+T9-U8-U9-V8&gt;0,MIN($T$19*($L$7*0.3*$J$10*(1+0.4*$C$68)*(1+0.15*$C$46))-V8,T8+T9-U8-U9-V8),0)
</f>
        <v>0</v>
      </c>
      <c r="W9" s="136"/>
      <c r="X9" s="136"/>
    </row>
    <row r="10">
      <c r="B10" s="271" t="s">
        <v>55</v>
      </c>
      <c r="C10" s="25">
        <f>Inputs!C12</f>
        <v>1514.5</v>
      </c>
      <c r="D10" s="282">
        <f>(C10+65*E24+225*15/2/120*IF(1&lt;(IF(C10&gt;C8,1,0)+IF(C10&gt;C9,0)+IF(C10&gt;C11,1,0)),E27,0))*(1+0.02*C30)/(1+0.02*Baseline!C30)</f>
        <v>1514.5</v>
      </c>
      <c r="E10" s="282">
        <f>IF(D10&lt;=1620,D10,IF(D10&lt;=2160,1622+0.9*(D10-1620),IF(D10&lt;=2700,2106+0.8*(D10-2160),IF(D10&lt;=3240,2538+0.7*(D10-2700),IF(D10&lt;=4320,2916+0.6*(D10-3240),IF(D10&lt;=10800,3564+0.5*(D10-4320),6804))))))</f>
        <v>1514.5</v>
      </c>
      <c r="F10" s="4"/>
      <c r="G10" s="271" t="s">
        <v>210</v>
      </c>
      <c r="H10" s="118">
        <f>E10/5400+(E26+E33)*0.01</f>
        <v>0.280462963</v>
      </c>
      <c r="I10" s="281" t="s">
        <v>226</v>
      </c>
      <c r="J10" s="119">
        <f>1+H10</f>
        <v>1.280462963</v>
      </c>
      <c r="K10" s="281" t="s">
        <v>228</v>
      </c>
      <c r="L10" s="119">
        <f>1-H10/2</f>
        <v>0.8597685185</v>
      </c>
      <c r="N10" s="286" t="s">
        <v>230</v>
      </c>
      <c r="O10" s="140">
        <f t="shared" ref="O10:U10" si="5">SUM(O6:O9)</f>
        <v>3720571.088</v>
      </c>
      <c r="P10" s="140">
        <f t="shared" si="5"/>
        <v>510579.8249</v>
      </c>
      <c r="Q10" s="140">
        <f t="shared" si="5"/>
        <v>328767.1233</v>
      </c>
      <c r="R10" s="140">
        <f t="shared" si="5"/>
        <v>400000</v>
      </c>
      <c r="S10" s="140">
        <f t="shared" si="5"/>
        <v>400000</v>
      </c>
      <c r="T10" s="140">
        <f t="shared" si="5"/>
        <v>400000</v>
      </c>
      <c r="U10" s="140">
        <f t="shared" si="5"/>
        <v>0</v>
      </c>
      <c r="V10" s="140">
        <f>sum(V6:V9)</f>
        <v>11765.66776</v>
      </c>
      <c r="W10" s="140">
        <f>(Y77+C27*0.0011*L7*(1-C144))</f>
        <v>384443.5455</v>
      </c>
      <c r="X10" s="152">
        <f>(MAX((T10-U10-V10-W10),0)*(1-$T$76*(10+2*C92))+MAX((T10-U10-V10-W10*(1.3+0.05*C92)),0)*($T$76*(10+2*C92))/(1.3+0.05*C92))/IF(D100=2,(1+0.06*(1-T40*(1-(0.75)^((5+(H15/2))/H15))/(1+3*(1-(0.75)^((5+(H15/2))/H15))*C82)/(1-(0.75)^((5+(H15/2))/H15)))),(1+0.02*C49))</f>
        <v>1257.474567</v>
      </c>
    </row>
    <row r="11">
      <c r="B11" s="271" t="s">
        <v>62</v>
      </c>
      <c r="C11" s="25">
        <f>Inputs!C13</f>
        <v>479.5</v>
      </c>
      <c r="D11" s="282">
        <f>(C11+225*15/2/120*IF(1&lt;(IF(C11&gt;C8,1,0)+IF(C11&gt;C10,1,0)+IF(C11&gt;C9,1,0)),E27,0))*(1+0.02*C30)/(1+0.02*Baseline!C30)</f>
        <v>479.5</v>
      </c>
      <c r="E11" s="282">
        <f>IF(D11&lt;=1380,D11,IF(D11&lt;=1840,1380+0.9*(D11-1380),IF(D11&lt;=2300,1794+0.8*(D11-1840),IF(D11&lt;=2760,2162+0.7*(D11-2300),IF(D11&lt;=3680,2484+0.6*(D11-2760),IF(D11&lt;=9200,3036+0.5*(D11-3680),5796))))))</f>
        <v>479.5</v>
      </c>
      <c r="F11" s="4"/>
      <c r="G11" s="271" t="s">
        <v>232</v>
      </c>
      <c r="H11" s="118">
        <f>0.16+E11/2300+0.002*(C131*K134)</f>
        <v>0.3835236353</v>
      </c>
      <c r="I11" s="283" t="s">
        <v>253</v>
      </c>
      <c r="J11" s="119">
        <f t="shared" ref="J11:J12" si="6">H11</f>
        <v>0.3835236353</v>
      </c>
      <c r="K11" s="271" t="s">
        <v>255</v>
      </c>
      <c r="L11" s="52">
        <f>1+H11/2</f>
        <v>1.191761818</v>
      </c>
    </row>
    <row r="12">
      <c r="B12" s="281" t="s">
        <v>64</v>
      </c>
      <c r="C12" s="25">
        <f>Inputs!C14</f>
        <v>0</v>
      </c>
      <c r="D12" s="115">
        <f t="shared" ref="D12:D13" si="7">C12</f>
        <v>0</v>
      </c>
      <c r="E12" s="115">
        <f>IF(D12&lt;=690,D12,IF(D12&lt;=1035,690+0.8*(D12-690),IF(D12&lt;=1380,966+0.6*(D12-1035),1173+0.4*(D12-1380))))</f>
        <v>0</v>
      </c>
      <c r="F12" s="4"/>
      <c r="G12" s="271" t="s">
        <v>256</v>
      </c>
      <c r="H12" s="159">
        <f>E12/6900+C71*0.03+C131*E138*0.02</f>
        <v>0.03</v>
      </c>
      <c r="I12" s="271" t="s">
        <v>264</v>
      </c>
      <c r="J12" s="119">
        <f t="shared" si="6"/>
        <v>0.03</v>
      </c>
      <c r="K12" s="271" t="s">
        <v>266</v>
      </c>
      <c r="L12" s="119">
        <f>J12+C111*0.15*MIN(8*T42,1)+0.06*(10+2*$C$72)*T54*(1+C131*E138)</f>
        <v>0.185</v>
      </c>
    </row>
    <row r="13">
      <c r="B13" s="281" t="s">
        <v>66</v>
      </c>
      <c r="C13" s="231">
        <f>Inputs!C15+10</f>
        <v>10</v>
      </c>
      <c r="D13" s="115">
        <f t="shared" si="7"/>
        <v>10</v>
      </c>
      <c r="E13" s="115">
        <f>IF(D13&lt;=368,D13,IF(D13&lt;=552,368+0.8*(D13-368),IF(D13&lt;=736,515.2+0.6*(D13-552),625.6+0.4*(D13-736))))</f>
        <v>10</v>
      </c>
      <c r="F13" s="4"/>
      <c r="G13" s="271" t="s">
        <v>270</v>
      </c>
      <c r="H13" s="159">
        <f>E13/3680+C70*0.03</f>
        <v>0.002717391304</v>
      </c>
      <c r="I13" s="271" t="s">
        <v>272</v>
      </c>
      <c r="J13" s="119">
        <f>1-H13</f>
        <v>0.9972826087</v>
      </c>
      <c r="K13" s="271" t="s">
        <v>273</v>
      </c>
      <c r="L13" s="84">
        <f>622/19130+0.03+(L6+L8)/((L6+L8)*1+1/0.94)+0.05*8*T28</f>
        <v>0.2639229608</v>
      </c>
      <c r="N13" s="290" t="s">
        <v>24</v>
      </c>
      <c r="V13" s="171"/>
    </row>
    <row r="14">
      <c r="B14" s="271" t="s">
        <v>68</v>
      </c>
      <c r="C14" s="174">
        <f>Inputs!C16</f>
        <v>151.4</v>
      </c>
      <c r="D14" s="27"/>
      <c r="E14" s="27"/>
      <c r="F14" s="4"/>
      <c r="G14" s="271" t="s">
        <v>277</v>
      </c>
      <c r="H14" s="159">
        <f>0.03+0.02*C32</f>
        <v>0.03</v>
      </c>
      <c r="I14" s="283" t="s">
        <v>279</v>
      </c>
      <c r="J14" s="133">
        <f>(1+E30*0.05*(1.13*(1-exp(-1*J9*15/60))))*(1+C57*0.06*(1-0.85^(5/(3/((1/(1-0.15*C107))*(1+C130))))))*(1+C117*0.05)*IF(D100=2,(1+0.06*C119*(1-T40*(1-(0.75)^((5+(H15/2))/H15))/(1+3*(1-(0.75)^((5+(H15/2))/H15))*C82)/(1-(0.75)^((5+(H15/2))/H15)))),(1+0.06*(14-5*C131*E137)*C119*(1/S40)))*(1+IF(C127&gt;2,2,IF(C127=2,1,0))*0.03*E127)</f>
        <v>1.187331929</v>
      </c>
      <c r="K14" s="283" t="s">
        <v>281</v>
      </c>
      <c r="L14" s="84">
        <f>MAX(L13-0.015*(C153-90),0)+MAX(H14-0.015*(C153-90),0)+MAX(0.03-0.015*(C153-90),0)</f>
        <v>0.3239229608</v>
      </c>
      <c r="N14" s="291" t="s">
        <v>71</v>
      </c>
      <c r="O14" s="291" t="s">
        <v>115</v>
      </c>
      <c r="P14" s="291" t="s">
        <v>150</v>
      </c>
      <c r="Q14" s="291" t="s">
        <v>282</v>
      </c>
      <c r="R14" s="291" t="s">
        <v>283</v>
      </c>
      <c r="S14" s="291" t="s">
        <v>284</v>
      </c>
    </row>
    <row r="15">
      <c r="B15" s="281" t="s">
        <v>69</v>
      </c>
      <c r="C15" s="174">
        <f>Inputs!C17</f>
        <v>3.6</v>
      </c>
      <c r="D15" s="27"/>
      <c r="E15" s="27"/>
      <c r="F15" s="4"/>
      <c r="G15" s="271" t="s">
        <v>285</v>
      </c>
      <c r="H15" s="178">
        <f>C15/(J9*(1+0.06*(3+1.5*C130*C136)*C59*D59))/((195.5+21.9*C152-0.673*C152^2)/195.5)</f>
        <v>1.378599312</v>
      </c>
      <c r="I15" s="291" t="s">
        <v>286</v>
      </c>
      <c r="J15" s="133">
        <f>(1+E30*0.05*(1.13*(1-exp(-1*J9*15/60))))*IF(D100=2,(1+0.06*C119*(1-T40*(1-(0.75)^((5+(H15/2))/H15))/(1+3*(1-(0.75)^((5+(H15/2))/H15))*C82)/(1-(0.75)^((5+(H15/2))/H15)))),(1+0.02*C49))*(1+C73*0.15*(5+2*C68)*(1/S19*C149*(1-C150)))*(1+0.01*E31)</f>
        <v>1.04</v>
      </c>
      <c r="K15" s="291" t="s">
        <v>288</v>
      </c>
      <c r="L15" s="133">
        <f>IF(C127=4,1/(2.5+(2/(1-(L14+0.3*(0.151+0.367*(J8)-0.0791*(J8)^2+0.0086*(J8)^3)))-1+IF(C152=1,0.5,0))/C152),1/(2.5+(2/(1-(L14+0.3*T38*(8+C110*4)))-1+IF(C152=1,0.5,0))/C152))</f>
        <v>0.3269240909</v>
      </c>
      <c r="N15" s="181">
        <f>IF(X10=0,"Self-Sufficient (+"&amp;Round(-((T10-U10-V10-W10)*(1-$T$76*(10+2*C92))+(T10-U10-V10-W10*(1.3+0.05*C92))*($T$76*(10+2*C92)))/O10%,2)&amp;"%)",($O$10-$X$10)/$O$10)</f>
        <v>0.9996620211</v>
      </c>
      <c r="O15" s="182">
        <f t="shared" ref="O15:P15" si="8">V77</f>
        <v>324430.9328</v>
      </c>
      <c r="P15" s="182">
        <f t="shared" si="8"/>
        <v>112067.4741</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9369364.527</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11517616.61</v>
      </c>
      <c r="S15" s="182">
        <f>$L$7*O10/T10*(0.7+0.3/(1-0.15*C79-0.05*IF(C79&gt;0,1,0)))*(1+($T$76*(10+2*C92))*0.3)</f>
        <v>21754755.47</v>
      </c>
    </row>
    <row r="17">
      <c r="A17" s="2"/>
      <c r="B17" s="294" t="s">
        <v>70</v>
      </c>
      <c r="C17" s="2"/>
      <c r="D17" s="2"/>
      <c r="E17" s="2"/>
      <c r="G17" s="296" t="s">
        <v>292</v>
      </c>
      <c r="H17" s="269" t="s">
        <v>255</v>
      </c>
      <c r="I17" s="268" t="s">
        <v>293</v>
      </c>
      <c r="J17" s="268" t="s">
        <v>294</v>
      </c>
      <c r="K17" s="269" t="s">
        <v>295</v>
      </c>
      <c r="L17" s="269" t="s">
        <v>296</v>
      </c>
      <c r="M17" s="268" t="s">
        <v>297</v>
      </c>
      <c r="N17" s="268" t="s">
        <v>298</v>
      </c>
      <c r="O17" s="268" t="s">
        <v>299</v>
      </c>
      <c r="P17" s="269" t="s">
        <v>300</v>
      </c>
      <c r="Q17" s="268" t="s">
        <v>301</v>
      </c>
      <c r="R17" s="268" t="s">
        <v>302</v>
      </c>
      <c r="S17" s="268" t="s">
        <v>303</v>
      </c>
      <c r="T17" s="268" t="s">
        <v>304</v>
      </c>
      <c r="U17" s="268" t="s">
        <v>305</v>
      </c>
      <c r="V17" s="269" t="s">
        <v>115</v>
      </c>
      <c r="W17" s="269" t="s">
        <v>150</v>
      </c>
      <c r="X17" s="268" t="s">
        <v>306</v>
      </c>
      <c r="Y17" s="269" t="s">
        <v>307</v>
      </c>
      <c r="Z17" s="268" t="s">
        <v>308</v>
      </c>
      <c r="AA17" s="268" t="s">
        <v>309</v>
      </c>
      <c r="AB17" s="269" t="s">
        <v>310</v>
      </c>
    </row>
    <row r="18">
      <c r="A18" s="2"/>
      <c r="B18" s="276" t="s">
        <v>72</v>
      </c>
      <c r="C18" s="276" t="s">
        <v>73</v>
      </c>
      <c r="D18" s="276" t="s">
        <v>74</v>
      </c>
      <c r="E18" s="276" t="s">
        <v>75</v>
      </c>
      <c r="G18" s="297" t="s">
        <v>195</v>
      </c>
      <c r="H18" s="194"/>
      <c r="I18" s="194"/>
      <c r="J18" s="194"/>
      <c r="K18" s="194"/>
      <c r="L18" s="194"/>
      <c r="M18" s="194"/>
      <c r="N18" s="194"/>
      <c r="O18" s="195"/>
      <c r="P18" s="194"/>
      <c r="Q18" s="196">
        <f>1.5/$J$9</f>
        <v>0.983880796</v>
      </c>
      <c r="R18" s="197">
        <v>120.0</v>
      </c>
      <c r="S18" s="198">
        <f>R18+$C$151</f>
        <v>120.8</v>
      </c>
      <c r="T18" s="196">
        <f>1/S18*C102*D102</f>
        <v>0</v>
      </c>
      <c r="U18" s="199">
        <f>T18*Q18</f>
        <v>0</v>
      </c>
      <c r="V18" s="194"/>
      <c r="W18" s="194"/>
      <c r="X18" s="194"/>
      <c r="Y18" s="194"/>
      <c r="Z18" s="194"/>
      <c r="AA18" s="195"/>
      <c r="AB18" s="194"/>
    </row>
    <row r="19">
      <c r="A19" s="2"/>
      <c r="B19" s="174" t="str">
        <f>Inputs!B21</f>
        <v/>
      </c>
      <c r="C19" s="174">
        <f>Inputs!C21</f>
        <v>1</v>
      </c>
      <c r="D19" s="79"/>
      <c r="E19" s="79"/>
      <c r="G19" s="281" t="s">
        <v>311</v>
      </c>
      <c r="H19" s="201"/>
      <c r="I19" s="194"/>
      <c r="J19" s="203"/>
      <c r="K19" s="195"/>
      <c r="L19" s="195"/>
      <c r="M19" s="195"/>
      <c r="N19" s="194"/>
      <c r="O19" s="196">
        <f>AA19/T19</f>
        <v>58.26106481</v>
      </c>
      <c r="P19" s="194"/>
      <c r="Q19" s="194"/>
      <c r="R19" s="197">
        <v>60.0</v>
      </c>
      <c r="S19" s="196">
        <f>(R19-20*C68+20*C81)</f>
        <v>40</v>
      </c>
      <c r="T19" s="196">
        <f>1/S19*C149*C150</f>
        <v>0.01</v>
      </c>
      <c r="U19" s="195"/>
      <c r="V19" s="195"/>
      <c r="W19" s="195"/>
      <c r="X19" s="195"/>
      <c r="Y19" s="194"/>
      <c r="Z19" s="194"/>
      <c r="AA19" s="196">
        <f>T19*$J$10*(1+0.4*$C$68)*(1+0.15*$C$46)*25</f>
        <v>0.5826106481</v>
      </c>
      <c r="AB19" s="194"/>
    </row>
    <row r="20">
      <c r="A20" s="2"/>
      <c r="B20" s="276" t="s">
        <v>76</v>
      </c>
      <c r="C20" s="276" t="s">
        <v>77</v>
      </c>
      <c r="D20" s="276" t="s">
        <v>78</v>
      </c>
      <c r="G20" s="276" t="s">
        <v>141</v>
      </c>
      <c r="H20" s="27"/>
      <c r="I20" s="194"/>
      <c r="J20" s="194"/>
      <c r="K20" s="194"/>
      <c r="L20" s="194"/>
      <c r="M20" s="194"/>
      <c r="N20" s="194"/>
      <c r="O20" s="194"/>
      <c r="P20" s="194"/>
      <c r="Q20" s="196">
        <f t="shared" ref="Q20:Q22" si="9">1.5/$J$9</f>
        <v>0.983880796</v>
      </c>
      <c r="R20" s="204">
        <v>240.0</v>
      </c>
      <c r="S20" s="205">
        <f>240-60*C67</f>
        <v>180</v>
      </c>
      <c r="T20" s="196">
        <f>1/S20*C61*D61</f>
        <v>0</v>
      </c>
      <c r="U20" s="199">
        <f t="shared" ref="U20:U22" si="10">T20*Q20</f>
        <v>0</v>
      </c>
      <c r="V20" s="194"/>
      <c r="W20" s="195"/>
      <c r="X20" s="195"/>
      <c r="Y20" s="194"/>
      <c r="Z20" s="194"/>
      <c r="AA20" s="194"/>
      <c r="AB20" s="194"/>
    </row>
    <row r="21">
      <c r="A21" s="2"/>
      <c r="B21" s="25" t="str">
        <f>Inputs!B23</f>
        <v/>
      </c>
      <c r="C21" s="25" t="str">
        <f>Inputs!C23</f>
        <v/>
      </c>
      <c r="D21" s="78"/>
      <c r="G21" s="276" t="s">
        <v>313</v>
      </c>
      <c r="H21" s="206">
        <v>1.5</v>
      </c>
      <c r="I21" s="194"/>
      <c r="J21" s="207">
        <f>($J$6*(1+$E$116)*(1+$D$157)+$C$14*6)*H21*$J$10*$L$11*(1+0.01*E25)</f>
        <v>9466.337868</v>
      </c>
      <c r="K21" s="196">
        <f>J21*$J$8*$C$152*$J$14*(1+0.08*C120*D120)
</f>
        <v>70711.93832</v>
      </c>
      <c r="L21" s="209">
        <f>K21/$C$152</f>
        <v>14142.38766</v>
      </c>
      <c r="M21" s="209">
        <f>K21*$L$12</f>
        <v>13081.70859</v>
      </c>
      <c r="N21" s="194"/>
      <c r="O21" s="194"/>
      <c r="P21" s="194"/>
      <c r="Q21" s="196">
        <f t="shared" si="9"/>
        <v>0.983880796</v>
      </c>
      <c r="R21" s="197">
        <v>180.0</v>
      </c>
      <c r="S21" s="198">
        <f t="shared" ref="S21:S22" si="11">R21+$C$151</f>
        <v>180.8</v>
      </c>
      <c r="T21" s="196">
        <f>1/S21*E25</f>
        <v>0</v>
      </c>
      <c r="U21" s="199">
        <f t="shared" si="10"/>
        <v>0</v>
      </c>
      <c r="V21" s="196">
        <f>T21*K21</f>
        <v>0</v>
      </c>
      <c r="W21" s="196">
        <f>T21*L21</f>
        <v>0</v>
      </c>
      <c r="X21" s="196">
        <f>T21*M21</f>
        <v>0</v>
      </c>
      <c r="Y21" s="196">
        <f>X21*(1-$C$144)</f>
        <v>0</v>
      </c>
      <c r="Z21" s="194"/>
      <c r="AA21" s="194"/>
      <c r="AB21" s="194"/>
    </row>
    <row r="22">
      <c r="A22" s="2"/>
      <c r="B22" s="2"/>
      <c r="E22" s="2"/>
      <c r="G22" s="281" t="s">
        <v>314</v>
      </c>
      <c r="H22" s="201"/>
      <c r="I22" s="194"/>
      <c r="J22" s="203"/>
      <c r="K22" s="195"/>
      <c r="L22" s="195"/>
      <c r="M22" s="195"/>
      <c r="N22" s="194"/>
      <c r="O22" s="211">
        <f>20</f>
        <v>20</v>
      </c>
      <c r="P22" s="194"/>
      <c r="Q22" s="196">
        <f t="shared" si="9"/>
        <v>0.983880796</v>
      </c>
      <c r="R22" s="197">
        <v>120.0</v>
      </c>
      <c r="S22" s="198">
        <f t="shared" si="11"/>
        <v>120.8</v>
      </c>
      <c r="T22" s="196">
        <f>1/S22*C28</f>
        <v>0</v>
      </c>
      <c r="U22" s="199">
        <f t="shared" si="10"/>
        <v>0</v>
      </c>
      <c r="V22" s="195"/>
      <c r="W22" s="195"/>
      <c r="X22" s="195"/>
      <c r="Y22" s="194"/>
      <c r="Z22" s="194"/>
      <c r="AA22" s="196">
        <f>T22*O22</f>
        <v>0</v>
      </c>
      <c r="AB22" s="194"/>
    </row>
    <row r="23">
      <c r="A23" s="2"/>
      <c r="B23" s="294" t="s">
        <v>79</v>
      </c>
      <c r="C23" s="2"/>
      <c r="D23" s="2"/>
      <c r="E23" s="2"/>
      <c r="G23" s="281" t="s">
        <v>315</v>
      </c>
      <c r="H23" s="212">
        <f>5*C15/12*1.25*1.2</f>
        <v>2.25</v>
      </c>
      <c r="I23" s="194"/>
      <c r="J23" s="207">
        <f>($J$6*(1+$E$116)*(1+$D$157)+169*15/120*$C$24+$C$14*6)*H23*$J$10*$L$11</f>
        <v>14199.5068</v>
      </c>
      <c r="K23" s="196">
        <f>J23*$J$8*0.7*$J$14*(1+0.08*C120*D120)
</f>
        <v>14849.50705</v>
      </c>
      <c r="L23" s="209">
        <f>K23</f>
        <v>14849.50705</v>
      </c>
      <c r="M23" s="209">
        <f>K23*$L$12</f>
        <v>2747.158804</v>
      </c>
      <c r="N23" s="215"/>
      <c r="O23" s="194"/>
      <c r="P23" s="194"/>
      <c r="Q23" s="195"/>
      <c r="R23" s="216">
        <f>C15</f>
        <v>3.6</v>
      </c>
      <c r="S23" s="209">
        <f>H15</f>
        <v>1.378599312</v>
      </c>
      <c r="T23" s="209">
        <f>1/S23</f>
        <v>0.7253739295</v>
      </c>
      <c r="U23" s="217"/>
      <c r="V23" s="196">
        <f t="shared" ref="V23:V24" si="12">T23*K23</f>
        <v>10771.44528</v>
      </c>
      <c r="W23" s="196">
        <f t="shared" ref="W23:W24" si="13">T23*L23</f>
        <v>10771.44528</v>
      </c>
      <c r="X23" s="196">
        <f t="shared" ref="X23:X24" si="14">T23*M23</f>
        <v>1992.717376</v>
      </c>
      <c r="Y23" s="196">
        <f t="shared" ref="Y23:Y29" si="15">X23*(1-$C$144)</f>
        <v>1594.173901</v>
      </c>
      <c r="Z23" s="194"/>
      <c r="AA23" s="194"/>
      <c r="AB23" s="194"/>
    </row>
    <row r="24">
      <c r="A24" s="2"/>
      <c r="B24" s="281" t="s">
        <v>80</v>
      </c>
      <c r="C24" s="25">
        <f>Inputs!C26</f>
        <v>0</v>
      </c>
      <c r="D24" s="308" t="s">
        <v>81</v>
      </c>
      <c r="E24" s="25">
        <f>Inputs!E26</f>
        <v>0</v>
      </c>
      <c r="G24" s="276" t="s">
        <v>316</v>
      </c>
      <c r="H24" s="218">
        <f>0.1115*1.4/6*1.36*1.075*15</f>
        <v>0.5705455</v>
      </c>
      <c r="I24" s="204">
        <v>1.15</v>
      </c>
      <c r="J24" s="219">
        <f>($J$6*(1+$E$116)*(1+$D$157)+169*15/120*$C$24+$C$14*6)*H24*$J$10*$L$11*I24*(1+0.01*C24)</f>
        <v>4140.748629</v>
      </c>
      <c r="K24" s="196">
        <f>(J24*$J$8*INT($J$9*10/1+1)*0.7*$J$14+J24*7.875*1.25*$J$8*$C$152/SQRT(MAX(1,$C$152/8))*$J$14)*(1+0.15*$C$152/SQRT(MAX(1,$C$152/8))*(1+$C$131*0.05*MIN(1,5/$C$152))*J10)</f>
        <v>727368.0093</v>
      </c>
      <c r="L24" s="196">
        <f>(J24*$J$8*INT($J$9*10/1+1)*0.7*$J$14+J24*7.875*1.25*$J$8/SQRT(MAX(1,$C$152/8))*$J$14)+(K24/(1+0.15*$C$152/SQRT(MAX(1,$C$152/8))*(1+$C$131*0.05*MIN(1,5/$C$152))*J10))*(0.15*1/SQRT(MAX(1,$C$152/8))*(1+$C$131*0.05)*J10)</f>
        <v>199182.7069</v>
      </c>
      <c r="M24" s="196">
        <f>K24/((1+$C$131*0.05*MIN(1,5/$C$152)))/$C$152</f>
        <v>138546.2875</v>
      </c>
      <c r="N24" s="194"/>
      <c r="O24" s="194"/>
      <c r="P24" s="194"/>
      <c r="Q24" s="195"/>
      <c r="R24" s="195"/>
      <c r="S24" s="196">
        <f>S38</f>
        <v>90.8</v>
      </c>
      <c r="T24" s="196">
        <f>1/S24*C131</f>
        <v>0.01101321586</v>
      </c>
      <c r="U24" s="222"/>
      <c r="V24" s="196">
        <f t="shared" si="12"/>
        <v>8010.660895</v>
      </c>
      <c r="W24" s="196">
        <f t="shared" si="13"/>
        <v>2193.642146</v>
      </c>
      <c r="X24" s="196">
        <f t="shared" si="14"/>
        <v>1525.840171</v>
      </c>
      <c r="Y24" s="196">
        <f t="shared" si="15"/>
        <v>1220.672136</v>
      </c>
      <c r="Z24" s="194"/>
      <c r="AA24" s="194"/>
      <c r="AB24" s="194"/>
    </row>
    <row r="25">
      <c r="A25" s="2"/>
      <c r="B25" s="281" t="s">
        <v>83</v>
      </c>
      <c r="C25" s="25">
        <f>Inputs!C27</f>
        <v>0</v>
      </c>
      <c r="D25" s="308" t="s">
        <v>84</v>
      </c>
      <c r="E25" s="25">
        <f>Inputs!E27</f>
        <v>0</v>
      </c>
      <c r="G25" s="281" t="s">
        <v>177</v>
      </c>
      <c r="H25" s="206">
        <f>1.4256*1.15</f>
        <v>1.63944</v>
      </c>
      <c r="I25" s="204">
        <v>1.15</v>
      </c>
      <c r="J25" s="207">
        <f>($J$6*(1+$E$116)*(1+$D$157)+169*15/120*$C$24+$C$14*6)*H25*$J$10*$L$11*I25*(1+0.01*$E$25)*(1+0.3*C130)</f>
        <v>11898.27793</v>
      </c>
      <c r="K25" s="196">
        <f>J25*$J$8*$C$152*$J$14*(1+C130*0.15*$B$19*(1+0.2*$C$63))*(1+$C$131*0.05*MIN(1,5/$C$152))*$H$135*(1+0.08*C120*D120)
</f>
        <v>93322.02403</v>
      </c>
      <c r="L25" s="209">
        <f t="shared" ref="L25:L26" si="16">K25/$C$152</f>
        <v>18664.40481</v>
      </c>
      <c r="M25" s="209">
        <f>K25*$L$12</f>
        <v>17264.57445</v>
      </c>
      <c r="N25" s="194"/>
      <c r="O25" s="194"/>
      <c r="P25" s="195"/>
      <c r="Q25" s="196">
        <f>1.5/$J$9</f>
        <v>0.983880796</v>
      </c>
      <c r="R25" s="197">
        <v>7.5</v>
      </c>
      <c r="S25" s="196">
        <f>1/((1/(R25/J9))+(C113/((R25/J9)/((1/(1-0.15*C107))/3*(1+C130)*(1-(1-H8)^C152)*0.25))))</f>
        <v>4.91940398</v>
      </c>
      <c r="T25" s="196">
        <f>MIN(1/S25,MAX((1-SUM(U19:U23,U29:U41,U43:U50,U52:U76)-($L$9+SUM(Z19:Z50,Z52:Z76))*Q51/(-N51)+(SUM(AA19:AA24,AA26:AA41,AA43:AA50,AA52:AA76)+(($L$9+SUM(Z19:Z50)+SUM(Z52:Z76))*O51/(-N51)))/O42*Q42)/Q25*(-O42/(O25-O42)),(1+C130)/24-T47*C130*0.5))</f>
        <v>0.04166666667</v>
      </c>
      <c r="U25" s="199">
        <f>T25*Q25</f>
        <v>0.04099503317</v>
      </c>
      <c r="V25" s="196">
        <f>(T25+C108*T51*(1-(1-0.15)*(1-0.15*MAX(4,C152-1)))*1.5)*K25</f>
        <v>40872.21588</v>
      </c>
      <c r="W25" s="196">
        <f>(T25+C108*T51*(1-(1-0.15)*(1-0.15*MAX(4,C152-1)))*1.5)*L25</f>
        <v>8174.443176</v>
      </c>
      <c r="X25" s="196">
        <f>(T25+C108*T51*0.15*1.5)*M25</f>
        <v>2274.357875</v>
      </c>
      <c r="Y25" s="196">
        <f t="shared" si="15"/>
        <v>1819.4863</v>
      </c>
      <c r="Z25" s="194"/>
      <c r="AA25" s="195"/>
      <c r="AB25" s="195"/>
    </row>
    <row r="26">
      <c r="A26" s="2"/>
      <c r="B26" s="281" t="s">
        <v>85</v>
      </c>
      <c r="C26" s="25">
        <f>Inputs!C28</f>
        <v>0</v>
      </c>
      <c r="D26" s="308" t="s">
        <v>86</v>
      </c>
      <c r="E26" s="25">
        <f>Inputs!E28</f>
        <v>0</v>
      </c>
      <c r="G26" s="276" t="s">
        <v>161</v>
      </c>
      <c r="H26" s="218">
        <v>1.2</v>
      </c>
      <c r="I26" s="204">
        <v>1.15</v>
      </c>
      <c r="J26" s="207">
        <f>($J$6*(1+$E$116)*(1+$D$157)+169*15/120*$C$24+$C$14*6)*H26*$J$10*$L$11*I26*(1+0.01*$E$25)</f>
        <v>8709.030839</v>
      </c>
      <c r="K26" s="196">
        <f>J26*$J$8*$C$152*$J$14*(1+$C$131*0.05*MIN(1,5/$C$152))*(1+0.08*C120*D120)
</f>
        <v>68307.73242</v>
      </c>
      <c r="L26" s="196">
        <f t="shared" si="16"/>
        <v>13661.54648</v>
      </c>
      <c r="M26" s="196">
        <f>K26*(1+$L$12)*1.25</f>
        <v>101180.8286</v>
      </c>
      <c r="N26" s="194"/>
      <c r="O26" s="194"/>
      <c r="P26" s="194"/>
      <c r="Q26" s="195"/>
      <c r="R26" s="204">
        <v>120.0</v>
      </c>
      <c r="S26" s="204">
        <v>120.0</v>
      </c>
      <c r="T26" s="196">
        <f>1/S26*C76</f>
        <v>0</v>
      </c>
      <c r="U26" s="222"/>
      <c r="V26" s="196">
        <f>T26*K26</f>
        <v>0</v>
      </c>
      <c r="W26" s="196">
        <f>T26*L26</f>
        <v>0</v>
      </c>
      <c r="X26" s="196">
        <f t="shared" ref="X26:X28" si="17">T26*M26</f>
        <v>0</v>
      </c>
      <c r="Y26" s="196">
        <f t="shared" si="15"/>
        <v>0</v>
      </c>
      <c r="Z26" s="195"/>
      <c r="AA26" s="195"/>
      <c r="AB26" s="194"/>
    </row>
    <row r="27">
      <c r="A27" s="2"/>
      <c r="B27" s="281" t="s">
        <v>88</v>
      </c>
      <c r="C27" s="25">
        <f>Inputs!C29</f>
        <v>0</v>
      </c>
      <c r="D27" s="308" t="s">
        <v>89</v>
      </c>
      <c r="E27" s="25">
        <f>Inputs!E29</f>
        <v>0</v>
      </c>
      <c r="G27" s="276" t="s">
        <v>208</v>
      </c>
      <c r="H27" s="224"/>
      <c r="I27" s="194"/>
      <c r="J27" s="194"/>
      <c r="K27" s="194"/>
      <c r="L27" s="194"/>
      <c r="M27" s="196">
        <f>V10/T19</f>
        <v>1176566.776</v>
      </c>
      <c r="N27" s="194"/>
      <c r="O27" s="194"/>
      <c r="P27" s="194"/>
      <c r="Q27" s="195"/>
      <c r="R27" s="194"/>
      <c r="S27" s="194"/>
      <c r="T27" s="196">
        <f>T19*C112</f>
        <v>0</v>
      </c>
      <c r="U27" s="222"/>
      <c r="V27" s="222"/>
      <c r="W27" s="222"/>
      <c r="X27" s="196">
        <f t="shared" si="17"/>
        <v>0</v>
      </c>
      <c r="Y27" s="196">
        <f t="shared" si="15"/>
        <v>0</v>
      </c>
      <c r="Z27" s="195"/>
      <c r="AA27" s="194"/>
      <c r="AB27" s="194"/>
    </row>
    <row r="28">
      <c r="A28" s="2"/>
      <c r="B28" s="281" t="s">
        <v>90</v>
      </c>
      <c r="C28" s="25">
        <f>Inputs!C30</f>
        <v>0</v>
      </c>
      <c r="D28" s="308" t="s">
        <v>91</v>
      </c>
      <c r="E28" s="25">
        <f>Inputs!E30</f>
        <v>0</v>
      </c>
      <c r="G28" s="276" t="s">
        <v>215</v>
      </c>
      <c r="H28" s="206">
        <v>0.64</v>
      </c>
      <c r="I28" s="204">
        <v>1.15</v>
      </c>
      <c r="J28" s="207">
        <f>($J$6*(1+$E$116)*(1+$D$157)+169*15/120*$C$24+$C$14*6)*H28*$J$10*$L$11*I28*(1+0.01*E25)</f>
        <v>4644.816447</v>
      </c>
      <c r="K28" s="196">
        <f>J28*$J$8*$C$152/SQRT(MAX(1,$C$152/8))*$J$14*9*(1+0.08*C120*D120)*(1+$C$131*0.05*MIN(1,5/$C$152))</f>
        <v>327877.1156</v>
      </c>
      <c r="L28" s="196">
        <f t="shared" ref="L28:L29" si="18">K28/$C$152</f>
        <v>65575.42312</v>
      </c>
      <c r="M28" s="209">
        <f>K28*$L$12</f>
        <v>60657.26639</v>
      </c>
      <c r="N28" s="194"/>
      <c r="O28" s="219">
        <f>MIN(C152,5)*2*9</f>
        <v>90</v>
      </c>
      <c r="P28" s="194"/>
      <c r="Q28" s="195"/>
      <c r="R28" s="194"/>
      <c r="S28" s="194"/>
      <c r="T28" s="196">
        <f>T38*C118</f>
        <v>0</v>
      </c>
      <c r="U28" s="222"/>
      <c r="V28" s="196">
        <f>T28*K28</f>
        <v>0</v>
      </c>
      <c r="W28" s="196">
        <f>T28*L28</f>
        <v>0</v>
      </c>
      <c r="X28" s="196">
        <f t="shared" si="17"/>
        <v>0</v>
      </c>
      <c r="Y28" s="196">
        <f t="shared" si="15"/>
        <v>0</v>
      </c>
      <c r="Z28" s="195"/>
      <c r="AA28" s="196">
        <f>T28*O28</f>
        <v>0</v>
      </c>
      <c r="AB28" s="194"/>
    </row>
    <row r="29">
      <c r="A29" s="2"/>
      <c r="B29" s="281" t="s">
        <v>92</v>
      </c>
      <c r="C29" s="25">
        <f>Inputs!C31</f>
        <v>0</v>
      </c>
      <c r="D29" s="308" t="s">
        <v>93</v>
      </c>
      <c r="E29" s="25">
        <f>Inputs!E31</f>
        <v>0</v>
      </c>
      <c r="G29" s="281" t="s">
        <v>321</v>
      </c>
      <c r="H29" s="237">
        <f>0.3348*24/3*(1/(1-0.15*C107))</f>
        <v>3.151058824</v>
      </c>
      <c r="I29" s="204">
        <v>1.15</v>
      </c>
      <c r="J29" s="207">
        <f>($J$6*(1+$E$116)*(1+$D$157)+169*15/120*$C$24+$C$14*6)*H29*$J$10*$L$11*I29*(1+0.01*E25)</f>
        <v>22868.89039</v>
      </c>
      <c r="K29" s="196">
        <f>J29*$J$8*$C$152*$J$14*(1+0.4*C117*D117)*(1+$C$131*0.05*MIN(1,5/$C$152))*(1+0.08*C120*D120)*(1+0.15*C131)/(1+0.05*C117)
</f>
        <v>259314.9799</v>
      </c>
      <c r="L29" s="196">
        <f t="shared" si="18"/>
        <v>51862.99599</v>
      </c>
      <c r="M29" s="196">
        <f>K29*(1+0.85*$C$107+$L$12)*1.25</f>
        <v>659632.4802</v>
      </c>
      <c r="N29" s="194"/>
      <c r="O29" s="194"/>
      <c r="P29" s="194"/>
      <c r="Q29" s="195"/>
      <c r="R29" s="194"/>
      <c r="S29" s="194"/>
      <c r="T29" s="195"/>
      <c r="U29" s="222"/>
      <c r="V29" s="196">
        <f>K29/24*(1+C130)</f>
        <v>10804.79083</v>
      </c>
      <c r="W29" s="196">
        <f>L29/24*(1+C130)</f>
        <v>2160.958166</v>
      </c>
      <c r="X29" s="196">
        <f>M29/24*(1+C130)</f>
        <v>27484.68668</v>
      </c>
      <c r="Y29" s="196">
        <f t="shared" si="15"/>
        <v>21987.74934</v>
      </c>
      <c r="Z29" s="195"/>
      <c r="AA29" s="195"/>
      <c r="AB29" s="194"/>
    </row>
    <row r="30">
      <c r="A30" s="2"/>
      <c r="B30" s="276" t="s">
        <v>94</v>
      </c>
      <c r="C30" s="25">
        <f>Inputs!C32</f>
        <v>0</v>
      </c>
      <c r="D30" s="276" t="s">
        <v>95</v>
      </c>
      <c r="E30" s="25">
        <f>Inputs!E32</f>
        <v>0</v>
      </c>
      <c r="G30" s="276" t="s">
        <v>327</v>
      </c>
      <c r="H30" s="224"/>
      <c r="I30" s="194"/>
      <c r="J30" s="194"/>
      <c r="K30" s="194"/>
      <c r="L30" s="194"/>
      <c r="M30" s="209">
        <f>MIN(J11*(MAX(5*0.2*T10*(1+0.05*C111),7/100*L7)*(1+0.15*C42))*$J$10*(1+0.15*C46)*(1+0.2*C115),(0.5+0.15*C114)*L7*MAX(1,T42/0.2)/(1+($T$76*(10+2*C92))*(0.3+0.05*C92)))</f>
        <v>370024.8434</v>
      </c>
      <c r="N30" s="194"/>
      <c r="O30" s="194"/>
      <c r="P30" s="194"/>
      <c r="Q30" s="194"/>
      <c r="R30" s="194"/>
      <c r="S30" s="194"/>
      <c r="T30" s="196">
        <f>T42</f>
        <v>0.4013494365</v>
      </c>
      <c r="U30" s="222"/>
      <c r="V30" s="222"/>
      <c r="W30" s="222"/>
      <c r="X30" s="196">
        <f>MIN(T30,0.2)*M30</f>
        <v>74004.96868</v>
      </c>
      <c r="Y30" s="196">
        <f t="shared" ref="Y30:Y33" si="19">X30</f>
        <v>74004.96868</v>
      </c>
      <c r="Z30" s="195"/>
      <c r="AA30" s="195"/>
      <c r="AB30" s="194"/>
    </row>
    <row r="31">
      <c r="A31" s="2"/>
      <c r="B31" s="276" t="s">
        <v>96</v>
      </c>
      <c r="C31" s="25">
        <f>Inputs!C33</f>
        <v>0</v>
      </c>
      <c r="D31" s="276" t="s">
        <v>97</v>
      </c>
      <c r="E31" s="25">
        <f>Inputs!E33</f>
        <v>0</v>
      </c>
      <c r="G31" s="276" t="s">
        <v>328</v>
      </c>
      <c r="H31" s="218">
        <v>9.0</v>
      </c>
      <c r="I31" s="194"/>
      <c r="J31" s="219">
        <f>($J$6*(1+$E$116)*(1+$D$157)+169*15/120*$C$24+$C$14*6)*H31*$J$10*$L$11*(1+0.01*E25)</f>
        <v>56798.02721</v>
      </c>
      <c r="K31" s="196">
        <f>J31*$J$8*(2*$C$152/3+1/3)*(1+$C$131*0.05*MIN(1,5.5/($C$152+0.5)))*$H$135
</f>
        <v>266613.9526</v>
      </c>
      <c r="L31" s="196">
        <f>K31/(2*$C$152/3+1/3)</f>
        <v>72712.89617</v>
      </c>
      <c r="M31" s="209">
        <f>K31*$L$12</f>
        <v>49323.58123</v>
      </c>
      <c r="N31" s="194"/>
      <c r="O31" s="194"/>
      <c r="P31" s="194"/>
      <c r="Q31" s="195"/>
      <c r="R31" s="195"/>
      <c r="S31" s="195"/>
      <c r="T31" s="196">
        <f>T42/10*C158</f>
        <v>0.04013494365</v>
      </c>
      <c r="U31" s="222"/>
      <c r="V31" s="196">
        <f t="shared" ref="V31:V33" si="20">T31*K31</f>
        <v>10700.53597</v>
      </c>
      <c r="W31" s="196">
        <f t="shared" ref="W31:W33" si="21">T31*L31</f>
        <v>2918.327991</v>
      </c>
      <c r="X31" s="196">
        <f t="shared" ref="X31:X33" si="22">T31*M31</f>
        <v>1979.599154</v>
      </c>
      <c r="Y31" s="196">
        <f t="shared" si="19"/>
        <v>1979.599154</v>
      </c>
      <c r="Z31" s="194"/>
      <c r="AA31" s="194"/>
      <c r="AB31" s="194"/>
    </row>
    <row r="32">
      <c r="A32" s="2"/>
      <c r="B32" s="276" t="s">
        <v>98</v>
      </c>
      <c r="C32" s="25">
        <f>Inputs!C34</f>
        <v>0</v>
      </c>
      <c r="D32" s="276" t="s">
        <v>99</v>
      </c>
      <c r="E32" s="25">
        <f>Inputs!E34</f>
        <v>0</v>
      </c>
      <c r="G32" s="281" t="s">
        <v>193</v>
      </c>
      <c r="H32" s="206">
        <f>0.235*1.4/6*1.075</f>
        <v>0.05894583333</v>
      </c>
      <c r="I32" s="204">
        <v>1.0</v>
      </c>
      <c r="J32" s="219">
        <f>($J$6*(1+$E$116)*(1+$D$157)+169*15/120*$C$24+$C$14*6)*H32*$J$10*$L$11*I32*(1+0.01*C24)</f>
        <v>372.0007828</v>
      </c>
      <c r="K32" s="196">
        <f>J32*$J$8*INT($J$9*D101/1.4+1)*0.7*$J$14</f>
        <v>4146.63318</v>
      </c>
      <c r="L32" s="196">
        <f>K32</f>
        <v>4146.63318</v>
      </c>
      <c r="M32" s="196">
        <f>L7*0.5*0.15</f>
        <v>126217.095</v>
      </c>
      <c r="N32" s="194"/>
      <c r="O32" s="194"/>
      <c r="P32" s="194"/>
      <c r="Q32" s="195"/>
      <c r="R32" s="197">
        <f>60/5</f>
        <v>12</v>
      </c>
      <c r="S32" s="196">
        <f>R32/1.13</f>
        <v>10.61946903</v>
      </c>
      <c r="T32" s="196">
        <f>1/S32*C101</f>
        <v>0</v>
      </c>
      <c r="U32" s="222"/>
      <c r="V32" s="196">
        <f t="shared" si="20"/>
        <v>0</v>
      </c>
      <c r="W32" s="196">
        <f t="shared" si="21"/>
        <v>0</v>
      </c>
      <c r="X32" s="196">
        <f t="shared" si="22"/>
        <v>0</v>
      </c>
      <c r="Y32" s="196">
        <f t="shared" si="19"/>
        <v>0</v>
      </c>
      <c r="Z32" s="194"/>
      <c r="AA32" s="194"/>
      <c r="AB32" s="194"/>
    </row>
    <row r="33">
      <c r="A33" s="2"/>
      <c r="B33" s="276" t="s">
        <v>100</v>
      </c>
      <c r="C33" s="25">
        <f>Inputs!C35</f>
        <v>0</v>
      </c>
      <c r="D33" s="276" t="s">
        <v>101</v>
      </c>
      <c r="E33" s="25">
        <f>Inputs!E35</f>
        <v>0</v>
      </c>
      <c r="G33" s="276" t="s">
        <v>211</v>
      </c>
      <c r="H33" s="218">
        <v>1.1</v>
      </c>
      <c r="I33" s="204">
        <v>1.15</v>
      </c>
      <c r="J33" s="207">
        <f>($J$6*(1+$E$116)*(1+$D$157)+169*15/120*$C$24+$C$14*6)*H33*$J$10*$L$11*I33*(1+0.01*$E$25)</f>
        <v>7983.278269</v>
      </c>
      <c r="K33" s="196">
        <f>J33*$J$8*$J$14*(1+$C$131*0.05*MIN(1,5/$C$152))*$H$135*(1+0.08*C127)
</f>
        <v>16017.89849</v>
      </c>
      <c r="L33" s="196">
        <f>K33/C$152</f>
        <v>3203.579699</v>
      </c>
      <c r="M33" s="209">
        <f>K33*$L$12</f>
        <v>2963.311221</v>
      </c>
      <c r="N33" s="194"/>
      <c r="O33" s="194"/>
      <c r="P33" s="194"/>
      <c r="Q33" s="203"/>
      <c r="R33" s="204">
        <v>0.5</v>
      </c>
      <c r="S33" s="196">
        <f>1/T42</f>
        <v>2.491594379</v>
      </c>
      <c r="T33" s="196">
        <f>1/S33*C114</f>
        <v>0</v>
      </c>
      <c r="U33" s="203"/>
      <c r="V33" s="196">
        <f t="shared" si="20"/>
        <v>0</v>
      </c>
      <c r="W33" s="196">
        <f t="shared" si="21"/>
        <v>0</v>
      </c>
      <c r="X33" s="196">
        <f t="shared" si="22"/>
        <v>0</v>
      </c>
      <c r="Y33" s="196">
        <f t="shared" si="19"/>
        <v>0</v>
      </c>
      <c r="Z33" s="194"/>
      <c r="AA33" s="194"/>
      <c r="AB33" s="194"/>
    </row>
    <row r="34">
      <c r="A34" s="2"/>
      <c r="B34" s="276" t="s">
        <v>102</v>
      </c>
      <c r="C34" s="25">
        <f>Inputs!C36</f>
        <v>0</v>
      </c>
      <c r="D34" s="276" t="s">
        <v>103</v>
      </c>
      <c r="E34" s="25">
        <f>Inputs!E36</f>
        <v>0</v>
      </c>
      <c r="G34" s="276" t="s">
        <v>329</v>
      </c>
      <c r="H34" s="252"/>
      <c r="I34" s="203"/>
      <c r="J34" s="203"/>
      <c r="K34" s="203"/>
      <c r="L34" s="203"/>
      <c r="M34" s="203"/>
      <c r="N34" s="194"/>
      <c r="O34" s="194"/>
      <c r="P34" s="194"/>
      <c r="Q34" s="203"/>
      <c r="R34" s="203"/>
      <c r="S34" s="203"/>
      <c r="T34" s="203"/>
      <c r="U34" s="203"/>
      <c r="V34" s="203"/>
      <c r="W34" s="203"/>
      <c r="X34" s="196">
        <f>T10*0.02*E33</f>
        <v>0</v>
      </c>
      <c r="Y34" s="196">
        <f t="shared" ref="Y34:Y36" si="23">X34*(1-$C$144)</f>
        <v>0</v>
      </c>
      <c r="Z34" s="194"/>
      <c r="AA34" s="194"/>
      <c r="AB34" s="194"/>
    </row>
    <row r="35">
      <c r="A35" s="2"/>
      <c r="B35" s="276" t="s">
        <v>104</v>
      </c>
      <c r="C35" s="25">
        <f>Inputs!C37</f>
        <v>0</v>
      </c>
      <c r="D35" s="276"/>
      <c r="E35" s="25" t="str">
        <f>Inputs!E37</f>
        <v/>
      </c>
      <c r="G35" s="281" t="s">
        <v>218</v>
      </c>
      <c r="H35" s="218">
        <f>4.8084*1.3</f>
        <v>6.25092</v>
      </c>
      <c r="I35" s="204">
        <v>1.15</v>
      </c>
      <c r="J35" s="207">
        <f>($J$6*(1+$E$116)*(1+$D$157)+169*15/120*$C$24+$C$14*6)*H35*$J$10*$L$11*I35*(1+0.01*$E$25)</f>
        <v>45366.21254</v>
      </c>
      <c r="K35" s="196">
        <f>J35*$J$8*$C$152/SQRT(MAX(1,$C$152/8))*$J$14*(1+$C$131*0.05*MIN(1,5/$C$152))*(1+0.08*C120*D120)+24/(1+C130)*V29*D121*0.25*(1+0.08*C120*D120)</f>
        <v>422725.0738</v>
      </c>
      <c r="L35" s="196">
        <f>K35/$C$152</f>
        <v>84545.01476</v>
      </c>
      <c r="M35" s="196">
        <f>K35*$L$12+24/(1+C130)*V29*D121*0.25*(1+0.08*C120*D120)*(1+0.5*$C$107+$L$12)*1.25+K35*C125*1.5*J11*J10*(1+0.15*C46)*(1+0.2*C115)/(1-$C$144)</f>
        <v>219119.1402</v>
      </c>
      <c r="N35" s="194"/>
      <c r="O35" s="194"/>
      <c r="P35" s="194"/>
      <c r="Q35" s="196">
        <f>(1+0.5*D121)/$J$9</f>
        <v>0.983880796</v>
      </c>
      <c r="R35" s="204">
        <v>45.0</v>
      </c>
      <c r="S35" s="198">
        <f>(R35/(1+$C$125*22.5*1.1/60*1.13*$J$9))+$C$151</f>
        <v>45.8</v>
      </c>
      <c r="T35" s="196">
        <f>1/S35*C121</f>
        <v>0</v>
      </c>
      <c r="U35" s="199">
        <f t="shared" ref="U35:U36" si="24">T35*Q35</f>
        <v>0</v>
      </c>
      <c r="V35" s="196">
        <f t="shared" ref="V35:V36" si="25">T35*K35</f>
        <v>0</v>
      </c>
      <c r="W35" s="196">
        <f t="shared" ref="W35:W36" si="26">T35*L35</f>
        <v>0</v>
      </c>
      <c r="X35" s="196">
        <f t="shared" ref="X35:X36" si="27">T35*M35</f>
        <v>0</v>
      </c>
      <c r="Y35" s="196">
        <f t="shared" si="23"/>
        <v>0</v>
      </c>
      <c r="Z35" s="194"/>
      <c r="AA35" s="194"/>
      <c r="AB35" s="194"/>
    </row>
    <row r="36">
      <c r="A36" s="2"/>
      <c r="B36" s="2"/>
      <c r="C36" s="2"/>
      <c r="D36" s="2"/>
      <c r="E36" s="2"/>
      <c r="G36" s="276" t="s">
        <v>330</v>
      </c>
      <c r="H36" s="253">
        <v>2.52</v>
      </c>
      <c r="I36" s="203"/>
      <c r="J36" s="207">
        <f>($J$6*(1+$E$116)*(1+$D$157)+$C$14*6)*H36*$J$10*$L$11</f>
        <v>15903.44762</v>
      </c>
      <c r="K36" s="196">
        <f>J36*$J$8*$J$14*(1+0.08*C120*D120)</f>
        <v>23759.21128</v>
      </c>
      <c r="L36" s="196">
        <f>K36</f>
        <v>23759.21128</v>
      </c>
      <c r="M36" s="194"/>
      <c r="N36" s="194"/>
      <c r="O36" s="194"/>
      <c r="P36" s="194"/>
      <c r="Q36" s="196">
        <f>1.5/$J$9</f>
        <v>0.983880796</v>
      </c>
      <c r="R36" s="197">
        <v>90.0</v>
      </c>
      <c r="S36" s="198">
        <f>R36+$C$151</f>
        <v>90.8</v>
      </c>
      <c r="T36" s="196">
        <f>1/S36*IF($E$29=1,1,0)</f>
        <v>0</v>
      </c>
      <c r="U36" s="199">
        <f t="shared" si="24"/>
        <v>0</v>
      </c>
      <c r="V36" s="196">
        <f t="shared" si="25"/>
        <v>0</v>
      </c>
      <c r="W36" s="196">
        <f t="shared" si="26"/>
        <v>0</v>
      </c>
      <c r="X36" s="196">
        <f t="shared" si="27"/>
        <v>0</v>
      </c>
      <c r="Y36" s="196">
        <f t="shared" si="23"/>
        <v>0</v>
      </c>
      <c r="Z36" s="194"/>
      <c r="AA36" s="194"/>
      <c r="AB36" s="194"/>
    </row>
    <row r="37">
      <c r="A37" s="2"/>
      <c r="B37" s="321" t="s">
        <v>105</v>
      </c>
      <c r="C37" s="283" t="s">
        <v>106</v>
      </c>
      <c r="D37" s="283" t="s">
        <v>107</v>
      </c>
      <c r="E37" s="2"/>
      <c r="G37" s="276" t="s">
        <v>331</v>
      </c>
      <c r="H37" s="254"/>
      <c r="I37" s="255"/>
      <c r="J37" s="255"/>
      <c r="K37" s="255"/>
      <c r="L37" s="255"/>
      <c r="M37" s="194"/>
      <c r="N37" s="204">
        <v>1.0</v>
      </c>
      <c r="O37" s="194"/>
      <c r="P37" s="255"/>
      <c r="Q37" s="255"/>
      <c r="R37" s="255"/>
      <c r="S37" s="255"/>
      <c r="T37" s="196">
        <f>F127</f>
        <v>0.1402974432</v>
      </c>
      <c r="U37" s="195"/>
      <c r="V37" s="195"/>
      <c r="W37" s="195"/>
      <c r="X37" s="195"/>
      <c r="Y37" s="194"/>
      <c r="Z37" s="196">
        <f>T37*N37</f>
        <v>0.1402974432</v>
      </c>
      <c r="AA37" s="194"/>
      <c r="AB37" s="194"/>
    </row>
    <row r="38">
      <c r="A38" s="322" t="s">
        <v>108</v>
      </c>
      <c r="B38" s="276" t="s">
        <v>109</v>
      </c>
      <c r="C38" s="25">
        <f>Inputs!C40</f>
        <v>1</v>
      </c>
      <c r="D38" s="78"/>
      <c r="E38" s="2"/>
      <c r="G38" s="281"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2066007.829</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641712.8202</v>
      </c>
      <c r="M38" s="194"/>
      <c r="N38" s="194"/>
      <c r="O38" s="194"/>
      <c r="P38" s="256">
        <f>D105*C105</f>
        <v>5</v>
      </c>
      <c r="Q38" s="196">
        <f>1.5/$J$9</f>
        <v>0.983880796</v>
      </c>
      <c r="R38" s="197">
        <v>120.0</v>
      </c>
      <c r="S38" s="196">
        <f>120-30*C105+$C$151</f>
        <v>90.8</v>
      </c>
      <c r="T38" s="196">
        <f>1/S38*C98*C149</f>
        <v>0.01101321586</v>
      </c>
      <c r="U38" s="199">
        <f>T38*Q38</f>
        <v>0.01083569159</v>
      </c>
      <c r="V38" s="196">
        <f t="shared" ref="V38:V40" si="28">T38*K38</f>
        <v>22753.39019</v>
      </c>
      <c r="W38" s="196">
        <f t="shared" ref="W38:W40" si="29">T38*L38</f>
        <v>7067.321808</v>
      </c>
      <c r="X38" s="195"/>
      <c r="Y38" s="194"/>
      <c r="Z38" s="194"/>
      <c r="AA38" s="194"/>
      <c r="AB38" s="196">
        <f>P38*T38</f>
        <v>0.0550660793</v>
      </c>
    </row>
    <row r="39">
      <c r="A39" s="97"/>
      <c r="B39" s="276" t="s">
        <v>110</v>
      </c>
      <c r="C39" s="25">
        <f>Inputs!C41</f>
        <v>1</v>
      </c>
      <c r="D39" s="78"/>
      <c r="E39" s="2"/>
      <c r="G39" s="276"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452787.6408</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179503.2611</v>
      </c>
      <c r="M39" s="194"/>
      <c r="N39" s="255"/>
      <c r="O39" s="255"/>
      <c r="P39" s="194"/>
      <c r="Q39" s="255"/>
      <c r="R39" s="255"/>
      <c r="S39" s="255">
        <f>IF(OR(D100=1,AND(C152&lt;4,C131=1)),MAX((10-5*C131*E137+H15*3.5+C151),12),0)+IF(NOT(OR(D100=1,AND(C152&lt;4,C131=1))),15-5*C131*E137-C82,0)</f>
        <v>14</v>
      </c>
      <c r="T39" s="196">
        <f>IF(C127&gt;3,1,0)*0.1*(T40+T43+T51+T57+T63)</f>
        <v>0.05623539705</v>
      </c>
      <c r="U39" s="195"/>
      <c r="V39" s="196">
        <f t="shared" si="28"/>
        <v>25462.69276</v>
      </c>
      <c r="W39" s="196">
        <f t="shared" si="29"/>
        <v>10094.43716</v>
      </c>
      <c r="X39" s="195"/>
      <c r="Y39" s="194"/>
      <c r="Z39" s="194"/>
      <c r="AA39" s="194"/>
      <c r="AB39" s="195"/>
    </row>
    <row r="40">
      <c r="A40" s="98"/>
      <c r="B40" s="276" t="s">
        <v>111</v>
      </c>
      <c r="C40" s="25">
        <f>Inputs!C42</f>
        <v>1</v>
      </c>
      <c r="D40" s="78"/>
      <c r="E40" s="2"/>
      <c r="G40" s="281" t="s">
        <v>333</v>
      </c>
      <c r="H40" s="237">
        <f>0.083*(11+2*C107)*1.3*1.25</f>
        <v>1.753375</v>
      </c>
      <c r="I40" s="204">
        <f>1.48*1.15</f>
        <v>1.702</v>
      </c>
      <c r="J40" s="207">
        <f>($J$6*(1+$E$116)*(1+$D$157)+169*15/120*$C$24+$C$14*6)*H40*$J$10*$L$11*I40*(1+0.01*E25)</f>
        <v>18833.2429</v>
      </c>
      <c r="K40" s="196">
        <f>J40*$J$8*$C$152*$J$14*(1+$C$131*0.05*MIN(1,5/$C$152))*(1+0.08*C120*D120)
</f>
        <v>147715.1867</v>
      </c>
      <c r="L40" s="196">
        <f>K40/$C$152</f>
        <v>29543.03735</v>
      </c>
      <c r="M40" s="196">
        <f>K40*$L$12+($J$6*(1+$E$116)*(1+$D$157)+4925*15/120*C24+$C$14*6)*0.375*(D97+2*C104)*$J$10*$J$8*$L$11*C94*(1-IF(OR(D100=1,AND(C152&lt;4,C131=1)),0,1)*IF(D100=2,1-(1-(0.75)^((5+(H15/2))/H15))/(1+3*(1-(0.75)^((5+(H15/2))/H15))*C82),1)*IF(NOT(OR(OR(D100=1,AND(C152&lt;4,C131=1)),D100=2)),1-(1-(0.75)^((4+(H15/2))/H15)),1))</f>
        <v>43535.63882</v>
      </c>
      <c r="N40" s="196">
        <f>-1*IF(OR(D100=1,AND(C152&lt;4,C131=1)),0,1)*IF(D100=2,1-(1-(0.75)^((5+(H15/2))/H15))/(1+3*(1-(0.75)^((5+(H15/2))/H15))*C82),1)*IF(NOT(OR(OR(D100=1,AND(C152&lt;4,C131=1)),D100=2)),1-(1-(0.75)^((4+(H15/2))/H15)),1)</f>
        <v>-0.3758559437</v>
      </c>
      <c r="O40" s="196">
        <f>10*IF(OR(D100=1,AND(C152&lt;4,C131=1)),C94,1)*IF(D100=2,IF(C94&gt;0,1,1-(1-(0.75)^((5+(H15/2))/H15))/(1+3*(1-(0.75)^((5+(H15/2))/H15))*C82)),1)*IF(NOT(OR(OR(D100=1,AND(C152&lt;4,C131=1)),D100=2)),IF(C94&gt;0,1,1-(1-(0.75)^((4+(H15/2))/H15))),1)</f>
        <v>10</v>
      </c>
      <c r="P40" s="194"/>
      <c r="Q40" s="196">
        <f>1.5/$J$9</f>
        <v>0.983880796</v>
      </c>
      <c r="R40" s="197">
        <v>15.0</v>
      </c>
      <c r="S40" s="196">
        <f>IF(OR(D100=1,AND(C152&lt;4,C131=1)),MAX((10-5*C131*E137+H15*3.5+C151),12),0)+IF(NOT(OR(D100=1,AND(C152&lt;4,C131=1))),15-5*C131*E137-C82,0)</f>
        <v>14</v>
      </c>
      <c r="T40" s="196">
        <f>1/S40</f>
        <v>0.07142857143</v>
      </c>
      <c r="U40" s="199">
        <f>T40*Q40</f>
        <v>0.07027719971</v>
      </c>
      <c r="V40" s="196">
        <f t="shared" si="28"/>
        <v>10551.08477</v>
      </c>
      <c r="W40" s="196">
        <f t="shared" si="29"/>
        <v>2110.216954</v>
      </c>
      <c r="X40" s="196">
        <f t="shared" ref="X40:X41" si="30">T40*M40</f>
        <v>3109.688487</v>
      </c>
      <c r="Y40" s="196">
        <f>X40*(1-$C$144)</f>
        <v>2487.75079</v>
      </c>
      <c r="Z40" s="196">
        <f>T40*N40</f>
        <v>-0.02684685312</v>
      </c>
      <c r="AA40" s="196">
        <f>T40*O40</f>
        <v>0.7142857143</v>
      </c>
      <c r="AB40" s="194"/>
    </row>
    <row r="41">
      <c r="A41" s="322" t="s">
        <v>112</v>
      </c>
      <c r="B41" s="276" t="s">
        <v>113</v>
      </c>
      <c r="C41" s="25">
        <f>Inputs!C43</f>
        <v>1</v>
      </c>
      <c r="D41" s="78"/>
      <c r="E41" s="2"/>
      <c r="G41" s="276" t="s">
        <v>135</v>
      </c>
      <c r="H41" s="254"/>
      <c r="I41" s="194"/>
      <c r="J41" s="194"/>
      <c r="K41" s="255"/>
      <c r="L41" s="255"/>
      <c r="M41" s="196">
        <f>$L$7*(0.2+0.1*C62)*$J$10</f>
        <v>430976.8412</v>
      </c>
      <c r="N41" s="194"/>
      <c r="O41" s="194"/>
      <c r="P41" s="194"/>
      <c r="Q41" s="194"/>
      <c r="R41" s="197">
        <v>120.0</v>
      </c>
      <c r="S41" s="198">
        <f>R41-30*C62+$C$151</f>
        <v>120.8</v>
      </c>
      <c r="T41" s="196">
        <f>1/S41*C56</f>
        <v>0</v>
      </c>
      <c r="U41" s="222"/>
      <c r="V41" s="222"/>
      <c r="W41" s="222"/>
      <c r="X41" s="196">
        <f t="shared" si="30"/>
        <v>0</v>
      </c>
      <c r="Y41" s="196">
        <f>X41</f>
        <v>0</v>
      </c>
      <c r="Z41" s="194"/>
      <c r="AA41" s="194"/>
      <c r="AB41" s="194"/>
    </row>
    <row r="42">
      <c r="A42" s="97"/>
      <c r="B42" s="276" t="s">
        <v>114</v>
      </c>
      <c r="C42" s="25">
        <f>Inputs!C44</f>
        <v>1</v>
      </c>
      <c r="D42" s="78"/>
      <c r="G42" s="323" t="s">
        <v>110</v>
      </c>
      <c r="H42" s="260">
        <f>1.5312*1.2*1.12</f>
        <v>2.0579328</v>
      </c>
      <c r="I42" s="204">
        <f>2.3</f>
        <v>2.3</v>
      </c>
      <c r="J42" s="207">
        <f>($J$6*(1+$E$116)*(1+$D$157)+169*15/120*$C$24+$C$14*6)*H42*$J$10*$L$11*I42*(1+0.12*C130)</f>
        <v>29871.00036</v>
      </c>
      <c r="K42" s="196">
        <f>J42*$J$8*0.7*(1+C99*0.08*MIN((T25+C108*T51*(1-(1-0.15)*(1-0.15*MAX(4,C152-1))))/T42*C152,5))*(1+0.6*C19*(1+0.2*C63))*$J$14*(1+0.08*C120)*(1+0.05*K134)*MAX((1+0.2*C63*C19),MIN((1+0.2*C63*C19)+C106*0.75*(C152-1),(1+0.2*C63*C19)+C106*1.5))</f>
        <v>272610.7645</v>
      </c>
      <c r="L42" s="196">
        <f>K42*(1+0.2*C63*C19)/MAX((1+0.2*C63*C19),MIN((1+0.2*C63*C19)+C106*0.75*(C152-1),(1+0.2*C63*C19)+C106*1.5))</f>
        <v>121160.3398</v>
      </c>
      <c r="M42" s="196">
        <f>K42*$L$12+MAX(5*0.2*T10*(1+0.05*C111),7/100*L7)*(1+C99*0.08*MIN((T25+C108*T51*(1-(1-0.15)*(1-0.15*MAX(4,C152-1))))/T42*C152,5))*$J$10*$J$15*(1+0.15*C42)</f>
        <v>889709.06</v>
      </c>
      <c r="N42" s="194"/>
      <c r="O42" s="196">
        <f>(-45)+5*C91+IF(C42&gt;0,5,0)+10*8*T26</f>
        <v>-35</v>
      </c>
      <c r="P42" s="194"/>
      <c r="Q42" s="196">
        <f t="shared" ref="Q42:Q43" si="31">1.5/$J$9</f>
        <v>0.983880796</v>
      </c>
      <c r="R42" s="194"/>
      <c r="S42" s="194"/>
      <c r="T42" s="196">
        <f>-(SUM(AA19:AA41,AA43:AA76))/O42</f>
        <v>0.4013494365</v>
      </c>
      <c r="U42" s="199">
        <f t="shared" ref="U42:U43" si="32">T42*Q42</f>
        <v>0.3948800031</v>
      </c>
      <c r="V42" s="196">
        <f t="shared" ref="V42:V44" si="33">T42*K42</f>
        <v>109412.1767</v>
      </c>
      <c r="W42" s="196">
        <f t="shared" ref="W42:W44" si="34">T42*L42</f>
        <v>48627.6341</v>
      </c>
      <c r="X42" s="196">
        <f>MIN(T42,0.2)*M42</f>
        <v>177941.812</v>
      </c>
      <c r="Y42" s="196">
        <f t="shared" ref="Y42:Y48" si="35">X42*(1-$C$144)</f>
        <v>142353.4496</v>
      </c>
      <c r="Z42" s="194"/>
      <c r="AA42" s="196">
        <f t="shared" ref="AA42:AA43" si="36">T42*O42</f>
        <v>-14.04723028</v>
      </c>
      <c r="AB42" s="194"/>
    </row>
    <row r="43">
      <c r="A43" s="98"/>
      <c r="B43" s="276" t="s">
        <v>116</v>
      </c>
      <c r="C43" s="25">
        <f>Inputs!C45</f>
        <v>1</v>
      </c>
      <c r="D43" s="78"/>
      <c r="E43" s="2"/>
      <c r="G43" s="281" t="s">
        <v>334</v>
      </c>
      <c r="H43" s="263">
        <f>0.4374</f>
        <v>0.4374</v>
      </c>
      <c r="I43" s="204">
        <v>1.15</v>
      </c>
      <c r="J43" s="207">
        <f>($J$6*(1+$E$116)*(1+$D$157)+169*15/120*$C$24+$C$14*6)*H43*$J$10*$L$11*I43*(1+0.01*E25)</f>
        <v>3174.441741</v>
      </c>
      <c r="K43" s="196">
        <f>J43*$J$8*$J$14*(1+$C$131*0.05)*(1+0.08*C120*D120)</f>
        <v>4979.633694</v>
      </c>
      <c r="L43" s="209">
        <f t="shared" ref="L43:L46" si="37">K43</f>
        <v>4979.633694</v>
      </c>
      <c r="M43" s="209">
        <f>K43*$L$12</f>
        <v>921.2322333</v>
      </c>
      <c r="N43" s="197">
        <v>-1.0</v>
      </c>
      <c r="O43" s="211">
        <v>10.0</v>
      </c>
      <c r="P43" s="204">
        <v>2.0</v>
      </c>
      <c r="Q43" s="196">
        <f t="shared" si="31"/>
        <v>0.983880796</v>
      </c>
      <c r="R43" s="204">
        <v>6.0</v>
      </c>
      <c r="S43" s="198">
        <f>IF(4*Q43&gt;=R43,4*Q43,(IF(5*Q43&gt;=R43,5*Q43,(IF(6*Q43&gt;=R43,6*Q43,(IF(7*Q43&gt;=R43,7*Q43,(8*Q43))))))))</f>
        <v>6.887165572</v>
      </c>
      <c r="T43" s="196">
        <f>MIN(1/S43,(L15-SUM(AB19:AB42)-SUM(AB44:AB56)-SUM(AB61:AB76))/2)*D87</f>
        <v>0</v>
      </c>
      <c r="U43" s="199">
        <f t="shared" si="32"/>
        <v>0</v>
      </c>
      <c r="V43" s="196">
        <f t="shared" si="33"/>
        <v>0</v>
      </c>
      <c r="W43" s="196">
        <f t="shared" si="34"/>
        <v>0</v>
      </c>
      <c r="X43" s="196">
        <f t="shared" ref="X43:X44" si="38">T43*M43</f>
        <v>0</v>
      </c>
      <c r="Y43" s="196">
        <f t="shared" si="35"/>
        <v>0</v>
      </c>
      <c r="Z43" s="196">
        <f>T43*N43</f>
        <v>0</v>
      </c>
      <c r="AA43" s="196">
        <f t="shared" si="36"/>
        <v>0</v>
      </c>
      <c r="AB43" s="196">
        <f>P43*T43</f>
        <v>0</v>
      </c>
    </row>
    <row r="44">
      <c r="A44" s="322" t="s">
        <v>117</v>
      </c>
      <c r="B44" s="276" t="s">
        <v>118</v>
      </c>
      <c r="C44" s="25">
        <f>Inputs!C46</f>
        <v>1</v>
      </c>
      <c r="D44" s="264">
        <f>Inputs!D46</f>
        <v>0</v>
      </c>
      <c r="G44" s="276" t="s">
        <v>335</v>
      </c>
      <c r="H44" s="263">
        <f>0.22</f>
        <v>0.22</v>
      </c>
      <c r="I44" s="255"/>
      <c r="J44" s="207">
        <f t="shared" ref="J44:J45" si="39">($J$6*(1+$E$116)*(1+$D$157)+$C$14*6)*H44*$J$10*$L$11</f>
        <v>1388.396221</v>
      </c>
      <c r="K44" s="196">
        <f>J44*$J$8*$J$14*(1+0.08*C120*D120)</f>
        <v>2074.216858</v>
      </c>
      <c r="L44" s="196">
        <f t="shared" si="37"/>
        <v>2074.216858</v>
      </c>
      <c r="M44" s="196">
        <f>K44*(1+$L$12)</f>
        <v>2457.946976</v>
      </c>
      <c r="N44" s="255"/>
      <c r="O44" s="255"/>
      <c r="P44" s="194"/>
      <c r="Q44" s="255"/>
      <c r="R44" s="197">
        <f>60/3</f>
        <v>20</v>
      </c>
      <c r="S44" s="196">
        <f>R44/1.13/$J$9</f>
        <v>11.60921293</v>
      </c>
      <c r="T44" s="196">
        <f>1/S44*IF($E$28=1,1,0)</f>
        <v>0</v>
      </c>
      <c r="U44" s="194"/>
      <c r="V44" s="196">
        <f t="shared" si="33"/>
        <v>0</v>
      </c>
      <c r="W44" s="196">
        <f t="shared" si="34"/>
        <v>0</v>
      </c>
      <c r="X44" s="196">
        <f t="shared" si="38"/>
        <v>0</v>
      </c>
      <c r="Y44" s="196">
        <f t="shared" si="35"/>
        <v>0</v>
      </c>
      <c r="Z44" s="194"/>
      <c r="AA44" s="194"/>
      <c r="AB44" s="194"/>
    </row>
    <row r="45">
      <c r="A45" s="97"/>
      <c r="B45" s="276" t="s">
        <v>119</v>
      </c>
      <c r="C45" s="25">
        <f>Inputs!C47</f>
        <v>1</v>
      </c>
      <c r="D45" s="78"/>
      <c r="G45" s="276" t="s">
        <v>336</v>
      </c>
      <c r="H45" s="253">
        <v>0.075</v>
      </c>
      <c r="I45" s="255"/>
      <c r="J45" s="207">
        <f t="shared" si="39"/>
        <v>473.3168934</v>
      </c>
      <c r="K45" s="209">
        <f>J45*$J$8*$J$14*(1+0.08*C120*D120)</f>
        <v>707.1193832</v>
      </c>
      <c r="L45" s="196">
        <f t="shared" si="37"/>
        <v>707.1193832</v>
      </c>
      <c r="M45" s="196">
        <f t="shared" ref="M45:M47" si="40">K45*$L$12</f>
        <v>130.8170859</v>
      </c>
      <c r="N45" s="255"/>
      <c r="O45" s="255"/>
      <c r="P45" s="194"/>
      <c r="Q45" s="255"/>
      <c r="R45" s="194"/>
      <c r="S45" s="194"/>
      <c r="T45" s="194"/>
      <c r="U45" s="194"/>
      <c r="V45" s="209">
        <f>IF(IF($E$28=2,1,0),1.13*(exp(6*12*J9/60)-1)*(1-(1-exp(-6*12*J9/60))^3)*K45/6,0)</f>
        <v>0</v>
      </c>
      <c r="W45" s="196">
        <f>V45</f>
        <v>0</v>
      </c>
      <c r="X45" s="196">
        <f>V45*$L$12</f>
        <v>0</v>
      </c>
      <c r="Y45" s="196">
        <f t="shared" si="35"/>
        <v>0</v>
      </c>
      <c r="Z45" s="194"/>
      <c r="AA45" s="194"/>
      <c r="AB45" s="194"/>
    </row>
    <row r="46">
      <c r="A46" s="97"/>
      <c r="B46" s="276" t="s">
        <v>120</v>
      </c>
      <c r="C46" s="25">
        <f>Inputs!C48</f>
        <v>2</v>
      </c>
      <c r="D46" s="78"/>
      <c r="G46" s="276" t="s">
        <v>337</v>
      </c>
      <c r="H46" s="253">
        <f>7.1545*1.2*1.2</f>
        <v>10.30248</v>
      </c>
      <c r="I46" s="204">
        <v>1.15</v>
      </c>
      <c r="J46" s="207">
        <f t="shared" ref="J46:J47" si="41">($J$6*(1+$E$116)*(1+$D$157)+169*15/120*$C$24+$C$14*6)*H46*$J$10*$L$11*I46*(1+0.01*$E$25)</f>
        <v>74770.51336</v>
      </c>
      <c r="K46" s="196">
        <f>J46*$J$8*$J$14*(1+C130*0.15*$B$19*(1+0.2*$C$63))*$H$135*(1+0.08*C120*D120)
</f>
        <v>111704.6107</v>
      </c>
      <c r="L46" s="196">
        <f t="shared" si="37"/>
        <v>111704.6107</v>
      </c>
      <c r="M46" s="196">
        <f t="shared" si="40"/>
        <v>20665.35297</v>
      </c>
      <c r="N46" s="194"/>
      <c r="O46" s="194"/>
      <c r="P46" s="194"/>
      <c r="Q46" s="194"/>
      <c r="R46" s="194"/>
      <c r="S46" s="194"/>
      <c r="T46" s="196">
        <f>T64*(3-C137)+T38</f>
        <v>0.01101321586</v>
      </c>
      <c r="U46" s="194"/>
      <c r="V46" s="196">
        <f t="shared" ref="V46:V47" si="42">T46*K46</f>
        <v>1230.22699</v>
      </c>
      <c r="W46" s="196">
        <f t="shared" ref="W46:W47" si="43">T46*L46</f>
        <v>1230.22699</v>
      </c>
      <c r="X46" s="196">
        <f t="shared" ref="X46:X48" si="44">T46*M46</f>
        <v>227.5919931</v>
      </c>
      <c r="Y46" s="196">
        <f t="shared" si="35"/>
        <v>182.0735945</v>
      </c>
      <c r="Z46" s="194"/>
      <c r="AA46" s="194"/>
      <c r="AB46" s="194"/>
    </row>
    <row r="47">
      <c r="A47" s="97"/>
      <c r="B47" s="276" t="s">
        <v>122</v>
      </c>
      <c r="C47" s="25">
        <f>Inputs!C49</f>
        <v>0</v>
      </c>
      <c r="D47" s="78"/>
      <c r="G47" s="276" t="s">
        <v>338</v>
      </c>
      <c r="H47" s="253">
        <f>3.91*1.2</f>
        <v>4.692</v>
      </c>
      <c r="I47" s="204">
        <v>1.15</v>
      </c>
      <c r="J47" s="207">
        <f t="shared" si="41"/>
        <v>34052.31058</v>
      </c>
      <c r="K47" s="196">
        <f>J47*$J$8*$C$152/SQRT(MAX(1,$C$152/8))*$J$14*(1+C130*0.15*$B$19*(1+0.2*$C$63))*$H$135*(1+0.08*C120*D120)
</f>
        <v>254364.9845</v>
      </c>
      <c r="L47" s="209">
        <f>K47/$C$152</f>
        <v>50872.99691</v>
      </c>
      <c r="M47" s="209">
        <f t="shared" si="40"/>
        <v>47057.52214</v>
      </c>
      <c r="N47" s="194"/>
      <c r="O47" s="194"/>
      <c r="P47" s="194"/>
      <c r="Q47" s="194"/>
      <c r="R47" s="194"/>
      <c r="S47" s="194"/>
      <c r="T47" s="196">
        <f>T64*(3-C137)+T38</f>
        <v>0.01101321586</v>
      </c>
      <c r="U47" s="194"/>
      <c r="V47" s="196">
        <f t="shared" si="42"/>
        <v>2801.376482</v>
      </c>
      <c r="W47" s="196">
        <f t="shared" si="43"/>
        <v>560.2752963</v>
      </c>
      <c r="X47" s="196">
        <f t="shared" si="44"/>
        <v>518.2546491</v>
      </c>
      <c r="Y47" s="196">
        <f t="shared" si="35"/>
        <v>414.6037193</v>
      </c>
      <c r="Z47" s="194"/>
      <c r="AA47" s="194"/>
      <c r="AB47" s="194"/>
    </row>
    <row r="48">
      <c r="A48" s="97"/>
      <c r="B48" s="276" t="s">
        <v>123</v>
      </c>
      <c r="C48" s="25">
        <f>Inputs!C50</f>
        <v>0</v>
      </c>
      <c r="D48" s="78"/>
      <c r="G48" s="276" t="s">
        <v>339</v>
      </c>
      <c r="H48" s="252"/>
      <c r="I48" s="203"/>
      <c r="J48" s="203"/>
      <c r="K48" s="255"/>
      <c r="L48" s="203"/>
      <c r="M48" s="196">
        <f>L7*0.2</f>
        <v>336578.92</v>
      </c>
      <c r="N48" s="194"/>
      <c r="O48" s="194"/>
      <c r="P48" s="194"/>
      <c r="Q48" s="194"/>
      <c r="R48" s="204">
        <v>120.0</v>
      </c>
      <c r="S48" s="198">
        <f t="shared" ref="S48:S50" si="45">R48+$C$151</f>
        <v>120.8</v>
      </c>
      <c r="T48" s="196">
        <f>1/S48*C34</f>
        <v>0</v>
      </c>
      <c r="U48" s="194"/>
      <c r="V48" s="194"/>
      <c r="W48" s="194"/>
      <c r="X48" s="196">
        <f t="shared" si="44"/>
        <v>0</v>
      </c>
      <c r="Y48" s="196">
        <f t="shared" si="35"/>
        <v>0</v>
      </c>
      <c r="Z48" s="194"/>
      <c r="AA48" s="194"/>
      <c r="AB48" s="194"/>
    </row>
    <row r="49">
      <c r="A49" s="97"/>
      <c r="B49" s="276" t="s">
        <v>125</v>
      </c>
      <c r="C49" s="25">
        <f>Inputs!C51</f>
        <v>2</v>
      </c>
      <c r="D49" s="78"/>
      <c r="G49" s="276" t="s">
        <v>196</v>
      </c>
      <c r="H49" s="252"/>
      <c r="I49" s="203"/>
      <c r="J49" s="203"/>
      <c r="K49" s="255"/>
      <c r="L49" s="203"/>
      <c r="M49" s="203"/>
      <c r="N49" s="194"/>
      <c r="O49" s="194"/>
      <c r="P49" s="256">
        <f>MIN(C90*C152,6)</f>
        <v>5</v>
      </c>
      <c r="Q49" s="196">
        <f t="shared" ref="Q49:Q51" si="46">1.5/$J$9</f>
        <v>0.983880796</v>
      </c>
      <c r="R49" s="204">
        <v>90.0</v>
      </c>
      <c r="S49" s="198">
        <f t="shared" si="45"/>
        <v>90.8</v>
      </c>
      <c r="T49" s="196">
        <f>1/S49*C103*D103</f>
        <v>0</v>
      </c>
      <c r="U49" s="199">
        <f t="shared" ref="U49:U51" si="47">T49*Q49</f>
        <v>0</v>
      </c>
      <c r="V49" s="194"/>
      <c r="W49" s="194"/>
      <c r="X49" s="194"/>
      <c r="Y49" s="194"/>
      <c r="Z49" s="194"/>
      <c r="AA49" s="194"/>
      <c r="AB49" s="196">
        <f>P49*T49</f>
        <v>0</v>
      </c>
    </row>
    <row r="50">
      <c r="A50" s="97"/>
      <c r="B50" s="276" t="s">
        <v>126</v>
      </c>
      <c r="C50" s="25">
        <f>Inputs!C52</f>
        <v>0</v>
      </c>
      <c r="D50" s="78"/>
      <c r="G50" s="276" t="s">
        <v>340</v>
      </c>
      <c r="H50" s="253">
        <v>3.78</v>
      </c>
      <c r="I50" s="203"/>
      <c r="J50" s="207">
        <f>($J$6*(1+$E$116)*(1+$D$157)+$C$14*6)*H50*$J$10*$L$11</f>
        <v>23855.17143</v>
      </c>
      <c r="K50" s="255"/>
      <c r="L50" s="203"/>
      <c r="M50" s="196">
        <f>J50*$J$8*$J$15</f>
        <v>30248.56481</v>
      </c>
      <c r="N50" s="194"/>
      <c r="O50" s="194"/>
      <c r="P50" s="194"/>
      <c r="Q50" s="196">
        <f t="shared" si="46"/>
        <v>0.983880796</v>
      </c>
      <c r="R50" s="197">
        <v>90.0</v>
      </c>
      <c r="S50" s="198">
        <f t="shared" si="45"/>
        <v>90.8</v>
      </c>
      <c r="T50" s="196">
        <f>1/S50*IF($E$29=2,1,0)</f>
        <v>0</v>
      </c>
      <c r="U50" s="199">
        <f t="shared" si="47"/>
        <v>0</v>
      </c>
      <c r="V50" s="194"/>
      <c r="W50" s="194"/>
      <c r="X50" s="196">
        <f>T50*M50</f>
        <v>0</v>
      </c>
      <c r="Y50" s="196">
        <f t="shared" ref="Y50:Y51" si="48">X50*(1-$C$144)</f>
        <v>0</v>
      </c>
      <c r="Z50" s="194"/>
      <c r="AA50" s="194"/>
      <c r="AB50" s="194"/>
    </row>
    <row r="51">
      <c r="A51" s="98"/>
      <c r="B51" s="276" t="s">
        <v>128</v>
      </c>
      <c r="C51" s="25">
        <f>Inputs!C53</f>
        <v>1</v>
      </c>
      <c r="D51" s="78"/>
      <c r="E51" s="2"/>
      <c r="G51" s="281" t="s">
        <v>175</v>
      </c>
      <c r="H51" s="253">
        <f>1.31112*1.2*1.25</f>
        <v>1.96668</v>
      </c>
      <c r="I51" s="204">
        <v>1.15</v>
      </c>
      <c r="J51" s="207">
        <f>($J$6*(1+$E$116)*(1+$D$157)+169*15/120*$C$24+$C$14*6)*H51*$J$10*$L$11*I51*(1+0.15*C93)</f>
        <v>14273.23064</v>
      </c>
      <c r="K51" s="196">
        <f>J51*$J$8*0.7*IF($C$152&lt;=5,IF($C$152&lt;3,$C$152,2+IF($C$43&gt;0,$C$152-2,0)*((14-5*C131*E137)/S40)),2+IF($C$43&gt;0,3,0)*((14-5*C131*E137)/S40))*$J$14*(1+0.08*C120*D120)</f>
        <v>74633.02844</v>
      </c>
      <c r="L51" s="196">
        <f>K51/IF($C$152&lt;=5,IF($C$152&lt;3,$C$152,2+IF($C$43&gt;0,$C$152-2,0)*((14-5*C131*E137)/S40)),2+IF($C$43&gt;0,3,0)*((14-5*C131*E137)/S40))</f>
        <v>14926.60569</v>
      </c>
      <c r="M51" s="196">
        <f>K51*$L$12+IF($C$152&lt;=5,IF($C$152&lt;3,$C$152,2+IF($C$43&gt;0,$C$152-2,0)*((14-5*C131*E137)/S40)),2+IF($C$43&gt;0,3,0)*((14-5*C131*E137)/S40))*$L$7*0.0025*$C$95</f>
        <v>13807.11026</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6"/>
        <v>0.983880796</v>
      </c>
      <c r="R51" s="194"/>
      <c r="S51" s="194"/>
      <c r="T51" s="196">
        <f>MIN(($L$9+SUM(Z19:Z50)+SUM(Z52:Z76))/(-N51),MAX((1-SUM(U18:U41,U43:U50,U52:U76)+SUM(AA19:AA41,AA43:AA50,AA52:AA76)/O42*Q42)/Q51*(-O42/(O51-O42)),0))</f>
        <v>0.4003060619</v>
      </c>
      <c r="U51" s="199">
        <f t="shared" si="47"/>
        <v>0.3938534468</v>
      </c>
      <c r="V51" s="196">
        <f>(T51-T74+3*(1-C131*T38*(8+C110*4))*C116/(9/(1/(0.5+(2/((L14+0.3*(1-(1-(T38*(8+C110*4)))*(1-IF(C127&gt;3,1,0)*(1-0.875^(8*(T40+T43+T51+T57+T63)))))))-1+IF(C152=1,0.5,0))/C152))+9/(1/(0.5+(2/((L14+0.3*(1-(1-(T38*(8+C110*4)))*(1-IF(C127&gt;3,1,0)*(1-0.875^(8*(T40+T43+T51+T57+T63)))))))-1+IF(C152=1,0.5,0))/C152))/2*((0.8/3^(C152-1))/(1-(0.8/3^(C152-1))))+6)+1.5*(1-C131*(T38*(8+C110*4))/(1-(1-(T38*(8+C110*4)))*(1-IF(C127&gt;3,1,0)*(1-0.875^(8*(T40+T43+T51+T57+T63))))))*F127)*K51</f>
        <v>39245.06523</v>
      </c>
      <c r="W51" s="196">
        <f>(T51-T74+3*(1-C131*T38*(8+C110*4))*C116/(9/(1/(0.5+(2/((L14+0.3*(1-(1-(T38*(8+C110*4)))*(1-IF(C127&gt;3,1,0)*(1-0.875^(8*(T40+T43+T51+T57+T63)))))))-1+IF(C152=1,0.5,0))/C152))+9/(1/(0.5+(2/((L14+0.3*(1-(1-(T38*(8+C110*4)))*(1-IF(C127&gt;3,1,0)*(1-0.875^(8*(T40+T43+T51+T57+T63)))))))-1+IF(C152=1,0.5,0))/C152))/2*((0.8/3^(C152-1))/(1-(0.8/3^(C152-1))))+6)+1.5*(1-C131*(T38*(8+C110*4))/(1-(1-(T38*(8+C110*4)))*(1-IF(C127&gt;3,1,0)*(1-0.875^(8*(T40+T43+T51+T57+T63))))))*F127)*L51</f>
        <v>7849.013046</v>
      </c>
      <c r="X51" s="196">
        <f>(T51-T74)*M51</f>
        <v>2872.971253</v>
      </c>
      <c r="Y51" s="196">
        <f t="shared" si="48"/>
        <v>2298.377002</v>
      </c>
      <c r="Z51" s="196">
        <f>T51*N51</f>
        <v>-0.4003060619</v>
      </c>
      <c r="AA51" s="196">
        <f>T51*O51</f>
        <v>10.00765155</v>
      </c>
      <c r="AB51" s="194"/>
    </row>
    <row r="52">
      <c r="A52" s="329" t="s">
        <v>129</v>
      </c>
      <c r="B52" s="276" t="s">
        <v>130</v>
      </c>
      <c r="C52" s="25">
        <f>Inputs!C54</f>
        <v>1</v>
      </c>
      <c r="D52" s="78"/>
      <c r="G52" s="281"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276" t="s">
        <v>132</v>
      </c>
      <c r="C53" s="25">
        <f>Inputs!C55</f>
        <v>0</v>
      </c>
      <c r="D53" s="78"/>
      <c r="G53" s="276" t="s">
        <v>342</v>
      </c>
      <c r="H53" s="27"/>
      <c r="I53" s="194"/>
      <c r="J53" s="207">
        <f>J29*0.2</f>
        <v>4573.778078</v>
      </c>
      <c r="K53" s="196">
        <f>J53*$J$8*IF($C$152&lt;=5,IF($C$152&lt;3,$C$152,IF($C$43&gt;0,$C$152,2)*(14-5*C131*E137)/$S$40+2*($S$40-(14-5*C131*E137))/$S$40),IF($C$43&gt;0,5,2)*(14-5*C131*E137)/$S$40+2*($S$40-(14-5*C131*E137))/$S$40)*$J$14*(1+$C$131*0.05)*(1+0.08*C120*D120)</f>
        <v>35873.61383</v>
      </c>
      <c r="L53" s="196">
        <f>K53/IF($C$152&lt;=5,IF($C$152&lt;3,$C$152,IF($C$43&gt;0,$C$152,2)*(14-5*C131*E137)/$S$40+2*($S$40-(14-5*C131*E137))/$S$40),IF($C$43&gt;0,5,2)*(14-5*C131*E137)/$S$40+2*($S$40-(14-5*C131*E137))/$S$40)</f>
        <v>7174.722765</v>
      </c>
      <c r="M53" s="209">
        <f>K53*$L$12</f>
        <v>6636.618558</v>
      </c>
      <c r="N53" s="194"/>
      <c r="O53" s="194"/>
      <c r="P53" s="194"/>
      <c r="Q53" s="194"/>
      <c r="R53" s="194"/>
      <c r="S53" s="194"/>
      <c r="T53" s="196">
        <f>C131*T74</f>
        <v>0.1922269492</v>
      </c>
      <c r="U53" s="194"/>
      <c r="V53" s="196">
        <f>T53*K53*C131</f>
        <v>6895.875341</v>
      </c>
      <c r="W53" s="196">
        <f>T53*L53*C131</f>
        <v>1379.175068</v>
      </c>
      <c r="X53" s="196">
        <f>T53*M53*C131</f>
        <v>1275.736938</v>
      </c>
      <c r="Y53" s="196">
        <f>X53*(1-$C$144)</f>
        <v>1020.58955</v>
      </c>
      <c r="Z53" s="195"/>
      <c r="AA53" s="195"/>
      <c r="AB53" s="194"/>
    </row>
    <row r="54">
      <c r="A54" s="97"/>
      <c r="B54" s="276" t="s">
        <v>133</v>
      </c>
      <c r="C54" s="25">
        <f>Inputs!C56</f>
        <v>1</v>
      </c>
      <c r="D54" s="78"/>
      <c r="G54" s="276"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276" t="s">
        <v>134</v>
      </c>
      <c r="C55" s="25">
        <f>Inputs!C57</f>
        <v>1</v>
      </c>
      <c r="D55" s="78"/>
      <c r="G55" s="276" t="s">
        <v>204</v>
      </c>
      <c r="H55" s="27"/>
      <c r="I55" s="194"/>
      <c r="J55" s="194"/>
      <c r="K55" s="194"/>
      <c r="L55" s="255"/>
      <c r="M55" s="196">
        <f>M42*0.2/(1+C99*0.08*MIN((T25+C108*T51*(1-(1-0.15)*(1-0.15*MAX(4,C152-1))))/T42*C152,5))</f>
        <v>136370.5714</v>
      </c>
      <c r="N55" s="194"/>
      <c r="O55" s="194"/>
      <c r="P55" s="194"/>
      <c r="Q55" s="194"/>
      <c r="R55" s="194"/>
      <c r="S55" s="194"/>
      <c r="T55" s="196">
        <f>T42*C109</f>
        <v>0.4013494365</v>
      </c>
      <c r="U55" s="194"/>
      <c r="V55" s="255"/>
      <c r="W55" s="255"/>
      <c r="X55" s="196">
        <f t="shared" ref="X55:X57" si="49">T55*M55</f>
        <v>54732.252</v>
      </c>
      <c r="Y55" s="196">
        <f t="shared" ref="Y55:Y57" si="50">X55*(1-$C$144)</f>
        <v>43785.8016</v>
      </c>
      <c r="Z55" s="195"/>
      <c r="AA55" s="195"/>
      <c r="AB55" s="194"/>
    </row>
    <row r="56">
      <c r="A56" s="97"/>
      <c r="B56" s="276" t="s">
        <v>135</v>
      </c>
      <c r="C56" s="25">
        <f>Inputs!C58</f>
        <v>0</v>
      </c>
      <c r="D56" s="78"/>
      <c r="G56" s="276" t="s">
        <v>344</v>
      </c>
      <c r="H56" s="253">
        <v>4.2</v>
      </c>
      <c r="I56" s="194"/>
      <c r="J56" s="207">
        <f>($J$6*(1+$E$116)*(1+$D$157)+$C$14*6)*H56*$J$10*$L$11</f>
        <v>26505.74603</v>
      </c>
      <c r="K56" s="196">
        <f>J56*$J$8*$C$152/SQRT(MAX(1,$C$152/8))*$J$14*(1+0.08*C120*D120)
</f>
        <v>197993.4273</v>
      </c>
      <c r="L56" s="196">
        <f>K56/$C$152</f>
        <v>39598.68546</v>
      </c>
      <c r="M56" s="196">
        <f t="shared" ref="M56:M57" si="51">K56*$L$12</f>
        <v>36628.78405</v>
      </c>
      <c r="N56" s="194"/>
      <c r="O56" s="194"/>
      <c r="P56" s="194"/>
      <c r="Q56" s="196">
        <f t="shared" ref="Q56:Q57" si="52">1.5/$J$9</f>
        <v>0.983880796</v>
      </c>
      <c r="R56" s="204">
        <v>150.0</v>
      </c>
      <c r="S56" s="198">
        <f>R56+$C$151</f>
        <v>150.8</v>
      </c>
      <c r="T56" s="196">
        <f>1/S56*E31</f>
        <v>0</v>
      </c>
      <c r="U56" s="199">
        <f t="shared" ref="U56:U57" si="53">T56*Q56</f>
        <v>0</v>
      </c>
      <c r="V56" s="196">
        <f t="shared" ref="V56:V57" si="54">T56*K56</f>
        <v>0</v>
      </c>
      <c r="W56" s="196">
        <f t="shared" ref="W56:W57" si="55">T56*L56</f>
        <v>0</v>
      </c>
      <c r="X56" s="196">
        <f t="shared" si="49"/>
        <v>0</v>
      </c>
      <c r="Y56" s="196">
        <f t="shared" si="50"/>
        <v>0</v>
      </c>
      <c r="Z56" s="195"/>
      <c r="AA56" s="195"/>
      <c r="AB56" s="194"/>
    </row>
    <row r="57">
      <c r="A57" s="97"/>
      <c r="B57" s="276" t="s">
        <v>136</v>
      </c>
      <c r="C57" s="25">
        <f>Inputs!C59</f>
        <v>1</v>
      </c>
      <c r="D57" s="78"/>
      <c r="G57" s="281" t="s">
        <v>176</v>
      </c>
      <c r="H57" s="253">
        <f>1.471*1.5</f>
        <v>2.2065</v>
      </c>
      <c r="I57" s="204">
        <v>1.15</v>
      </c>
      <c r="J57" s="207">
        <f>($J$6*(1+$E$116)*(1+$D$157)+169*15/120*$C$24+$C$14*6)*H57*$J$10*$L$11*I57</f>
        <v>16013.73045</v>
      </c>
      <c r="K57" s="196">
        <f>J57*$J$8*0.7*$J$14*(1+0.08*C120*D120)
</f>
        <v>16746.77907</v>
      </c>
      <c r="L57" s="196">
        <f>K57</f>
        <v>16746.77907</v>
      </c>
      <c r="M57" s="196">
        <f t="shared" si="51"/>
        <v>3098.154127</v>
      </c>
      <c r="N57" s="197">
        <v>-2.0</v>
      </c>
      <c r="O57" s="211">
        <f>20</f>
        <v>20</v>
      </c>
      <c r="P57" s="204">
        <v>3.0</v>
      </c>
      <c r="Q57" s="196">
        <f t="shared" si="52"/>
        <v>0.983880796</v>
      </c>
      <c r="R57" s="194"/>
      <c r="S57" s="194"/>
      <c r="T57" s="196">
        <f>MAX((L15-SUM(AB19:AB56)-SUM(AB58:AB76))/3,T47)</f>
        <v>0.0906193372</v>
      </c>
      <c r="U57" s="199">
        <f t="shared" si="53"/>
        <v>0.08915862562</v>
      </c>
      <c r="V57" s="196">
        <f t="shared" si="54"/>
        <v>1517.582019</v>
      </c>
      <c r="W57" s="196">
        <f t="shared" si="55"/>
        <v>1517.582019</v>
      </c>
      <c r="X57" s="196">
        <f t="shared" si="49"/>
        <v>280.7526736</v>
      </c>
      <c r="Y57" s="196">
        <f t="shared" si="50"/>
        <v>224.6021388</v>
      </c>
      <c r="Z57" s="196">
        <f>(T57-T47/(2))*N57</f>
        <v>-0.1702254585</v>
      </c>
      <c r="AA57" s="196">
        <f t="shared" ref="AA57:AA58" si="56">T57*O57</f>
        <v>1.812386744</v>
      </c>
      <c r="AB57" s="196">
        <f>P57*T57</f>
        <v>0.2718580116</v>
      </c>
    </row>
    <row r="58">
      <c r="A58" s="97"/>
      <c r="B58" s="276" t="s">
        <v>137</v>
      </c>
      <c r="C58" s="25">
        <f>Inputs!C60</f>
        <v>0</v>
      </c>
      <c r="D58" s="78"/>
      <c r="G58" s="276"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6"/>
        <v>0</v>
      </c>
      <c r="AB58" s="194"/>
    </row>
    <row r="59">
      <c r="A59" s="329" t="s">
        <v>138</v>
      </c>
      <c r="B59" s="276" t="s">
        <v>139</v>
      </c>
      <c r="C59" s="25">
        <f>Inputs!C61</f>
        <v>1</v>
      </c>
      <c r="D59" s="264">
        <f>Inputs!D61</f>
        <v>0.9</v>
      </c>
      <c r="E59" s="2"/>
      <c r="G59" s="276" t="s">
        <v>249</v>
      </c>
      <c r="H59" s="27"/>
      <c r="I59" s="278"/>
      <c r="J59" s="194"/>
      <c r="K59" s="256">
        <f>SUM(V25,V26,K28/10*C118,V29,V35,V40,V43,V53,K68/10*C123,IF(C131=1,V74*T51/T74,0))*10*0.15*0.15*$C$152/SQRT(MAX(1,$C$152/8))*(1+$C$131*0.05*MIN(1,5/$C$152))*J10*(1+0.08*C120*D120)</f>
        <v>174737.8144</v>
      </c>
      <c r="L59" s="209">
        <f>K59/$C$152</f>
        <v>34947.56289</v>
      </c>
      <c r="M59" s="196">
        <f>K59/((1+$C$131*0.05*MIN(1,5/$C$152)))/$C$152</f>
        <v>33283.39323</v>
      </c>
      <c r="N59" s="195"/>
      <c r="O59" s="195"/>
      <c r="P59" s="194"/>
      <c r="Q59" s="194"/>
      <c r="R59" s="194"/>
      <c r="S59" s="194"/>
      <c r="T59" s="196">
        <f>T24*C131*E141</f>
        <v>0.01101321586</v>
      </c>
      <c r="U59" s="278"/>
      <c r="V59" s="196">
        <f>T59*K59</f>
        <v>1924.425269</v>
      </c>
      <c r="W59" s="196">
        <f>T59*L59</f>
        <v>384.8850538</v>
      </c>
      <c r="X59" s="196">
        <f>T59*M59</f>
        <v>366.5571941</v>
      </c>
      <c r="Y59" s="196">
        <f>X59*(1-$C$144)</f>
        <v>293.2457553</v>
      </c>
      <c r="Z59" s="194"/>
      <c r="AA59" s="194"/>
      <c r="AB59" s="194"/>
    </row>
    <row r="60">
      <c r="A60" s="97"/>
      <c r="B60" s="276" t="s">
        <v>140</v>
      </c>
      <c r="C60" s="25">
        <f>Inputs!C62</f>
        <v>1</v>
      </c>
      <c r="D60" s="78"/>
      <c r="G60" s="276" t="s">
        <v>133</v>
      </c>
      <c r="H60" s="27"/>
      <c r="I60" s="278"/>
      <c r="J60" s="194"/>
      <c r="K60" s="194"/>
      <c r="L60" s="195"/>
      <c r="M60" s="196">
        <f>K23*0.5*(1+0.15*C46)*(1+C130)</f>
        <v>9652.179581</v>
      </c>
      <c r="N60" s="195"/>
      <c r="O60" s="195"/>
      <c r="P60" s="194"/>
      <c r="Q60" s="194"/>
      <c r="R60" s="194"/>
      <c r="S60" s="194"/>
      <c r="T60" s="196">
        <f>T23*C54</f>
        <v>0.7253739295</v>
      </c>
      <c r="U60" s="278"/>
      <c r="V60" s="194"/>
      <c r="W60" s="194"/>
      <c r="X60" s="196">
        <f>T60*M60+C130*T47*(K46+K47)*0.1*(1+0.15*C46)*C54</f>
        <v>7001.439431</v>
      </c>
      <c r="Y60" s="196">
        <f>X60</f>
        <v>7001.439431</v>
      </c>
      <c r="Z60" s="194"/>
      <c r="AA60" s="194"/>
      <c r="AB60" s="194"/>
    </row>
    <row r="61">
      <c r="A61" s="97"/>
      <c r="B61" s="276" t="s">
        <v>141</v>
      </c>
      <c r="C61" s="25">
        <f>Inputs!C63</f>
        <v>1</v>
      </c>
      <c r="D61" s="264">
        <f>Inputs!D63</f>
        <v>0</v>
      </c>
      <c r="G61" s="276" t="s">
        <v>111</v>
      </c>
      <c r="H61" s="218">
        <f>0.5875*2/6*1.075</f>
        <v>0.2105208333</v>
      </c>
      <c r="I61" s="204">
        <v>1.0</v>
      </c>
      <c r="J61" s="219">
        <f>($J$6*(1+$E$116)*(1+$D$157)+169*15/120*$C$24+$C$14*6)*H61*$J$10*$L$11*I61*(1+0.01*C24)</f>
        <v>1328.574224</v>
      </c>
      <c r="K61" s="196">
        <f>J61*$J$8*0.7*(INT($J$9*60/2+1)+(60*$J$9*10+25)/40*1.35)*$J$14*(1+$C$131*0.05)</f>
        <v>109861.8312</v>
      </c>
      <c r="L61" s="196">
        <f t="shared" ref="L61:L65" si="57">K61</f>
        <v>109861.8312</v>
      </c>
      <c r="M61" s="195"/>
      <c r="N61" s="195"/>
      <c r="O61" s="195"/>
      <c r="P61" s="194"/>
      <c r="Q61" s="194"/>
      <c r="R61" s="197">
        <v>120.0</v>
      </c>
      <c r="S61" s="256">
        <f>120-30*C130*C138</f>
        <v>120</v>
      </c>
      <c r="T61" s="196">
        <f>1/S61*C40</f>
        <v>0.008333333333</v>
      </c>
      <c r="U61" s="194"/>
      <c r="V61" s="196">
        <f t="shared" ref="V61:V65" si="58">T61*K61</f>
        <v>915.5152597</v>
      </c>
      <c r="W61" s="196">
        <f t="shared" ref="W61:W65" si="59">T61*L61</f>
        <v>915.5152597</v>
      </c>
      <c r="X61" s="194"/>
      <c r="Y61" s="194"/>
      <c r="Z61" s="194"/>
      <c r="AA61" s="194"/>
      <c r="AB61" s="194"/>
    </row>
    <row r="62">
      <c r="A62" s="97"/>
      <c r="B62" s="276" t="s">
        <v>142</v>
      </c>
      <c r="C62" s="25">
        <f>Inputs!C64</f>
        <v>0</v>
      </c>
      <c r="D62" s="78"/>
      <c r="G62" s="276" t="s">
        <v>72</v>
      </c>
      <c r="H62" s="253">
        <v>0.01127</v>
      </c>
      <c r="I62" s="204">
        <v>1.15</v>
      </c>
      <c r="J62" s="207">
        <f>($J$6*(1+$E$116)*(1+$D$157)+169*15/120*$C$24+$C$14*6)*H62*$J$10*$L$11*I62*(1+0.01*E25)</f>
        <v>81.79231463</v>
      </c>
      <c r="K62" s="209">
        <f>J62*$J$8*$J$14*(1+0.2*C63)*(1+0.08*C120*D120)*(1+0.15*$B$19*(1+0.2*$C$63))</f>
        <v>146.6339323</v>
      </c>
      <c r="L62" s="196">
        <f t="shared" si="57"/>
        <v>146.6339323</v>
      </c>
      <c r="M62" s="196">
        <f t="shared" ref="M62:M65" si="60">K62*$L$12</f>
        <v>27.12727747</v>
      </c>
      <c r="N62" s="194"/>
      <c r="O62" s="194"/>
      <c r="P62" s="194"/>
      <c r="Q62" s="194"/>
      <c r="R62" s="194"/>
      <c r="S62" s="194"/>
      <c r="T62" s="196">
        <f>$B$19*(T23+T35*$C$152+T42*MIN((C152-1)*C106+1,2*C106+1)+T51*IF($C$152&lt;=5,IF($C$152&lt;3,$C$152,2+IF(C43&gt;0,$C$152-2,0)*10/S40+2*(S40-10)/S40),2+IF(C43&gt;0,3,0)*10/S40+2*(S40-10)/S40)+T57)</f>
        <v>0</v>
      </c>
      <c r="U62" s="194"/>
      <c r="V62" s="196">
        <f t="shared" si="58"/>
        <v>0</v>
      </c>
      <c r="W62" s="196">
        <f t="shared" si="59"/>
        <v>0</v>
      </c>
      <c r="X62" s="196">
        <f t="shared" ref="X62:X66" si="61">T62*M62</f>
        <v>0</v>
      </c>
      <c r="Y62" s="196">
        <f t="shared" ref="Y62:Y66" si="62">X62*(1-$C$144)</f>
        <v>0</v>
      </c>
      <c r="Z62" s="194"/>
      <c r="AA62" s="194"/>
      <c r="AB62" s="194"/>
    </row>
    <row r="63">
      <c r="A63" s="97"/>
      <c r="B63" s="276" t="s">
        <v>143</v>
      </c>
      <c r="C63" s="25">
        <f>Inputs!C65</f>
        <v>1</v>
      </c>
      <c r="D63" s="78"/>
      <c r="G63" s="276" t="s">
        <v>345</v>
      </c>
      <c r="H63" s="253">
        <f>3.07125*1.2*1.2</f>
        <v>4.4226</v>
      </c>
      <c r="I63" s="204">
        <v>1.15</v>
      </c>
      <c r="J63" s="207">
        <f>($J$6*(1+$E$116)*(1+$D$157)+169*15/120*$C$24+$C$14*6)*H63*$J$10*$L$11*I63*(1+0.01*E25)*1.05</f>
        <v>33701.98981</v>
      </c>
      <c r="K63" s="196">
        <f>J63*$J$8*$J$14*(1+0.15*$B$19*(1+0.2*$C$63))*(1+0.08*C120*D120)</f>
        <v>50349.62957</v>
      </c>
      <c r="L63" s="196">
        <f t="shared" si="57"/>
        <v>50349.62957</v>
      </c>
      <c r="M63" s="196">
        <f t="shared" si="60"/>
        <v>9314.68147</v>
      </c>
      <c r="N63" s="197">
        <v>-2.0</v>
      </c>
      <c r="O63" s="211">
        <f>20</f>
        <v>20</v>
      </c>
      <c r="P63" s="204">
        <f>3</f>
        <v>3</v>
      </c>
      <c r="Q63" s="196">
        <f>1.5/$J$9</f>
        <v>0.983880796</v>
      </c>
      <c r="R63" s="204">
        <v>45.0</v>
      </c>
      <c r="S63" s="198">
        <f>2*R63/(2+C137)+$C$151</f>
        <v>45.8</v>
      </c>
      <c r="T63" s="196">
        <f>1/S63*C130</f>
        <v>0</v>
      </c>
      <c r="U63" s="199">
        <f>T63*Q63</f>
        <v>0</v>
      </c>
      <c r="V63" s="196">
        <f t="shared" si="58"/>
        <v>0</v>
      </c>
      <c r="W63" s="196">
        <f t="shared" si="59"/>
        <v>0</v>
      </c>
      <c r="X63" s="196">
        <f t="shared" si="61"/>
        <v>0</v>
      </c>
      <c r="Y63" s="196">
        <f t="shared" si="62"/>
        <v>0</v>
      </c>
      <c r="Z63" s="196">
        <f>T63*N63</f>
        <v>0</v>
      </c>
      <c r="AA63" s="196">
        <f>T63*O63</f>
        <v>0</v>
      </c>
      <c r="AB63" s="196">
        <f>P63*T63</f>
        <v>0</v>
      </c>
    </row>
    <row r="64">
      <c r="A64" s="329" t="s">
        <v>144</v>
      </c>
      <c r="B64" s="276" t="s">
        <v>145</v>
      </c>
      <c r="C64" s="25">
        <f>Inputs!C66</f>
        <v>0</v>
      </c>
      <c r="D64" s="78"/>
      <c r="G64" s="276" t="s">
        <v>346</v>
      </c>
      <c r="H64" s="253">
        <f>0.3779*1.2</f>
        <v>0.45348</v>
      </c>
      <c r="I64" s="204">
        <v>1.15</v>
      </c>
      <c r="J64" s="207">
        <f>($J$6*(1+$E$116)*(1+$D$157)+169*15/120*$C$24+$C$14*6)*H64*$J$10*$L$11*I64*(1+0.01*E25)*1.05</f>
        <v>3455.699892</v>
      </c>
      <c r="K64" s="196">
        <f>J64*$J$8*$J$14*(1+0.15*$B$19*(1+0.2*$C$63))*$H$134*(1+0.15)*(1+0.05*(1+H8))*(1+0.08*C120*D120)</f>
        <v>251961.6242</v>
      </c>
      <c r="L64" s="196">
        <f t="shared" si="57"/>
        <v>251961.6242</v>
      </c>
      <c r="M64" s="196">
        <f t="shared" si="60"/>
        <v>46612.90047</v>
      </c>
      <c r="N64" s="194"/>
      <c r="O64" s="194"/>
      <c r="P64" s="194"/>
      <c r="Q64" s="194"/>
      <c r="R64" s="194"/>
      <c r="S64" s="194"/>
      <c r="T64" s="196">
        <f>T63</f>
        <v>0</v>
      </c>
      <c r="U64" s="194"/>
      <c r="V64" s="196">
        <f t="shared" si="58"/>
        <v>0</v>
      </c>
      <c r="W64" s="196">
        <f t="shared" si="59"/>
        <v>0</v>
      </c>
      <c r="X64" s="196">
        <f t="shared" si="61"/>
        <v>0</v>
      </c>
      <c r="Y64" s="196">
        <f t="shared" si="62"/>
        <v>0</v>
      </c>
      <c r="Z64" s="194"/>
      <c r="AA64" s="194"/>
      <c r="AB64" s="194"/>
    </row>
    <row r="65">
      <c r="A65" s="97"/>
      <c r="B65" s="276" t="s">
        <v>146</v>
      </c>
      <c r="C65" s="25">
        <f>Inputs!C67</f>
        <v>0</v>
      </c>
      <c r="D65" s="78"/>
      <c r="G65" s="281" t="s">
        <v>347</v>
      </c>
      <c r="H65" s="263">
        <v>0.5</v>
      </c>
      <c r="I65" s="194"/>
      <c r="J65" s="219">
        <f>(360+343*0.429/0.5*(1+0.05*C21)+$J$6*(1+$E$116)*(1+$D$157)+$C$14*6)*H65*$J$10*$L$11</f>
        <v>3654.674525</v>
      </c>
      <c r="K65" s="209">
        <f>J65*$J$8*$J$14*(1+0.08*C120*D120)</f>
        <v>5459.959769</v>
      </c>
      <c r="L65" s="196">
        <f t="shared" si="57"/>
        <v>5459.959769</v>
      </c>
      <c r="M65" s="196">
        <f t="shared" si="60"/>
        <v>1010.092557</v>
      </c>
      <c r="N65" s="194"/>
      <c r="O65" s="194"/>
      <c r="P65" s="194"/>
      <c r="Q65" s="196">
        <f>1.5/$J$9</f>
        <v>0.983880796</v>
      </c>
      <c r="R65" s="197">
        <v>90.0</v>
      </c>
      <c r="S65" s="198">
        <f>R65+$C$151</f>
        <v>90.8</v>
      </c>
      <c r="T65" s="196">
        <f>1/S65*C29</f>
        <v>0</v>
      </c>
      <c r="U65" s="199">
        <f>T65*Q65</f>
        <v>0</v>
      </c>
      <c r="V65" s="196">
        <f t="shared" si="58"/>
        <v>0</v>
      </c>
      <c r="W65" s="196">
        <f t="shared" si="59"/>
        <v>0</v>
      </c>
      <c r="X65" s="196">
        <f t="shared" si="61"/>
        <v>0</v>
      </c>
      <c r="Y65" s="196">
        <f t="shared" si="62"/>
        <v>0</v>
      </c>
      <c r="Z65" s="194"/>
      <c r="AA65" s="194"/>
      <c r="AB65" s="194"/>
    </row>
    <row r="66">
      <c r="A66" s="97"/>
      <c r="B66" s="276" t="s">
        <v>147</v>
      </c>
      <c r="C66" s="25">
        <f>Inputs!C68</f>
        <v>1</v>
      </c>
      <c r="D66" s="78"/>
      <c r="E66" s="2"/>
      <c r="G66" s="276" t="s">
        <v>348</v>
      </c>
      <c r="H66" s="27"/>
      <c r="I66" s="194"/>
      <c r="J66" s="194"/>
      <c r="K66" s="194"/>
      <c r="L66" s="194"/>
      <c r="M66" s="196">
        <f>$L$7*0.48*(1+0.2*C63)</f>
        <v>969347.2896</v>
      </c>
      <c r="N66" s="194"/>
      <c r="O66" s="194"/>
      <c r="P66" s="194"/>
      <c r="Q66" s="194"/>
      <c r="R66" s="204">
        <v>360.0</v>
      </c>
      <c r="S66" s="204">
        <v>360.0</v>
      </c>
      <c r="T66" s="196">
        <f>1/S66*C19</f>
        <v>0.002777777778</v>
      </c>
      <c r="U66" s="194"/>
      <c r="V66" s="194"/>
      <c r="W66" s="194"/>
      <c r="X66" s="196">
        <f t="shared" si="61"/>
        <v>2692.63136</v>
      </c>
      <c r="Y66" s="196">
        <f t="shared" si="62"/>
        <v>2154.105088</v>
      </c>
      <c r="Z66" s="194"/>
      <c r="AA66" s="194"/>
      <c r="AB66" s="194"/>
    </row>
    <row r="67">
      <c r="A67" s="97"/>
      <c r="B67" s="276" t="s">
        <v>148</v>
      </c>
      <c r="C67" s="25">
        <f>Inputs!C69</f>
        <v>1</v>
      </c>
      <c r="D67" s="78"/>
      <c r="E67" s="2"/>
      <c r="G67" s="276" t="s">
        <v>113</v>
      </c>
      <c r="H67" s="27"/>
      <c r="I67" s="194"/>
      <c r="J67" s="194"/>
      <c r="K67" s="194"/>
      <c r="L67" s="194"/>
      <c r="M67" s="194"/>
      <c r="N67" s="194"/>
      <c r="O67" s="211">
        <v>3.0</v>
      </c>
      <c r="P67" s="194"/>
      <c r="Q67" s="194"/>
      <c r="R67" s="285">
        <f>60/10.8</f>
        <v>5.555555556</v>
      </c>
      <c r="S67" s="198">
        <f>1/(10.8*J9*1.13/60)</f>
        <v>3.22478137</v>
      </c>
      <c r="T67" s="196">
        <f>1/S67*C41</f>
        <v>0.3100985417</v>
      </c>
      <c r="U67" s="194"/>
      <c r="V67" s="194"/>
      <c r="W67" s="194"/>
      <c r="X67" s="194"/>
      <c r="Y67" s="194"/>
      <c r="Z67" s="194"/>
      <c r="AA67" s="196">
        <f>T67*O67</f>
        <v>0.930295625</v>
      </c>
      <c r="AB67" s="194"/>
    </row>
    <row r="68">
      <c r="A68" s="97"/>
      <c r="B68" s="276" t="s">
        <v>149</v>
      </c>
      <c r="C68" s="25">
        <f>Inputs!C70</f>
        <v>1</v>
      </c>
      <c r="D68" s="78"/>
      <c r="G68" s="276" t="s">
        <v>220</v>
      </c>
      <c r="H68" s="253">
        <v>2.76</v>
      </c>
      <c r="I68" s="194"/>
      <c r="J68" s="207">
        <f>($J$6*(1+$E$116)*(1+$D$157)+169*15/120*$C$24+$C$14*6)*H68*$J$10*$L$11*(1+0.01*$E$25)</f>
        <v>17418.06168</v>
      </c>
      <c r="K68" s="196">
        <f>J68*$J$8*$J$14*(1+$C$131*0.05*MIN(1,5/$C$152))*$C$152/SQRT(MAX(1,$C$152/8))*(1+0.02*-AA42*8*((O42-5*IF(C42&gt;0,1,0))/O42))*(1+0.08*C120*D120)</f>
        <v>487530.9198</v>
      </c>
      <c r="L68" s="209">
        <f t="shared" ref="L68:L69" si="63">K68/$C$152</f>
        <v>97506.18396</v>
      </c>
      <c r="M68" s="196">
        <f>K68*(0.18+$L$12)</f>
        <v>177948.7857</v>
      </c>
      <c r="N68" s="194"/>
      <c r="O68" s="194"/>
      <c r="P68" s="194"/>
      <c r="Q68" s="194"/>
      <c r="R68" s="194"/>
      <c r="S68" s="194"/>
      <c r="T68" s="196">
        <f>T28*C123</f>
        <v>0</v>
      </c>
      <c r="U68" s="194"/>
      <c r="V68" s="196">
        <f t="shared" ref="V68:V69" si="64">T68*K68</f>
        <v>0</v>
      </c>
      <c r="W68" s="196">
        <f t="shared" ref="W68:W69" si="65">T68*L68</f>
        <v>0</v>
      </c>
      <c r="X68" s="196">
        <f t="shared" ref="X68:X69" si="66">T68*M68</f>
        <v>0</v>
      </c>
      <c r="Y68" s="196">
        <f t="shared" ref="Y68:Y69" si="67">X68*(1-$C$144)</f>
        <v>0</v>
      </c>
      <c r="Z68" s="194"/>
      <c r="AA68" s="194"/>
      <c r="AB68" s="194"/>
    </row>
    <row r="69">
      <c r="A69" s="97"/>
      <c r="B69" s="276" t="s">
        <v>151</v>
      </c>
      <c r="C69" s="25">
        <f>Inputs!C71</f>
        <v>1</v>
      </c>
      <c r="D69" s="78"/>
      <c r="G69" s="276" t="s">
        <v>349</v>
      </c>
      <c r="H69" s="27"/>
      <c r="I69" s="204">
        <v>1.15</v>
      </c>
      <c r="J69" s="194"/>
      <c r="K69" s="196">
        <f>K64*1/10*($C$152-1)*$I$69*1.05*IF(D100=2,(1+0.06*C119*(1-T40*(1-(0.75)^((5+(H15/2))/H15))/(1+3*(1-(0.75)^((5+(H15/2))/H15))*C82)/(1-(0.75)^((5+(H15/2))/H15)))),(1+0.06*(14-5*C131*E137)*C119*(1/S40)))</f>
        <v>128999.3124</v>
      </c>
      <c r="L69" s="196">
        <f t="shared" si="63"/>
        <v>25799.86247</v>
      </c>
      <c r="M69" s="196">
        <f>K69*$L$12</f>
        <v>23864.87279</v>
      </c>
      <c r="N69" s="194"/>
      <c r="O69" s="194"/>
      <c r="P69" s="194"/>
      <c r="Q69" s="194"/>
      <c r="R69" s="194"/>
      <c r="S69" s="194"/>
      <c r="T69" s="196">
        <f>T64</f>
        <v>0</v>
      </c>
      <c r="U69" s="194"/>
      <c r="V69" s="196">
        <f t="shared" si="64"/>
        <v>0</v>
      </c>
      <c r="W69" s="196">
        <f t="shared" si="65"/>
        <v>0</v>
      </c>
      <c r="X69" s="196">
        <f t="shared" si="66"/>
        <v>0</v>
      </c>
      <c r="Y69" s="196">
        <f t="shared" si="67"/>
        <v>0</v>
      </c>
      <c r="Z69" s="194"/>
      <c r="AA69" s="194"/>
      <c r="AB69" s="194"/>
    </row>
    <row r="70">
      <c r="A70" s="329" t="s">
        <v>152</v>
      </c>
      <c r="B70" s="276" t="s">
        <v>153</v>
      </c>
      <c r="C70" s="25">
        <f>Inputs!C72</f>
        <v>0</v>
      </c>
      <c r="D70" s="78"/>
      <c r="E70" s="2"/>
      <c r="G70" s="276"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276" t="s">
        <v>154</v>
      </c>
      <c r="C71" s="25">
        <f>Inputs!C73</f>
        <v>1</v>
      </c>
      <c r="D71" s="78"/>
      <c r="G71" s="281" t="s">
        <v>351</v>
      </c>
      <c r="H71" s="263">
        <f>1.25*0.25</f>
        <v>0.3125</v>
      </c>
      <c r="I71" s="194"/>
      <c r="J71" s="207">
        <f>($J$6*(1+$E$116)*(1+$D$157)+$C$14*6)*H71*$J$10*$L$11</f>
        <v>1972.153723</v>
      </c>
      <c r="K71" s="196">
        <f>J71*$J$8*$J$14*(1+0.08*C120*D120)*(1+$C$131*0.05*MIN(1,5/$C$152))</f>
        <v>3093.647302</v>
      </c>
      <c r="L71" s="196">
        <f>K71</f>
        <v>3093.647302</v>
      </c>
      <c r="M71" s="196">
        <f>K71*(1+$L$12)</f>
        <v>3665.972053</v>
      </c>
      <c r="N71" s="194"/>
      <c r="O71" s="194"/>
      <c r="P71" s="194"/>
      <c r="Q71" s="195"/>
      <c r="R71" s="197">
        <v>15.0</v>
      </c>
      <c r="S71" s="288">
        <f>15</f>
        <v>15</v>
      </c>
      <c r="T71" s="196">
        <f>1/S71*C25</f>
        <v>0</v>
      </c>
      <c r="U71" s="222"/>
      <c r="V71" s="196">
        <f>T71*K71</f>
        <v>0</v>
      </c>
      <c r="W71" s="196">
        <f>T71*L71</f>
        <v>0</v>
      </c>
      <c r="X71" s="196">
        <f t="shared" ref="X71:X75" si="68">T71*M71</f>
        <v>0</v>
      </c>
      <c r="Y71" s="196">
        <f>X71*(1-$C$144)</f>
        <v>0</v>
      </c>
      <c r="Z71" s="194"/>
      <c r="AA71" s="194"/>
      <c r="AB71" s="194"/>
    </row>
    <row r="72">
      <c r="A72" s="98"/>
      <c r="B72" s="276" t="s">
        <v>155</v>
      </c>
      <c r="C72" s="25">
        <f>Inputs!C74</f>
        <v>0</v>
      </c>
      <c r="D72" s="78"/>
      <c r="E72" s="2"/>
      <c r="G72" s="276" t="s">
        <v>223</v>
      </c>
      <c r="H72" s="27"/>
      <c r="I72" s="194"/>
      <c r="J72" s="194"/>
      <c r="K72" s="194"/>
      <c r="L72" s="194"/>
      <c r="M72" s="196">
        <f>MIN(L7,V29*(10+2*C92)*6)*J10*(1+0.15*C46)</f>
        <v>1510796.685</v>
      </c>
      <c r="N72" s="194"/>
      <c r="O72" s="194"/>
      <c r="P72" s="194"/>
      <c r="Q72" s="194"/>
      <c r="R72" s="194"/>
      <c r="S72" s="194"/>
      <c r="T72" s="196">
        <f>T76*C126</f>
        <v>0.04678661658</v>
      </c>
      <c r="U72" s="194"/>
      <c r="V72" s="194"/>
      <c r="W72" s="194"/>
      <c r="X72" s="196">
        <f t="shared" si="68"/>
        <v>70685.06525</v>
      </c>
      <c r="Y72" s="196">
        <f>X72</f>
        <v>70685.06525</v>
      </c>
      <c r="Z72" s="194"/>
      <c r="AA72" s="194"/>
      <c r="AB72" s="194"/>
    </row>
    <row r="73">
      <c r="A73" s="329" t="s">
        <v>156</v>
      </c>
      <c r="B73" s="276" t="s">
        <v>157</v>
      </c>
      <c r="C73" s="25">
        <f>Inputs!C75</f>
        <v>0</v>
      </c>
      <c r="D73" s="78"/>
      <c r="G73" s="281" t="s">
        <v>352</v>
      </c>
      <c r="H73" s="27"/>
      <c r="I73" s="194"/>
      <c r="J73" s="194"/>
      <c r="K73" s="194"/>
      <c r="L73" s="194"/>
      <c r="M73" s="196">
        <f>$L$7*0.04*(1+0.2*C63)</f>
        <v>80778.9408</v>
      </c>
      <c r="N73" s="194"/>
      <c r="O73" s="194"/>
      <c r="P73" s="194"/>
      <c r="Q73" s="194"/>
      <c r="R73" s="197">
        <f>60/3</f>
        <v>20</v>
      </c>
      <c r="S73" s="196">
        <f>R73/1.13/$J$9</f>
        <v>11.60921293</v>
      </c>
      <c r="T73" s="196">
        <f>1/S73*B21</f>
        <v>0</v>
      </c>
      <c r="U73" s="194"/>
      <c r="V73" s="194"/>
      <c r="W73" s="194"/>
      <c r="X73" s="196">
        <f t="shared" si="68"/>
        <v>0</v>
      </c>
      <c r="Y73" s="196">
        <f t="shared" ref="Y73:Y75" si="69">X73*(1-$C$144)</f>
        <v>0</v>
      </c>
      <c r="Z73" s="194"/>
      <c r="AA73" s="194"/>
      <c r="AB73" s="194"/>
    </row>
    <row r="74">
      <c r="A74" s="97"/>
      <c r="B74" s="276" t="s">
        <v>158</v>
      </c>
      <c r="C74" s="25">
        <f>Inputs!C76</f>
        <v>1</v>
      </c>
      <c r="D74" s="78"/>
      <c r="G74" s="276" t="s">
        <v>353</v>
      </c>
      <c r="H74" s="289">
        <f>0.907*1.25</f>
        <v>1.13375</v>
      </c>
      <c r="I74" s="204">
        <v>1.15</v>
      </c>
      <c r="J74" s="207">
        <f>($J$6*(1+$E$116)*(1+$D$157)+169*15/120*$C$24+$C$14*6)*H74*$J$10*$L$11*I74*(1+0.15*C93)*(1+0.01*$E$25)*(1+0.1*C43)</f>
        <v>9051.041737</v>
      </c>
      <c r="K74" s="196">
        <f>J74*$J$8*IF($C$152&lt;=5,IF($C$152&lt;3,$C$152,IF($C$43&gt;0,$C$152,2)*(14-5*C131*E137)/$S$40+2*($S$40-(14-5*C131*E137))/$S$40),IF($C$43&gt;0,5,2)*(14-5*C131*E137)/$S$40+2*($S$40-(14-5*C131*E137))/$S$40)*$J$14*(1+$C$131*0.2)*(1+0.08*C120*D120)</f>
        <v>81131.696</v>
      </c>
      <c r="L74" s="196">
        <f>K74/IF($C$152&lt;=5,IF($C$152&lt;3,$C$152,IF($C$43&gt;0,$C$152,2)*(14-5*C131*E137)/$S$40+2*($S$40-(14-5*C131*E137))/$S$40),IF($C$43&gt;0,5,2)*(14-5*C131*E137)/$S$40+2*($S$40-(14-5*C131*E137))/$S$40)</f>
        <v>16226.3392</v>
      </c>
      <c r="M74" s="196">
        <f>K74*$L$12+IF($C$152&lt;=5,IF($C$152&lt;3,$C$152,IF($C$43&gt;0,$C$152,2)*(14-5*C131*E137)/$S$40+2*($S$40-(14-5*C131*E137))/$S$40),IF($C$43&gt;0,5,2)*(14-5*C131*E137)/$S$40+2*($S$40-(14-5*C131*E137))/$S$40)*$L$7*0.0025*$C$95+$L$7*0.02*$J$10</f>
        <v>58107.04788</v>
      </c>
      <c r="N74" s="194"/>
      <c r="O74" s="194"/>
      <c r="P74" s="194"/>
      <c r="Q74" s="194"/>
      <c r="R74" s="194"/>
      <c r="S74" s="194"/>
      <c r="T74" s="196">
        <f>C131*((T38*(8+C110*4))*T51+(1-T38*(8+C110*4))*((0.35+0.05*14/S40*E136)*T42+(E140*0.35*0.15)*T42))</f>
        <v>0.1922269492</v>
      </c>
      <c r="U74" s="194"/>
      <c r="V74" s="196">
        <f>(T74+(C131*T38*(8+C110*4))*C116/(9/(1/(0.5+(2/((L14+0.3*(1-(1-(T38*(8+C110*4)))*(1-IF(C127&gt;3,1,0)*(1-0.875^(8*(T40+T43+T51+T57+T63)))))))-1+IF(C152=1,0.5,0))/C152))+9/(1/(0.5+(2/((L14+0.3*(1-(1-(T38*(8+C110*4)))*(1-IF(C127&gt;3,1,0)*(1-0.875^(8*(T40+T43+T51+T57+T63)))))))-1+IF(C152=1,0.5,0))/C152))/2*((0.8/3^(C152-1))/(1-(0.8/3^(C152-1))))+6)+1.5*C131*F127*((T38*(8+C110*4))/(1-(1-(T38*(8+C110*4)))*(1-IF(C127&gt;3,1,0)*(1-0.875^(8*(T40+T43+T51+T57+T63)))))))*K74</f>
        <v>20561.87291</v>
      </c>
      <c r="W74" s="196">
        <f>(T74+(C131*T38*(8+C110*4))*C116/(9/(1/(0.5+(2/((L14+0.3*(1-(1-(T38*(8+C110*4)))*(1-IF(C127&gt;3,1,0)*(1-0.875^(8*(T40+T43+T51+T57+T63)))))))-1+IF(C152=1,0.5,0))/C152))+9/(1/(0.5+(2/((L14+0.3*(1-(1-(T38*(8+C110*4)))*(1-IF(C127&gt;3,1,0)*(1-0.875^(8*(T40+T43+T51+T57+T63)))))))-1+IF(C152=1,0.5,0))/C152))/2*((0.8/3^(C152-1))/(1-(0.8/3^(C152-1))))+6)+1.5*C131*F127*((T38*(8+C110*4))/(1-(1-(T38*(8+C110*4)))*(1-IF(C127&gt;3,1,0)*(1-0.875^(8*(T40+T43+T51+T57+T63)))))))*L74</f>
        <v>4112.374582</v>
      </c>
      <c r="X74" s="196">
        <f t="shared" si="68"/>
        <v>11169.74054</v>
      </c>
      <c r="Y74" s="196">
        <f t="shared" si="69"/>
        <v>8935.79243</v>
      </c>
      <c r="Z74" s="194"/>
      <c r="AA74" s="194"/>
      <c r="AB74" s="293"/>
    </row>
    <row r="75">
      <c r="A75" s="97"/>
      <c r="B75" s="276" t="s">
        <v>160</v>
      </c>
      <c r="C75" s="25">
        <f>Inputs!C77</f>
        <v>1</v>
      </c>
      <c r="D75" s="78"/>
      <c r="G75" s="276" t="s">
        <v>354</v>
      </c>
      <c r="H75" s="253">
        <f>1.766*1.2</f>
        <v>2.1192</v>
      </c>
      <c r="I75" s="204">
        <v>1.15</v>
      </c>
      <c r="J75" s="207">
        <f>($J$6*(1+$E$116)*(1+$D$157)+169*15/120*$C$24+$C$14*6)*H75*$J$10*$L$11*I75*(1+0.01*$E$25)</f>
        <v>15380.14846</v>
      </c>
      <c r="K75" s="196">
        <f>J75*($J$8+2)/2*(1+$C$152)*$J$14*(1+0.15*$B$19*(1+0.2*$C$63))*(H8*0.05/2+1)*(1+0.08*C120*D120)</f>
        <v>183004.0595</v>
      </c>
      <c r="L75" s="196">
        <f>K75*2/(1+$C$152)</f>
        <v>61001.35316</v>
      </c>
      <c r="M75" s="196">
        <f>K75*$L$12</f>
        <v>33855.751</v>
      </c>
      <c r="N75" s="194"/>
      <c r="O75" s="194"/>
      <c r="P75" s="194"/>
      <c r="Q75" s="194"/>
      <c r="R75" s="194"/>
      <c r="S75" s="194"/>
      <c r="T75" s="196">
        <f>T63</f>
        <v>0</v>
      </c>
      <c r="U75" s="293"/>
      <c r="V75" s="196">
        <f>T75*K75</f>
        <v>0</v>
      </c>
      <c r="W75" s="196">
        <f>T75*L75</f>
        <v>0</v>
      </c>
      <c r="X75" s="196">
        <f t="shared" si="68"/>
        <v>0</v>
      </c>
      <c r="Y75" s="196">
        <f t="shared" si="69"/>
        <v>0</v>
      </c>
      <c r="Z75" s="293"/>
      <c r="AA75" s="293"/>
      <c r="AB75" s="293"/>
    </row>
    <row r="76">
      <c r="A76" s="98"/>
      <c r="B76" s="276" t="s">
        <v>161</v>
      </c>
      <c r="C76" s="25">
        <f>Inputs!C78</f>
        <v>0</v>
      </c>
      <c r="D76" s="78"/>
      <c r="G76" s="281" t="s">
        <v>179</v>
      </c>
      <c r="H76" s="27"/>
      <c r="I76" s="194"/>
      <c r="J76" s="194"/>
      <c r="K76" s="194"/>
      <c r="L76" s="194"/>
      <c r="M76" s="194"/>
      <c r="N76" s="194"/>
      <c r="O76" s="194"/>
      <c r="P76" s="194"/>
      <c r="Q76" s="194"/>
      <c r="R76" s="295">
        <f>90</f>
        <v>90</v>
      </c>
      <c r="S76" s="287">
        <f>R76/(1-AA42/5*C122*((O42-5*IF(C42&gt;0,1,0))/O42))</f>
        <v>21.3736336</v>
      </c>
      <c r="T76" s="287">
        <f>1/S76*C89*C149</f>
        <v>0.04678661658</v>
      </c>
      <c r="U76" s="293"/>
      <c r="V76" s="293"/>
      <c r="W76" s="298"/>
      <c r="X76" s="298"/>
      <c r="Y76" s="293"/>
      <c r="Z76" s="293"/>
      <c r="AA76" s="293"/>
      <c r="AB76" s="293"/>
    </row>
    <row r="77">
      <c r="A77" s="329" t="s">
        <v>162</v>
      </c>
      <c r="B77" s="276" t="s">
        <v>163</v>
      </c>
      <c r="C77" s="25">
        <f>Inputs!C79</f>
        <v>2</v>
      </c>
      <c r="D77" s="78"/>
      <c r="T77" s="334" t="s">
        <v>230</v>
      </c>
      <c r="U77" s="300">
        <f t="shared" ref="U77:X77" si="70">sum(U19:U76)</f>
        <v>1</v>
      </c>
      <c r="V77" s="140">
        <f t="shared" si="70"/>
        <v>324430.9328</v>
      </c>
      <c r="W77" s="140">
        <f t="shared" si="70"/>
        <v>112067.4741</v>
      </c>
      <c r="X77" s="140">
        <f t="shared" si="70"/>
        <v>442136.6637</v>
      </c>
      <c r="Y77" s="140">
        <f>sum(Y19:Y76)+W78</f>
        <v>384443.5455</v>
      </c>
      <c r="Z77" s="140">
        <f t="shared" ref="Z77:AB77" si="71">sum(Z19:Z76)</f>
        <v>-0.4570809304</v>
      </c>
      <c r="AA77" s="140">
        <f t="shared" si="71"/>
        <v>0</v>
      </c>
      <c r="AB77" s="152">
        <f t="shared" si="71"/>
        <v>0.3269240909</v>
      </c>
    </row>
    <row r="78">
      <c r="A78" s="97"/>
      <c r="B78" s="276" t="s">
        <v>165</v>
      </c>
      <c r="C78" s="25">
        <f>Inputs!C80</f>
        <v>0</v>
      </c>
      <c r="D78" s="78"/>
      <c r="E78" s="2"/>
      <c r="I78" s="325"/>
    </row>
    <row r="79">
      <c r="A79" s="98"/>
      <c r="B79" s="276" t="s">
        <v>166</v>
      </c>
      <c r="C79" s="25">
        <f>Inputs!C81</f>
        <v>2</v>
      </c>
      <c r="D79" s="78"/>
      <c r="E79" s="2"/>
      <c r="V79" s="326">
        <f>8047*20*1.13/60*J8*J10*0.7</f>
        <v>3312.418059</v>
      </c>
      <c r="W79" s="326">
        <f>498629/150*J8*J10*(0.85+0.15*C152)</f>
        <v>8303.518747</v>
      </c>
      <c r="Y79" s="326">
        <f>-(1.13*(1-exp(-1*12/60)))*49872/12*J10*L10</f>
        <v>-937.1879001</v>
      </c>
    </row>
    <row r="80">
      <c r="A80" s="335" t="s">
        <v>168</v>
      </c>
      <c r="B80" s="276" t="s">
        <v>169</v>
      </c>
      <c r="C80" s="25">
        <f>Inputs!C82</f>
        <v>1</v>
      </c>
      <c r="D80" s="78"/>
      <c r="E80" s="2"/>
      <c r="S80" s="301"/>
      <c r="T80" s="301"/>
      <c r="V80" s="326">
        <f>(239640*0.7+129036)*1.13*0.92/60*J8*J10</f>
        <v>8028.074942</v>
      </c>
    </row>
    <row r="81">
      <c r="A81" s="122"/>
      <c r="B81" s="276" t="s">
        <v>171</v>
      </c>
      <c r="C81" s="25">
        <f>Inputs!C83</f>
        <v>0</v>
      </c>
      <c r="D81" s="78"/>
      <c r="E81" s="2"/>
      <c r="S81" s="62"/>
      <c r="T81" s="62"/>
      <c r="V81" s="326">
        <f>221688*0.85*1.13/60*J8*J10*J9*(0.85+0.15*C152)</f>
        <v>13514.90433</v>
      </c>
      <c r="W81" s="326">
        <f>(1.13*(1-exp(-2*10/60)))*8804*5/10*(0.85+0.15*C152)*J8*J10</f>
        <v>3522.163189</v>
      </c>
    </row>
    <row r="82">
      <c r="A82" s="122"/>
      <c r="B82" s="276" t="s">
        <v>172</v>
      </c>
      <c r="C82" s="25">
        <f>Inputs!C84</f>
        <v>1</v>
      </c>
      <c r="D82" s="78"/>
      <c r="E82" s="2"/>
      <c r="S82" s="301"/>
      <c r="T82" s="301"/>
      <c r="U82" s="336"/>
      <c r="V82" s="326">
        <f>150750*1.25*1.13/60*J8*J10*J9*(0.85+0.15*C152)</f>
        <v>13515.09798</v>
      </c>
    </row>
    <row r="83">
      <c r="A83" s="123"/>
      <c r="B83" s="276" t="s">
        <v>173</v>
      </c>
      <c r="C83" s="25">
        <f>Inputs!C85</f>
        <v>0</v>
      </c>
      <c r="D83" s="78"/>
      <c r="E83" s="2"/>
      <c r="V83" s="326">
        <f>124747/6*(1.13*(1-exp(-2*J9*6/60)))*J8*J10</f>
        <v>9639.658385</v>
      </c>
    </row>
    <row r="84">
      <c r="A84" s="2"/>
      <c r="B84" s="2"/>
      <c r="C84" s="2"/>
      <c r="D84" s="2"/>
      <c r="E84" s="2"/>
      <c r="R84" s="302"/>
      <c r="V84" s="326">
        <f>135322*4/150*J8*J10*(0.85+0.15*C152)</f>
        <v>9013.906242</v>
      </c>
    </row>
    <row r="85">
      <c r="A85" s="2"/>
      <c r="B85" s="321" t="s">
        <v>174</v>
      </c>
      <c r="C85" s="283" t="s">
        <v>106</v>
      </c>
      <c r="D85" s="283" t="s">
        <v>107</v>
      </c>
      <c r="E85" s="2"/>
      <c r="V85" s="326">
        <f>15233*1.5*1.13/60*J8*J10*5*5/3</f>
        <v>5598.588682</v>
      </c>
    </row>
    <row r="86">
      <c r="A86" s="337" t="s">
        <v>108</v>
      </c>
      <c r="B86" s="276" t="s">
        <v>175</v>
      </c>
      <c r="C86" s="25">
        <f>Inputs!C88</f>
        <v>1</v>
      </c>
      <c r="D86" s="78"/>
      <c r="E86" s="2"/>
      <c r="U86" s="326">
        <f>(20*0.793)*14698*J8*J10*0.7/60*1.375</f>
        <v>5838.03679</v>
      </c>
      <c r="V86" s="326">
        <f>(20+2/3*(C152*4-2-2/3))*14698*J8*J10*0.7/60*1.375</f>
        <v>11615.54188</v>
      </c>
    </row>
    <row r="87">
      <c r="A87" s="322" t="s">
        <v>112</v>
      </c>
      <c r="B87" s="276" t="s">
        <v>176</v>
      </c>
      <c r="C87" s="25">
        <f>Inputs!C89</f>
        <v>1</v>
      </c>
      <c r="D87" s="25">
        <f>Inputs!D89</f>
        <v>0</v>
      </c>
      <c r="V87" s="326">
        <f>156528*1.13/60*J8*J9*J10*1.5*(0.85+0.15*C152)</f>
        <v>16839.73139</v>
      </c>
    </row>
    <row r="88">
      <c r="A88" s="98"/>
      <c r="B88" s="276" t="s">
        <v>177</v>
      </c>
      <c r="C88" s="25">
        <f>Inputs!C90</f>
        <v>1</v>
      </c>
      <c r="D88" s="78"/>
      <c r="E88" s="2"/>
      <c r="V88" s="326">
        <f>91711*J8*J10/90*(0.85+0.15*C152)*5*0.79+2395/3*J10*J8*C152*0.8</f>
        <v>15039.70349</v>
      </c>
      <c r="W88" s="326">
        <f>80382*J8*J10/90*(0.85+0.15*C152)*5*0.79+2013/3*J10*J8*C152*0.8</f>
        <v>13002.53577</v>
      </c>
      <c r="X88" s="326">
        <f>(660181*J10*1.15*1.5-93582*5*J10*L10*0.79)/90*1.5-2395*J10*L10/3*0.8</f>
        <v>16817.8867</v>
      </c>
      <c r="Y88" s="326">
        <f>(578625*J10*1.15*1.5-82021*5*J10*L10*0.79)/90*1.5-2013*J10*L10/3*0.8</f>
        <v>14765.58097</v>
      </c>
    </row>
    <row r="89">
      <c r="A89" s="329" t="s">
        <v>117</v>
      </c>
      <c r="B89" s="276" t="s">
        <v>179</v>
      </c>
      <c r="C89" s="25">
        <f>Inputs!C91</f>
        <v>1</v>
      </c>
      <c r="D89" s="78"/>
      <c r="E89" s="2"/>
      <c r="U89" s="326">
        <f>205064/1.2^15</f>
        <v>13309.77561</v>
      </c>
      <c r="V89" s="4">
        <f>(304680/(1.2)^15)*3*1.13*1.2^15/60*J8*J9*J10*(127566/205064)*IF(C152&gt;1,1,1)*0.9</f>
        <v>22939.56121</v>
      </c>
      <c r="X89" s="326">
        <f>-V89/2*L10</f>
        <v>-9861.356279</v>
      </c>
    </row>
    <row r="90">
      <c r="A90" s="98"/>
      <c r="B90" s="276" t="s">
        <v>180</v>
      </c>
      <c r="C90" s="25">
        <f>Inputs!C92</f>
        <v>1</v>
      </c>
      <c r="D90" s="78"/>
      <c r="E90" s="2"/>
      <c r="U90" s="326">
        <f>9935*1.2^14</f>
        <v>127557.2995</v>
      </c>
      <c r="V90" s="326">
        <f>7848*1.5*5*1.13/60*J8*J9*J10</f>
        <v>2638.469874</v>
      </c>
      <c r="X90" s="326">
        <f>-1053*1.5*5*1.13/60*J9*J10*L10</f>
        <v>-249.6399937</v>
      </c>
    </row>
    <row r="91">
      <c r="A91" s="329" t="s">
        <v>129</v>
      </c>
      <c r="B91" s="276" t="s">
        <v>181</v>
      </c>
      <c r="C91" s="25">
        <f>Inputs!C93</f>
        <v>1</v>
      </c>
      <c r="D91" s="78"/>
      <c r="E91" s="2"/>
      <c r="V91" s="326">
        <f>V25/C152</f>
        <v>8174.443176</v>
      </c>
      <c r="X91" s="326">
        <f>258568*2*1.13/60*1.15*J9*J10</f>
        <v>21864.80466</v>
      </c>
    </row>
    <row r="92">
      <c r="A92" s="97"/>
      <c r="B92" s="276" t="s">
        <v>182</v>
      </c>
      <c r="C92" s="25">
        <f>Inputs!C94</f>
        <v>2</v>
      </c>
      <c r="D92" s="78"/>
      <c r="E92" s="2"/>
      <c r="V92" s="326">
        <f>69524/60*1.13*2*J9*J8*J10+44080*J9*J8*J10*2/60*0.7*1.13</f>
        <v>8999.307032</v>
      </c>
    </row>
    <row r="93">
      <c r="A93" s="97"/>
      <c r="B93" s="276" t="s">
        <v>184</v>
      </c>
      <c r="C93" s="25">
        <f>Inputs!C95</f>
        <v>0</v>
      </c>
      <c r="D93" s="78"/>
      <c r="X93" s="326">
        <f>1.13*1.21/60*(140745+93831*2)*1.15*J10</f>
        <v>11020.20898</v>
      </c>
    </row>
    <row r="94">
      <c r="A94" s="98"/>
      <c r="B94" s="276" t="s">
        <v>185</v>
      </c>
      <c r="C94" s="25">
        <f>Inputs!C96</f>
        <v>1</v>
      </c>
      <c r="D94" s="78"/>
      <c r="E94" s="2"/>
      <c r="V94" s="326">
        <f>64988*J8*J10/90*(0.85+0.15*C152)*1.31*5+2182/3*J10*J8*C152</f>
        <v>17491.82593</v>
      </c>
      <c r="X94" s="326">
        <f>(409961*J10*1.15-58027*5*(1-L5)*L10)/90*1.5-2396*J10*L10/3</f>
        <v>8154.273506</v>
      </c>
    </row>
    <row r="95">
      <c r="A95" s="329" t="s">
        <v>138</v>
      </c>
      <c r="B95" s="276" t="s">
        <v>186</v>
      </c>
      <c r="C95" s="25">
        <f>Inputs!C97</f>
        <v>0</v>
      </c>
      <c r="D95" s="78"/>
    </row>
    <row r="96">
      <c r="A96" s="97"/>
      <c r="B96" s="276" t="s">
        <v>187</v>
      </c>
      <c r="C96" s="25">
        <f>Inputs!C98</f>
        <v>1</v>
      </c>
      <c r="D96" s="78"/>
      <c r="U96" s="4" t="s">
        <v>368</v>
      </c>
    </row>
    <row r="97">
      <c r="A97" s="97"/>
      <c r="B97" s="276" t="s">
        <v>188</v>
      </c>
      <c r="C97" s="25">
        <f>Inputs!C99</f>
        <v>1</v>
      </c>
      <c r="D97" s="25">
        <f>Inputs!D99</f>
        <v>7</v>
      </c>
      <c r="E97" s="2"/>
      <c r="N97" s="328"/>
    </row>
    <row r="98">
      <c r="A98" s="97"/>
      <c r="B98" s="276" t="s">
        <v>189</v>
      </c>
      <c r="C98" s="25">
        <f>Inputs!C100</f>
        <v>1</v>
      </c>
      <c r="D98" s="78"/>
    </row>
    <row r="99">
      <c r="A99" s="97"/>
      <c r="B99" s="276" t="s">
        <v>190</v>
      </c>
      <c r="C99" s="25">
        <f>Inputs!C101</f>
        <v>1</v>
      </c>
      <c r="D99" s="78"/>
    </row>
    <row r="100">
      <c r="A100" s="97"/>
      <c r="B100" s="276" t="s">
        <v>191</v>
      </c>
      <c r="C100" s="25">
        <f>Inputs!C102</f>
        <v>0</v>
      </c>
      <c r="D100" s="25">
        <f>Inputs!D102</f>
        <v>0</v>
      </c>
      <c r="E100" s="2"/>
    </row>
    <row r="101">
      <c r="A101" s="98"/>
      <c r="B101" s="276" t="s">
        <v>193</v>
      </c>
      <c r="C101" s="25">
        <f>Inputs!C103</f>
        <v>0</v>
      </c>
      <c r="D101" s="25">
        <f>Inputs!D103</f>
        <v>10</v>
      </c>
    </row>
    <row r="102">
      <c r="A102" s="329" t="s">
        <v>144</v>
      </c>
      <c r="B102" s="276" t="s">
        <v>195</v>
      </c>
      <c r="C102" s="25">
        <f>Inputs!C104</f>
        <v>0</v>
      </c>
      <c r="D102" s="78"/>
      <c r="E102" s="2"/>
    </row>
    <row r="103">
      <c r="A103" s="97"/>
      <c r="B103" s="276" t="s">
        <v>196</v>
      </c>
      <c r="C103" s="25">
        <f>Inputs!C105</f>
        <v>1</v>
      </c>
      <c r="D103" s="25">
        <f>Inputs!D105</f>
        <v>0</v>
      </c>
      <c r="E103" s="2"/>
      <c r="Q103" s="326">
        <f>264000/1.1957</f>
        <v>220791.1684</v>
      </c>
    </row>
    <row r="104">
      <c r="A104" s="97"/>
      <c r="B104" s="276" t="s">
        <v>197</v>
      </c>
      <c r="C104" s="25">
        <f>Inputs!C106</f>
        <v>1</v>
      </c>
      <c r="D104" s="78"/>
    </row>
    <row r="105">
      <c r="A105" s="97"/>
      <c r="B105" s="276" t="s">
        <v>199</v>
      </c>
      <c r="C105" s="25">
        <f>Inputs!C107</f>
        <v>1</v>
      </c>
      <c r="D105" s="25">
        <f>Inputs!D107</f>
        <v>5</v>
      </c>
    </row>
    <row r="106">
      <c r="A106" s="97"/>
      <c r="B106" s="276" t="s">
        <v>201</v>
      </c>
      <c r="C106" s="25">
        <f>Inputs!C108</f>
        <v>1</v>
      </c>
      <c r="D106" s="78"/>
      <c r="E106" s="2"/>
    </row>
    <row r="107">
      <c r="A107" s="97"/>
      <c r="B107" s="276" t="s">
        <v>202</v>
      </c>
      <c r="C107" s="25">
        <f>Inputs!C109</f>
        <v>1</v>
      </c>
      <c r="D107" s="78"/>
    </row>
    <row r="108">
      <c r="A108" s="329" t="s">
        <v>152</v>
      </c>
      <c r="B108" s="276" t="s">
        <v>203</v>
      </c>
      <c r="C108" s="25">
        <f>Inputs!C110</f>
        <v>1</v>
      </c>
      <c r="D108" s="78"/>
    </row>
    <row r="109">
      <c r="A109" s="97"/>
      <c r="B109" s="276" t="s">
        <v>204</v>
      </c>
      <c r="C109" s="25">
        <f>Inputs!C111</f>
        <v>1</v>
      </c>
      <c r="D109" s="78"/>
      <c r="E109" s="2"/>
    </row>
    <row r="110">
      <c r="A110" s="97"/>
      <c r="B110" s="276" t="s">
        <v>205</v>
      </c>
      <c r="C110" s="25">
        <f>Inputs!C112</f>
        <v>1</v>
      </c>
      <c r="D110" s="78"/>
      <c r="E110" s="2"/>
    </row>
    <row r="111">
      <c r="A111" s="97"/>
      <c r="B111" s="276" t="s">
        <v>207</v>
      </c>
      <c r="C111" s="25">
        <f>Inputs!C113</f>
        <v>1</v>
      </c>
      <c r="D111" s="78"/>
      <c r="E111" s="2"/>
    </row>
    <row r="112">
      <c r="A112" s="97"/>
      <c r="B112" s="276" t="s">
        <v>208</v>
      </c>
      <c r="C112" s="25">
        <f>Inputs!C114</f>
        <v>0</v>
      </c>
      <c r="D112" s="78"/>
    </row>
    <row r="113">
      <c r="A113" s="329" t="s">
        <v>156</v>
      </c>
      <c r="B113" s="276" t="s">
        <v>209</v>
      </c>
      <c r="C113" s="25">
        <f>Inputs!C115</f>
        <v>0</v>
      </c>
      <c r="D113" s="78"/>
    </row>
    <row r="114">
      <c r="A114" s="97"/>
      <c r="B114" s="276" t="s">
        <v>211</v>
      </c>
      <c r="C114" s="25">
        <f>Inputs!C116</f>
        <v>0</v>
      </c>
      <c r="D114" s="78"/>
      <c r="E114" s="2"/>
    </row>
    <row r="115">
      <c r="A115" s="97"/>
      <c r="B115" s="276" t="s">
        <v>212</v>
      </c>
      <c r="C115" s="25">
        <f>Inputs!C117</f>
        <v>1</v>
      </c>
      <c r="D115" s="78"/>
    </row>
    <row r="116">
      <c r="A116" s="97"/>
      <c r="B116" s="276" t="s">
        <v>213</v>
      </c>
      <c r="C116" s="25">
        <f>Inputs!C118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0.04814081478</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0.004894802317</v>
      </c>
    </row>
    <row r="117">
      <c r="A117" s="97"/>
      <c r="B117" s="276" t="s">
        <v>214</v>
      </c>
      <c r="C117" s="25">
        <f>Inputs!C119</f>
        <v>1</v>
      </c>
      <c r="D117" s="25">
        <f>Inputs!D119</f>
        <v>0.8</v>
      </c>
    </row>
    <row r="118">
      <c r="A118" s="329" t="s">
        <v>162</v>
      </c>
      <c r="B118" s="276" t="s">
        <v>215</v>
      </c>
      <c r="C118" s="25">
        <f>Inputs!C120</f>
        <v>0</v>
      </c>
      <c r="D118" s="78"/>
    </row>
    <row r="119">
      <c r="A119" s="97"/>
      <c r="B119" s="276" t="s">
        <v>216</v>
      </c>
      <c r="C119" s="25">
        <f>Inputs!C121</f>
        <v>1</v>
      </c>
      <c r="D119" s="78"/>
    </row>
    <row r="120">
      <c r="A120" s="97"/>
      <c r="B120" s="276" t="s">
        <v>217</v>
      </c>
      <c r="C120" s="25">
        <f>Inputs!C122</f>
        <v>1</v>
      </c>
      <c r="D120" s="25">
        <f>Inputs!D122</f>
        <v>0.4</v>
      </c>
      <c r="E120" s="2"/>
    </row>
    <row r="121">
      <c r="A121" s="97"/>
      <c r="B121" s="276" t="s">
        <v>218</v>
      </c>
      <c r="C121" s="25">
        <f>Inputs!C123</f>
        <v>0</v>
      </c>
      <c r="D121" s="25">
        <f>Inputs!D123</f>
        <v>1</v>
      </c>
    </row>
    <row r="122">
      <c r="A122" s="97"/>
      <c r="B122" s="276" t="s">
        <v>219</v>
      </c>
      <c r="C122" s="25">
        <f>Inputs!C124</f>
        <v>1</v>
      </c>
      <c r="D122" s="78"/>
    </row>
    <row r="123">
      <c r="A123" s="329" t="s">
        <v>168</v>
      </c>
      <c r="B123" s="276" t="s">
        <v>220</v>
      </c>
      <c r="C123" s="25">
        <f>Inputs!C125</f>
        <v>0</v>
      </c>
      <c r="D123" s="78"/>
    </row>
    <row r="124">
      <c r="A124" s="97"/>
      <c r="B124" s="276" t="s">
        <v>221</v>
      </c>
      <c r="C124" s="25">
        <f>Inputs!C126</f>
        <v>1</v>
      </c>
      <c r="D124" s="78"/>
      <c r="E124" s="2"/>
    </row>
    <row r="125">
      <c r="A125" s="97"/>
      <c r="B125" s="276" t="s">
        <v>222</v>
      </c>
      <c r="C125" s="25">
        <f>Inputs!C127</f>
        <v>0</v>
      </c>
      <c r="D125" s="78"/>
    </row>
    <row r="126">
      <c r="A126" s="97"/>
      <c r="B126" s="276" t="s">
        <v>223</v>
      </c>
      <c r="C126" s="25">
        <f>Inputs!C128</f>
        <v>1</v>
      </c>
      <c r="D126" s="78"/>
      <c r="E126" s="2"/>
    </row>
    <row r="127">
      <c r="A127" s="329" t="s">
        <v>224</v>
      </c>
      <c r="B127" s="276" t="s">
        <v>225</v>
      </c>
      <c r="C127" s="25">
        <f>Inputs!C129</f>
        <v>4</v>
      </c>
      <c r="D127" s="78"/>
      <c r="E127" s="309">
        <f>T38*(8+C110*4)*(1+C110)+IF(C127&gt;3,1,0)*8*0.125*(T40+T43+T51+T57+T63)</f>
        <v>0.8266711512</v>
      </c>
      <c r="F127" s="309">
        <f>IF(C127=4,(1-(1-(1-(1-(T38*(8+C110*4)))*(1-IF(C127&gt;3,1,0)*(1-0.875^(8*(T40+T43-T46+MIN(($L$9+SUM(Z19:Z36,Z38:Z50)+SUM(Z52:Z76))/(-N51),MAX((1-SUM(U18:U24,U26:U41,U43:U50,U52:U76)+SUM(AA19:AA24,AA26:AA41,AA43:AA50,AA52:AA76)/O42*Q42)/Q51*(-O42/(O51-O42)),0))+2*T57+2*T63)))))))/(3+(2/(L13+0.3)-1+IF(C152=1,0.5,0))/C152),IF(C127&gt;0,1,0)*(1-(1-(T38*(8+C110*4))))/(3+(2/(L13+0.3)-1+IF(C152=1,0.5,0))/C152))</f>
        <v>0.1402974432</v>
      </c>
    </row>
    <row r="128">
      <c r="A128" s="2"/>
      <c r="B128" s="2"/>
      <c r="C128" s="2"/>
      <c r="D128" s="2"/>
      <c r="E128" s="2"/>
    </row>
    <row r="129">
      <c r="A129" s="2"/>
      <c r="B129" s="321" t="s">
        <v>229</v>
      </c>
      <c r="C129" s="2"/>
      <c r="D129" s="2"/>
      <c r="E129" s="2"/>
    </row>
    <row r="130">
      <c r="A130" s="2"/>
      <c r="B130" s="339" t="s">
        <v>231</v>
      </c>
      <c r="C130" s="25">
        <f>Inputs!C132</f>
        <v>0</v>
      </c>
      <c r="D130" s="264">
        <f>Inputs!D132</f>
        <v>0.6</v>
      </c>
      <c r="E130" s="2"/>
    </row>
    <row r="131">
      <c r="A131" s="2"/>
      <c r="B131" s="339" t="s">
        <v>233</v>
      </c>
      <c r="C131" s="25">
        <f>Inputs!C133</f>
        <v>1</v>
      </c>
      <c r="D131" s="264">
        <f>Inputs!D133</f>
        <v>0.85</v>
      </c>
      <c r="E131" s="2"/>
    </row>
    <row r="132">
      <c r="A132" s="2"/>
      <c r="B132" s="2"/>
      <c r="C132" s="2"/>
      <c r="D132" s="2"/>
      <c r="E132" s="2"/>
    </row>
    <row r="133">
      <c r="A133" s="2"/>
      <c r="B133" s="340" t="s">
        <v>234</v>
      </c>
      <c r="C133" s="341"/>
      <c r="D133" s="342" t="s">
        <v>235</v>
      </c>
      <c r="E133" s="342"/>
      <c r="G133" s="340" t="s">
        <v>355</v>
      </c>
      <c r="J133" s="340" t="s">
        <v>356</v>
      </c>
    </row>
    <row r="134">
      <c r="A134" s="2"/>
      <c r="B134" s="343" t="s">
        <v>236</v>
      </c>
      <c r="C134" s="150"/>
      <c r="D134" s="339" t="s">
        <v>237</v>
      </c>
      <c r="E134" s="150"/>
      <c r="G134" s="343" t="s">
        <v>357</v>
      </c>
      <c r="H134" s="311">
        <f>MIN(40,1+12*(2*(1+H8)*T25+T26+1/3*(2)*(1/(1-0.15*C107))+T35*2+T40*(11+2*C107)+T42*(2*C136)*(1+C136*H8)+T43+T38*2*(2*(1+H8))+T38*2*(2*(1+H8))+T62*(2*C136)*(1+C136*H8)+2*(2/12+(1+H8)/12)))</f>
        <v>40</v>
      </c>
      <c r="J134" s="343" t="s">
        <v>358</v>
      </c>
      <c r="K134" s="282">
        <f>C131*7*(1+2*T38*(8+C110*4))*D131</f>
        <v>7.522687225</v>
      </c>
    </row>
    <row r="135">
      <c r="A135" s="2"/>
      <c r="B135" s="343" t="s">
        <v>238</v>
      </c>
      <c r="C135" s="25">
        <f>Inputs!C137</f>
        <v>1</v>
      </c>
      <c r="D135" s="339" t="s">
        <v>239</v>
      </c>
      <c r="E135" s="150"/>
      <c r="G135" s="343" t="s">
        <v>359</v>
      </c>
      <c r="H135" s="312">
        <f>1+C130*(0.05*15+0.05*17*H8)*T75</f>
        <v>1</v>
      </c>
    </row>
    <row r="136">
      <c r="A136" s="2"/>
      <c r="B136" s="343" t="s">
        <v>240</v>
      </c>
      <c r="C136" s="25">
        <f>Inputs!C138</f>
        <v>1</v>
      </c>
      <c r="D136" s="339" t="s">
        <v>241</v>
      </c>
      <c r="E136" s="25">
        <f>Inputs!E138</f>
        <v>1</v>
      </c>
    </row>
    <row r="137">
      <c r="A137" s="2"/>
      <c r="B137" s="343" t="s">
        <v>242</v>
      </c>
      <c r="C137" s="25">
        <f>Inputs!C139</f>
        <v>0</v>
      </c>
      <c r="D137" s="339" t="s">
        <v>243</v>
      </c>
      <c r="E137" s="25">
        <f>Inputs!E139</f>
        <v>0</v>
      </c>
    </row>
    <row r="138">
      <c r="A138" s="2"/>
      <c r="B138" s="343" t="s">
        <v>244</v>
      </c>
      <c r="C138" s="25">
        <f>Inputs!C140</f>
        <v>1</v>
      </c>
      <c r="D138" s="339" t="s">
        <v>245</v>
      </c>
      <c r="E138" s="25">
        <f>Inputs!E140</f>
        <v>0</v>
      </c>
    </row>
    <row r="139">
      <c r="A139" s="2"/>
      <c r="B139" s="343" t="s">
        <v>246</v>
      </c>
      <c r="C139" s="150"/>
      <c r="D139" s="339" t="s">
        <v>247</v>
      </c>
      <c r="E139" s="25">
        <f>Inputs!E141</f>
        <v>1</v>
      </c>
    </row>
    <row r="140">
      <c r="A140" s="2"/>
      <c r="B140" s="2"/>
      <c r="C140" s="2"/>
      <c r="D140" s="339" t="s">
        <v>248</v>
      </c>
      <c r="E140" s="25">
        <f>Inputs!E142</f>
        <v>0</v>
      </c>
    </row>
    <row r="141">
      <c r="A141" s="2"/>
      <c r="B141" s="2"/>
      <c r="C141" s="2"/>
      <c r="D141" s="339" t="s">
        <v>249</v>
      </c>
      <c r="E141" s="25">
        <f>Inputs!E143</f>
        <v>1</v>
      </c>
    </row>
    <row r="142">
      <c r="A142" s="2"/>
      <c r="B142" s="2"/>
      <c r="C142" s="2"/>
      <c r="D142" s="2"/>
      <c r="E142" s="2"/>
    </row>
    <row r="143">
      <c r="A143" s="2"/>
      <c r="B143" s="294" t="s">
        <v>250</v>
      </c>
      <c r="C143" s="2"/>
      <c r="D143" s="2"/>
      <c r="E143" s="2"/>
    </row>
    <row r="144">
      <c r="A144" s="2"/>
      <c r="B144" s="281" t="s">
        <v>251</v>
      </c>
      <c r="C144" s="313">
        <f>Inputs!C146</f>
        <v>0.2</v>
      </c>
      <c r="D144" s="2"/>
      <c r="E144" s="2"/>
    </row>
    <row r="145">
      <c r="A145" s="2"/>
      <c r="B145" s="276" t="s">
        <v>252</v>
      </c>
      <c r="C145" s="25">
        <f>Inputs!C147</f>
        <v>400000</v>
      </c>
      <c r="D145" s="2"/>
      <c r="E145" s="2"/>
    </row>
    <row r="146">
      <c r="A146" s="2"/>
      <c r="B146" s="281" t="s">
        <v>254</v>
      </c>
      <c r="C146" s="313">
        <f>Inputs!C148</f>
        <v>0.2</v>
      </c>
      <c r="D146" s="2"/>
      <c r="E146" s="2"/>
    </row>
    <row r="147">
      <c r="A147" s="2"/>
      <c r="B147" s="281" t="s">
        <v>257</v>
      </c>
      <c r="C147" s="313">
        <f>Inputs!C149</f>
        <v>0</v>
      </c>
      <c r="D147" s="2"/>
      <c r="E147" s="2"/>
    </row>
    <row r="148">
      <c r="A148" s="2"/>
      <c r="B148" s="281" t="s">
        <v>258</v>
      </c>
      <c r="C148" s="313">
        <f>Inputs!C150</f>
        <v>0</v>
      </c>
      <c r="D148" s="2"/>
      <c r="E148" s="2"/>
    </row>
    <row r="149">
      <c r="A149" s="2"/>
      <c r="B149" s="281" t="s">
        <v>259</v>
      </c>
      <c r="C149" s="313">
        <f>Inputs!C151</f>
        <v>1</v>
      </c>
      <c r="D149" s="2"/>
      <c r="E149" s="2"/>
    </row>
    <row r="150">
      <c r="A150" s="2"/>
      <c r="B150" s="276" t="s">
        <v>260</v>
      </c>
      <c r="C150" s="313">
        <f>Inputs!C152</f>
        <v>0.4</v>
      </c>
      <c r="D150" s="2"/>
      <c r="E150" s="2"/>
    </row>
    <row r="151">
      <c r="A151" s="2"/>
      <c r="B151" s="276" t="s">
        <v>261</v>
      </c>
      <c r="C151" s="174">
        <f>Inputs!C153</f>
        <v>0.8</v>
      </c>
      <c r="D151" s="2"/>
      <c r="E151" s="2"/>
    </row>
    <row r="152">
      <c r="A152" s="2"/>
      <c r="B152" s="281" t="s">
        <v>262</v>
      </c>
      <c r="C152" s="25">
        <f>Inputs!C154</f>
        <v>5</v>
      </c>
      <c r="D152" s="2"/>
      <c r="E152" s="2"/>
      <c r="F152" s="2"/>
    </row>
    <row r="153">
      <c r="A153" s="2"/>
      <c r="B153" s="276" t="s">
        <v>263</v>
      </c>
      <c r="C153" s="25">
        <f>Inputs!C155</f>
        <v>90</v>
      </c>
      <c r="D153" s="2"/>
      <c r="E153" s="2"/>
      <c r="F153" s="2"/>
    </row>
    <row r="154">
      <c r="A154" s="2"/>
      <c r="B154" s="281" t="s">
        <v>265</v>
      </c>
      <c r="C154" s="174">
        <f>Inputs!C156</f>
        <v>3966.55</v>
      </c>
      <c r="D154" s="2"/>
      <c r="E154" s="2"/>
      <c r="F154" s="2"/>
    </row>
    <row r="155">
      <c r="A155" s="2"/>
      <c r="D155" s="2"/>
      <c r="E155" s="2"/>
      <c r="F155" s="2"/>
    </row>
    <row r="156">
      <c r="B156" s="344" t="s">
        <v>267</v>
      </c>
      <c r="C156" s="345" t="s">
        <v>268</v>
      </c>
      <c r="D156" s="2"/>
      <c r="E156" s="2"/>
      <c r="F156" s="2"/>
    </row>
    <row r="157">
      <c r="B157" s="346" t="s">
        <v>269</v>
      </c>
      <c r="C157" s="25">
        <f>Inputs!C159</f>
        <v>1</v>
      </c>
      <c r="D157" s="309">
        <f>C157*(0.025+0.1*T42)</f>
        <v>0.06513494365</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0.006610037601</v>
      </c>
      <c r="F157" s="2"/>
    </row>
    <row r="158">
      <c r="B158" s="346" t="s">
        <v>271</v>
      </c>
      <c r="C158" s="25">
        <f>Inputs!C160</f>
        <v>1</v>
      </c>
      <c r="D158" s="2"/>
      <c r="E158" s="2"/>
      <c r="F158" s="2"/>
      <c r="G158" s="2"/>
      <c r="H158" s="2"/>
    </row>
    <row r="159">
      <c r="D159" s="2"/>
      <c r="E159" s="2"/>
      <c r="F159" s="2"/>
      <c r="G159" s="2"/>
      <c r="H159" s="2"/>
    </row>
    <row r="160">
      <c r="B160" s="296" t="s">
        <v>274</v>
      </c>
      <c r="C160" s="2"/>
      <c r="D160" s="2"/>
      <c r="E160" s="2"/>
      <c r="F160" s="2"/>
      <c r="G160" s="2"/>
      <c r="H160" s="2"/>
    </row>
    <row r="161">
      <c r="B161" s="281" t="s">
        <v>275</v>
      </c>
      <c r="C161" s="347"/>
      <c r="D161" s="1"/>
      <c r="E161" s="1"/>
      <c r="F161" s="2"/>
      <c r="G161" s="2"/>
      <c r="H161" s="2"/>
    </row>
    <row r="162">
      <c r="B162" s="281" t="s">
        <v>276</v>
      </c>
      <c r="C162" s="173"/>
      <c r="D162" s="2"/>
      <c r="E162" s="1"/>
      <c r="F162" s="2"/>
      <c r="G162" s="2"/>
      <c r="H162" s="2"/>
    </row>
    <row r="163">
      <c r="B163" s="281" t="s">
        <v>361</v>
      </c>
      <c r="C163" s="315"/>
      <c r="D163" s="2"/>
      <c r="E163" s="2"/>
      <c r="F163" s="2"/>
      <c r="G163" s="2"/>
      <c r="H163" s="2"/>
    </row>
    <row r="164">
      <c r="B164" s="281" t="s">
        <v>362</v>
      </c>
      <c r="C164" s="235"/>
      <c r="D164" s="2"/>
      <c r="E164" s="2"/>
      <c r="G164" s="2"/>
      <c r="H164" s="2"/>
    </row>
    <row r="165">
      <c r="B165" s="281" t="s">
        <v>278</v>
      </c>
      <c r="C165" s="316"/>
      <c r="G165" s="2"/>
      <c r="H165" s="2"/>
    </row>
    <row r="166">
      <c r="B166" s="281" t="s">
        <v>280</v>
      </c>
      <c r="C166" s="27"/>
      <c r="G166" s="2"/>
      <c r="H166" s="2"/>
    </row>
    <row r="167">
      <c r="B167" s="281" t="s">
        <v>363</v>
      </c>
      <c r="C167" s="317"/>
      <c r="G167" s="2"/>
      <c r="H167" s="2"/>
    </row>
    <row r="168">
      <c r="B168" s="281" t="s">
        <v>364</v>
      </c>
      <c r="C168" s="236"/>
      <c r="D168" s="202"/>
      <c r="G168" s="2"/>
      <c r="H168" s="2"/>
    </row>
    <row r="169">
      <c r="B169" s="318"/>
      <c r="C169" s="202"/>
      <c r="D169" s="202"/>
      <c r="G169" s="2"/>
      <c r="H169" s="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row r="196">
      <c r="N196" s="4" t="s">
        <v>366</v>
      </c>
      <c r="O196" s="4">
        <v>3.0</v>
      </c>
      <c r="P196" s="326">
        <f>SUM(P167:Q167)</f>
        <v>0</v>
      </c>
    </row>
    <row r="197">
      <c r="O197" s="4">
        <v>4.0</v>
      </c>
      <c r="P197" s="326">
        <f>SUM(P167:Q167)</f>
        <v>0</v>
      </c>
    </row>
    <row r="198">
      <c r="O198" s="4">
        <v>5.0</v>
      </c>
      <c r="P198" s="326">
        <f>SUM(P167:Q167)</f>
        <v>0</v>
      </c>
    </row>
    <row r="199">
      <c r="O199" s="4">
        <v>6.0</v>
      </c>
      <c r="P199" s="326">
        <f>SUM(P167:X167)</f>
        <v>0</v>
      </c>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sheetViews>
  <sheetFormatPr customHeight="1" defaultColWidth="12.63" defaultRowHeight="15.75"/>
  <cols>
    <col customWidth="1" min="2" max="2" width="26.63"/>
    <col customWidth="1" min="3" max="3" width="20.0"/>
    <col customWidth="1" min="4" max="4" width="17.5"/>
    <col customWidth="1" min="5" max="5" width="18.5"/>
    <col customWidth="1" min="7" max="7" width="23.25"/>
    <col customWidth="1" min="8" max="8" width="17.75"/>
    <col customWidth="1" min="9" max="9" width="23.25"/>
    <col customWidth="1" min="10" max="10" width="17.88"/>
    <col customWidth="1" min="11" max="11" width="22.88"/>
    <col customWidth="1" min="12" max="12" width="19.88"/>
    <col customWidth="1" min="13" max="13" width="20.25"/>
    <col customWidth="1" min="14" max="14" width="22.38"/>
    <col customWidth="1" min="15" max="15" width="17.38"/>
    <col customWidth="1" min="16" max="16" width="16.88"/>
    <col customWidth="1" min="17" max="17" width="25.75"/>
    <col customWidth="1" min="18" max="18" width="22.5"/>
    <col customWidth="1" min="19" max="19" width="15.25"/>
    <col customWidth="1" min="20" max="20" width="15.88"/>
    <col customWidth="1" min="21" max="21" width="12.38"/>
    <col customWidth="1" min="22" max="22" width="11.75"/>
    <col customWidth="1" min="23" max="23" width="19.25"/>
    <col customWidth="1" min="24" max="24" width="19.13"/>
    <col customWidth="1" min="25" max="25" width="11.25"/>
    <col customWidth="1" min="26" max="26" width="15.0"/>
    <col customWidth="1" min="27" max="27" width="19.63"/>
    <col customWidth="1" min="28" max="28" width="19.13"/>
  </cols>
  <sheetData>
    <row r="2">
      <c r="B2" s="266" t="s">
        <v>374</v>
      </c>
    </row>
    <row r="4">
      <c r="B4" s="267" t="s">
        <v>1</v>
      </c>
      <c r="C4" s="268" t="s">
        <v>3</v>
      </c>
      <c r="D4" s="269" t="s">
        <v>5</v>
      </c>
      <c r="E4" s="269" t="s">
        <v>7</v>
      </c>
      <c r="G4" s="267" t="s">
        <v>9</v>
      </c>
      <c r="J4" s="229"/>
      <c r="N4" s="270" t="s">
        <v>10</v>
      </c>
    </row>
    <row r="5">
      <c r="B5" s="271" t="s">
        <v>12</v>
      </c>
      <c r="C5" s="231">
        <f>H5*(1+C21*0.05*(1+0.2*C63))</f>
        <v>3852</v>
      </c>
      <c r="D5" s="27"/>
      <c r="E5" s="27"/>
      <c r="G5" s="271" t="s">
        <v>21</v>
      </c>
      <c r="H5" s="277">
        <f>Baseline!H5</f>
        <v>3852</v>
      </c>
      <c r="I5" s="272" t="s">
        <v>31</v>
      </c>
      <c r="J5" s="49">
        <f>(C5*1.45+((J6*(1+E116)*(1+D157)*1.8)+IF(E28=3,1,0)*1.13*(1-exp(-1*$J$9*12/60))*($J$6*(1+E116)*(1+D157)*0.02*$J$10)))*(1+0.06*C75)</f>
        <v>12077.94396</v>
      </c>
      <c r="K5" s="272" t="s">
        <v>41</v>
      </c>
      <c r="L5" s="52">
        <f>(J5 / (J5 + C154))</f>
        <v>0.7527781176</v>
      </c>
      <c r="N5" s="273" t="s">
        <v>46</v>
      </c>
      <c r="O5" s="274" t="s">
        <v>47</v>
      </c>
      <c r="P5" s="274" t="s">
        <v>49</v>
      </c>
      <c r="Q5" s="275" t="s">
        <v>325</v>
      </c>
      <c r="R5" s="275" t="s">
        <v>53</v>
      </c>
      <c r="S5" s="275" t="s">
        <v>326</v>
      </c>
      <c r="T5" s="274" t="s">
        <v>56</v>
      </c>
      <c r="U5" s="275" t="s">
        <v>57</v>
      </c>
      <c r="V5" s="276" t="s">
        <v>59</v>
      </c>
      <c r="W5" s="269" t="s">
        <v>60</v>
      </c>
      <c r="X5" s="268" t="s">
        <v>63</v>
      </c>
    </row>
    <row r="6">
      <c r="B6" s="271" t="s">
        <v>36</v>
      </c>
      <c r="C6" s="231">
        <f>(H6+C34*33)*(1+C21*0.05*(1+0.2*C63))</f>
        <v>2672</v>
      </c>
      <c r="D6" s="27"/>
      <c r="E6" s="27"/>
      <c r="G6" s="271" t="s">
        <v>65</v>
      </c>
      <c r="H6" s="277">
        <f>Baseline!H6</f>
        <v>2672</v>
      </c>
      <c r="I6" s="271" t="s">
        <v>67</v>
      </c>
      <c r="J6" s="52">
        <f>(C6+E32*252*8/120+E34*50)*(1+B21*1.13*(1-exp(-3*J9*15/60))*0.15*(1+0.2*C63))*(1+0.03*C77*(1-(0.85)^(8*L9)))*(1+0.1*12*(1/S40)*C131*(1-IF(OR(D100=1,AND(C152&lt;4,C131=1)),0,1)*IF(D100=2,1-(1-(0.75)^((5+(H15/2))/H15))/(1+3*(1-(0.75)^((5+(H15/2))/H15))*C82),1)*IF(NOT(OR(OR(D100=1,AND(C152&lt;4,C131=1)),D100=2)),1-(1-(0.75)^((4+(H15/2))/H15)),1)))*(1+0.1*T69*8*IF(C152=1,1,0))</f>
        <v>2890.654188</v>
      </c>
      <c r="K6" s="271" t="s">
        <v>82</v>
      </c>
      <c r="L6" s="84">
        <f>(J6-622)/19130</f>
        <v>0.1185914369</v>
      </c>
      <c r="N6" s="276" t="s">
        <v>87</v>
      </c>
      <c r="O6" s="250">
        <f>Baseline!O6</f>
        <v>3608042.253</v>
      </c>
      <c r="P6" s="94">
        <f>(O6-E26*C152/2*C7*0.0003*30)*(1-$L$14)*(1-$L$5)*$L$10*(1-0.01*E32)*(1-0.2/C152*C74)*(1-C51*0.12/C152*1.13*(1-exp(-3*6/60*55/120)))*(1-$C$135*$C$130*$D$130*0.075)*(1-$C$131*E136*10/S40*0.08)*(1-F116)*(1-E157)*(1-IF(C127&gt;1,1)*0.06*E127)*(1-(0.04*10*(1/S40)*C100*(1-IF(OR(D100=1,AND(C152&lt;4,C131=1)),0,1)*IF(D100=2,1-(1-(0.75)^((5+(H15/2))/H15))/(1+3*(1-(0.75)^((5+(H15/2))/H15))*C82),1)*IF(NOT(OR(OR(D100=1,AND(C152&lt;4,C131=1)),D100=2)),1-(1-(0.75)^((4+(H15/2))/H15)),1))))*(1-C120*0.025)</f>
        <v>428388.0441</v>
      </c>
      <c r="Q6" s="99">
        <f>P6*(1-((1-(1-(T38*(8+C110*4)))*(1-IF(C127&gt;3,1,0)*(1-0.875^(8*(T40+T43+T51+T57+T63)))))*MIN(0.3/(1-$L$14),1)))</f>
        <v>328767.1233</v>
      </c>
      <c r="R6" s="94">
        <f>Q6*(1-($T$52*8)*(0.3+0.1*$E$139))</f>
        <v>320000</v>
      </c>
      <c r="S6" s="102">
        <f t="shared" ref="S6:S7" si="1">R6*(1-($T$70*8)*0.1)*(1-($T$26*8)*0.1)</f>
        <v>320000</v>
      </c>
      <c r="T6" s="94">
        <f t="shared" ref="T6:T9" si="2">S6</f>
        <v>320000</v>
      </c>
      <c r="U6" s="107"/>
      <c r="V6" s="27"/>
      <c r="W6" s="27"/>
      <c r="X6" s="27"/>
    </row>
    <row r="7">
      <c r="B7" s="271" t="s">
        <v>40</v>
      </c>
      <c r="C7" s="231">
        <f>(H7+C26*99)*(1+C21*0.05*(1+0.2*C63))*1.05*(1+0.2*C55)*(1.4)</f>
        <v>77197</v>
      </c>
      <c r="D7" s="27"/>
      <c r="E7" s="27"/>
      <c r="G7" s="271" t="s">
        <v>121</v>
      </c>
      <c r="H7" s="277">
        <f>Baseline!H7</f>
        <v>43762.47166</v>
      </c>
      <c r="I7" s="280" t="s">
        <v>124</v>
      </c>
      <c r="J7" s="109">
        <f>C7*20</f>
        <v>1543940</v>
      </c>
      <c r="K7" s="280" t="s">
        <v>127</v>
      </c>
      <c r="L7" s="111">
        <f>(J7+IF(E28=3,1,0)*1.13*(1-exp(-1*$J$9*12/60))*($J$6*1.3*$J$10))*(1+0.01*C97*(D97+2*C104))</f>
        <v>1682894.6</v>
      </c>
      <c r="N7" s="281" t="s">
        <v>131</v>
      </c>
      <c r="O7" s="250">
        <f>Baseline!O7</f>
        <v>0</v>
      </c>
      <c r="P7" s="94">
        <f>O7*$J$13*(1-$L$5)*$L$10*(1-0.01*E32)*(1-C51*0.12/C152*1.13*(1-exp(-3*6/60*55/120)))*(1-$C$135*$C$130*$D$130*0.075)*(1-$C$131*E136*10/S40*0.08)*(1-IF(C127&gt;1,1)*0.06*E127)*(1-(0.04*10*(1/S40)*C100*(1-IF(OR(D100=1,AND(C152&lt;4,C131=1)),0,1)*IF(D100=2,1-(1-(0.75)^((5+(H15/2))/H15))/(1+3*(1-(0.75)^((5+(H15/2))/H15))*C82),1)*IF(NOT(OR(OR(D100=1,AND(C152&lt;4,C131=1)),D100=2)),1-(1-(0.75)^((4+(H15/2))/H15)),1))))*(1-C120*0.025)</f>
        <v>0</v>
      </c>
      <c r="Q7" s="27"/>
      <c r="R7" s="94">
        <f t="shared" ref="R7:R9" si="3">P7*(1-($T$52*8)*(0.3+0.1*$E$139))</f>
        <v>0</v>
      </c>
      <c r="S7" s="102">
        <f t="shared" si="1"/>
        <v>0</v>
      </c>
      <c r="T7" s="94">
        <f t="shared" si="2"/>
        <v>0</v>
      </c>
      <c r="U7" s="107"/>
      <c r="V7" s="27"/>
      <c r="W7" s="27"/>
      <c r="X7" s="27"/>
    </row>
    <row r="8">
      <c r="B8" s="271" t="s">
        <v>44</v>
      </c>
      <c r="C8" s="25">
        <f>Inputs!C10</f>
        <v>778.5</v>
      </c>
      <c r="D8" s="282">
        <f>(C8+225*15/2/120*IF(1&lt;(IF(C8&gt;C9,1,0)+IF(C8&gt;C10,1,0)+IF(C8&gt;C11,1,0)),E27,0))*(1+0.02*C30)/(1+0.02*Baseline!C30)</f>
        <v>778.5</v>
      </c>
      <c r="E8" s="282">
        <f>IF(D8&lt;=1380,D8,IF(D8&lt;=1840,1380+0.9*(D8-1380),IF(D8&lt;=2300,1794+0.8*(D8-1840),IF(D8&lt;=2760,2162+0.7*(D8-2300),IF(D8&lt;=3680,2484+0.6*(D8-2760),IF(D8&lt;=9200,3036+0.5*(D8-3680),5796))))))</f>
        <v>778.5</v>
      </c>
      <c r="F8" s="4"/>
      <c r="G8" s="271" t="s">
        <v>159</v>
      </c>
      <c r="H8" s="118">
        <f>E8/4600+0.05+(C28+C32+C35)*0.01+IF(E28=4,1,0)*1.13*(1-exp(-1*$J$9*12/60))*0.04</f>
        <v>0.2192391304</v>
      </c>
      <c r="I8" s="271" t="s">
        <v>164</v>
      </c>
      <c r="J8" s="119">
        <f>1+H8*(1+2*0.02*(C26+C31))</f>
        <v>1.21923913</v>
      </c>
      <c r="K8" s="271" t="s">
        <v>167</v>
      </c>
      <c r="L8" s="84">
        <f>E8/5200/(1+0.02*C30)</f>
        <v>0.1497115385</v>
      </c>
      <c r="N8" s="276" t="s">
        <v>170</v>
      </c>
      <c r="O8" s="250">
        <f>Baseline!O8</f>
        <v>112528.835</v>
      </c>
      <c r="P8" s="94">
        <f>O8*$L$10*(1-C51*0.12/C152*1.13*(1-exp(-3*6/60*55/120)))*(1-$C$135*$C$130*$D$130*0.075)*(1-0.08*$C$80)*(1-IF(C127&gt;1,1)*0.06*E127)*(1-(0.04*10*(1/S40)*C100*(1-IF(OR(D100=1,AND(C152&lt;4,C131=1)),0,1)*IF(D100=2,1-(1-(0.75)^((5+(H15/2))/H15))/(1+3*(1-(0.75)^((5+(H15/2))/H15))*C82),1)*IF(NOT(OR(OR(D100=1,AND(C152&lt;4,C131=1)),D100=2)),1-(1-(0.75)^((4+(H15/2))/H15)),1))))*(1-C120*0.025)</f>
        <v>82191.78082</v>
      </c>
      <c r="Q8" s="27"/>
      <c r="R8" s="94">
        <f t="shared" si="3"/>
        <v>80000</v>
      </c>
      <c r="S8" s="102">
        <f t="shared" ref="S8:S9" si="4">R8*(1-($T$26*8)*0.1)</f>
        <v>80000</v>
      </c>
      <c r="T8" s="94">
        <f t="shared" si="2"/>
        <v>80000</v>
      </c>
      <c r="U8" s="94">
        <f>T8*(T20*(6+2*C67))*0.15</f>
        <v>0</v>
      </c>
      <c r="V8" s="99">
        <f>IF(T8-U8-$T$19*(($L$7*0.3*$J$10*(1+0.4*$C$68)*(1+0.15*$C$46)))&gt;0,$T$19*($L$7*0.3*$J$10*(1+0.4*$C$68)*(1+0.15*$C$46)),T8-U8)</f>
        <v>11765.66776</v>
      </c>
      <c r="W8" s="27"/>
      <c r="X8" s="27"/>
    </row>
    <row r="9">
      <c r="B9" s="271" t="s">
        <v>50</v>
      </c>
      <c r="C9" s="25">
        <f>Inputs!C11</f>
        <v>1053.5</v>
      </c>
      <c r="D9" s="282">
        <f>(C9+225*15/2/120*IF(1&lt;(IF(C9&gt;C8,1,0)+IF(C9&gt;C10,1,0)+IF(C9&gt;C11,1,0)),E27,0))*(1+0.02*C30)/(1+0.02*Baseline!C30)</f>
        <v>1053.5</v>
      </c>
      <c r="E9" s="282">
        <f>IF(D9&lt;=1320,D9,IF(D9&lt;=1760,1320+0.9*(D9-1320),IF(D9&lt;=2200,1716+0.8*(D9-1760),IF(D9&lt;=2640,2068+0.7*(D9-2200),IF(D9&lt;=3520,2376+0.6*(D9-2640),IF(D9&lt;=8800,2904+0.5*(D9-3520),5544))))))</f>
        <v>1053.5</v>
      </c>
      <c r="F9" s="4"/>
      <c r="G9" s="271" t="s">
        <v>192</v>
      </c>
      <c r="H9" s="118">
        <f>(1+(C29+C33)*0.01)*E9/4400+(C29+C33)*0.01</f>
        <v>0.2394318182</v>
      </c>
      <c r="I9" s="271" t="s">
        <v>194</v>
      </c>
      <c r="J9" s="132">
        <f>(1+H9)*(1+C27*0.15/18)*(1+0.1*C104)*(1+0.02*C49)*(1+0.01*K134)</f>
        <v>1.524574934</v>
      </c>
      <c r="K9" s="283" t="s">
        <v>198</v>
      </c>
      <c r="L9" s="133">
        <f>3/10*J9</f>
        <v>0.4573724803</v>
      </c>
      <c r="N9" s="284" t="s">
        <v>200</v>
      </c>
      <c r="O9" s="250">
        <f>Baseline!O9</f>
        <v>0</v>
      </c>
      <c r="P9" s="135">
        <f>O9*$J$13*$L$10*(1-C51*0.12/C152*1.13*(1-exp(-3*6/60*55/120)))*(1-$C$135*$C$130*$D$130*0.075)*(1-0.08*$C$80)*(1-IF(C127&gt;1,1)*0.06*E127)*(1-(0.04*10*(1/S40)*C100*(1-IF(OR(D100=1,AND(C152&lt;4,C131=1)),0,1)*IF(D100=2,1-(1-(0.75)^((5+(H15/2))/H15))/(1+3*(1-(0.75)^((5+(H15/2))/H15))*C82),1)*IF(NOT(OR(OR(D100=1,AND(C152&lt;4,C131=1)),D100=2)),1-(1-(0.75)^((4+(H15/2))/H15)),1))))*(1-C120*0.025)</f>
        <v>0</v>
      </c>
      <c r="Q9" s="136"/>
      <c r="R9" s="135">
        <f t="shared" si="3"/>
        <v>0</v>
      </c>
      <c r="S9" s="102">
        <f t="shared" si="4"/>
        <v>0</v>
      </c>
      <c r="T9" s="94">
        <f t="shared" si="2"/>
        <v>0</v>
      </c>
      <c r="U9" s="135">
        <f>T8*(T20*(6+2*C67))*0.15</f>
        <v>0</v>
      </c>
      <c r="V9" s="135">
        <f>IF(T8+T9-U8-U9-V8&gt;0,MIN($T$19*($L$7*0.3*$J$10*(1+0.4*$C$68)*(1+0.15*$C$46))-V8,T8+T9-U8-U9-V8),0)
</f>
        <v>0</v>
      </c>
      <c r="W9" s="136"/>
      <c r="X9" s="136"/>
    </row>
    <row r="10">
      <c r="B10" s="271" t="s">
        <v>55</v>
      </c>
      <c r="C10" s="25">
        <f>Inputs!C12</f>
        <v>1514.5</v>
      </c>
      <c r="D10" s="282">
        <f>(C10+65*E24+225*15/2/120*IF(1&lt;(IF(C10&gt;C8,1,0)+IF(C10&gt;C9,0)+IF(C10&gt;C11,1,0)),E27,0))*(1+0.02*C30)/(1+0.02*Baseline!C30)</f>
        <v>1514.5</v>
      </c>
      <c r="E10" s="282">
        <f>IF(D10&lt;=1620,D10,IF(D10&lt;=2160,1622+0.9*(D10-1620),IF(D10&lt;=2700,2106+0.8*(D10-2160),IF(D10&lt;=3240,2538+0.7*(D10-2700),IF(D10&lt;=4320,2916+0.6*(D10-3240),IF(D10&lt;=10800,3564+0.5*(D10-4320),6804))))))</f>
        <v>1514.5</v>
      </c>
      <c r="F10" s="4"/>
      <c r="G10" s="271" t="s">
        <v>210</v>
      </c>
      <c r="H10" s="118">
        <f>E10/5400+(E26+E33)*0.01</f>
        <v>0.280462963</v>
      </c>
      <c r="I10" s="281" t="s">
        <v>226</v>
      </c>
      <c r="J10" s="119">
        <f>1+H10</f>
        <v>1.280462963</v>
      </c>
      <c r="K10" s="281" t="s">
        <v>228</v>
      </c>
      <c r="L10" s="119">
        <f>1-H10/2</f>
        <v>0.8597685185</v>
      </c>
      <c r="N10" s="286" t="s">
        <v>230</v>
      </c>
      <c r="O10" s="140">
        <f t="shared" ref="O10:U10" si="5">SUM(O6:O9)</f>
        <v>3720571.088</v>
      </c>
      <c r="P10" s="140">
        <f t="shared" si="5"/>
        <v>510579.8249</v>
      </c>
      <c r="Q10" s="140">
        <f t="shared" si="5"/>
        <v>328767.1233</v>
      </c>
      <c r="R10" s="140">
        <f t="shared" si="5"/>
        <v>400000</v>
      </c>
      <c r="S10" s="140">
        <f t="shared" si="5"/>
        <v>400000</v>
      </c>
      <c r="T10" s="140">
        <f t="shared" si="5"/>
        <v>400000</v>
      </c>
      <c r="U10" s="140">
        <f t="shared" si="5"/>
        <v>0</v>
      </c>
      <c r="V10" s="140">
        <f>sum(V6:V9)</f>
        <v>11765.66776</v>
      </c>
      <c r="W10" s="140">
        <f>(Y77+C27*0.0011*L7*(1-C144))</f>
        <v>384626.4501</v>
      </c>
      <c r="X10" s="152">
        <f>(MAX((T10-U10-V10-W10),0)*(1-$T$76*(10+2*C92))+MAX((T10-U10-V10-W10*(1.3+0.05*C92)),0)*($T$76*(10+2*C92))/(1.3+0.05*C92))/IF(D100=2,(1+0.06*(1-T40*(1-(0.75)^((5+(H15/2))/H15))/(1+3*(1-(0.75)^((5+(H15/2))/H15))*C82)/(1-(0.75)^((5+(H15/2))/H15)))),(1+0.02*C49))</f>
        <v>1196.801678</v>
      </c>
    </row>
    <row r="11">
      <c r="B11" s="271" t="s">
        <v>62</v>
      </c>
      <c r="C11" s="25">
        <f>Inputs!C13</f>
        <v>479.5</v>
      </c>
      <c r="D11" s="282">
        <f>(C11+225*15/2/120*IF(1&lt;(IF(C11&gt;C8,1,0)+IF(C11&gt;C10,1,0)+IF(C11&gt;C9,1,0)),E27,0))*(1+0.02*C30)/(1+0.02*Baseline!C30)</f>
        <v>479.5</v>
      </c>
      <c r="E11" s="282">
        <f>IF(D11&lt;=1380,D11,IF(D11&lt;=1840,1380+0.9*(D11-1380),IF(D11&lt;=2300,1794+0.8*(D11-1840),IF(D11&lt;=2760,2162+0.7*(D11-2300),IF(D11&lt;=3680,2484+0.6*(D11-2760),IF(D11&lt;=9200,3036+0.5*(D11-3680),5796))))))</f>
        <v>479.5</v>
      </c>
      <c r="F11" s="4"/>
      <c r="G11" s="271" t="s">
        <v>232</v>
      </c>
      <c r="H11" s="118">
        <f>0.16+E11/2300+0.002*(C131*K134)</f>
        <v>0.3835236353</v>
      </c>
      <c r="I11" s="283" t="s">
        <v>253</v>
      </c>
      <c r="J11" s="119">
        <f t="shared" ref="J11:J12" si="6">H11</f>
        <v>0.3835236353</v>
      </c>
      <c r="K11" s="271" t="s">
        <v>255</v>
      </c>
      <c r="L11" s="52">
        <f>1+H11/2</f>
        <v>1.191761818</v>
      </c>
    </row>
    <row r="12">
      <c r="B12" s="281" t="s">
        <v>64</v>
      </c>
      <c r="C12" s="25">
        <f>Inputs!C14</f>
        <v>0</v>
      </c>
      <c r="D12" s="115">
        <f t="shared" ref="D12:D13" si="7">C12</f>
        <v>0</v>
      </c>
      <c r="E12" s="115">
        <f>IF(D12&lt;=690,D12,IF(D12&lt;=1035,690+0.8*(D12-690),IF(D12&lt;=1380,966+0.6*(D12-1035),1173+0.4*(D12-1380))))</f>
        <v>0</v>
      </c>
      <c r="F12" s="4"/>
      <c r="G12" s="271" t="s">
        <v>256</v>
      </c>
      <c r="H12" s="159">
        <f>E12/6900+C71*0.03+C131*E138*0.02</f>
        <v>0.03</v>
      </c>
      <c r="I12" s="271" t="s">
        <v>264</v>
      </c>
      <c r="J12" s="119">
        <f t="shared" si="6"/>
        <v>0.03</v>
      </c>
      <c r="K12" s="271" t="s">
        <v>266</v>
      </c>
      <c r="L12" s="119">
        <f>J12+C111*0.15*MIN(8*T42,1)+0.06*(10+2*$C$72)*T54*(1+C131*E138)</f>
        <v>0.185</v>
      </c>
    </row>
    <row r="13">
      <c r="B13" s="281" t="s">
        <v>66</v>
      </c>
      <c r="C13" s="25">
        <f>Inputs!C15</f>
        <v>0</v>
      </c>
      <c r="D13" s="115">
        <f t="shared" si="7"/>
        <v>0</v>
      </c>
      <c r="E13" s="115">
        <f>IF(D13&lt;=368,D13,IF(D13&lt;=552,368+0.8*(D13-368),IF(D13&lt;=736,515.2+0.6*(D13-552),625.6+0.4*(D13-736))))</f>
        <v>0</v>
      </c>
      <c r="F13" s="4"/>
      <c r="G13" s="271" t="s">
        <v>270</v>
      </c>
      <c r="H13" s="159">
        <f>E13/3680+C70*0.03</f>
        <v>0</v>
      </c>
      <c r="I13" s="271" t="s">
        <v>272</v>
      </c>
      <c r="J13" s="119">
        <f>1-H13</f>
        <v>1</v>
      </c>
      <c r="K13" s="271" t="s">
        <v>273</v>
      </c>
      <c r="L13" s="84">
        <f>622/19130+0.03+(L6+L8)/((L6+L8)*1+1/0.94)+0.05*8*T28</f>
        <v>0.2639229608</v>
      </c>
      <c r="N13" s="290" t="s">
        <v>24</v>
      </c>
      <c r="V13" s="171"/>
    </row>
    <row r="14">
      <c r="B14" s="271" t="s">
        <v>68</v>
      </c>
      <c r="C14" s="348">
        <f>Inputs!C16+1</f>
        <v>152.4</v>
      </c>
      <c r="D14" s="27"/>
      <c r="E14" s="27"/>
      <c r="F14" s="4"/>
      <c r="G14" s="271" t="s">
        <v>277</v>
      </c>
      <c r="H14" s="159">
        <f>0.03+0.02*C32</f>
        <v>0.03</v>
      </c>
      <c r="I14" s="283" t="s">
        <v>279</v>
      </c>
      <c r="J14" s="133">
        <f>(1+E30*0.05*(1.13*(1-exp(-1*J9*15/60))))*(1+C57*0.06*(1-0.85^(5/(3/((1/(1-0.15*C107))*(1+C130))))))*(1+C117*0.05)*IF(D100=2,(1+0.06*C119*(1-T40*(1-(0.75)^((5+(H15/2))/H15))/(1+3*(1-(0.75)^((5+(H15/2))/H15))*C82)/(1-(0.75)^((5+(H15/2))/H15)))),(1+0.06*(14-5*C131*E137)*C119*(1/S40)))*(1+IF(C127&gt;2,2,IF(C127=2,1,0))*0.03*E127)</f>
        <v>1.187331929</v>
      </c>
      <c r="K14" s="283" t="s">
        <v>281</v>
      </c>
      <c r="L14" s="84">
        <f>MAX(L13-0.015*(C153-90),0)+MAX(H14-0.015*(C153-90),0)+MAX(0.03-0.015*(C153-90),0)</f>
        <v>0.3239229608</v>
      </c>
      <c r="N14" s="291" t="s">
        <v>71</v>
      </c>
      <c r="O14" s="291" t="s">
        <v>115</v>
      </c>
      <c r="P14" s="291" t="s">
        <v>150</v>
      </c>
      <c r="Q14" s="291" t="s">
        <v>282</v>
      </c>
      <c r="R14" s="291" t="s">
        <v>283</v>
      </c>
      <c r="S14" s="291" t="s">
        <v>284</v>
      </c>
    </row>
    <row r="15">
      <c r="B15" s="281" t="s">
        <v>69</v>
      </c>
      <c r="C15" s="174">
        <f>Inputs!C17</f>
        <v>3.6</v>
      </c>
      <c r="D15" s="27"/>
      <c r="E15" s="27"/>
      <c r="F15" s="4"/>
      <c r="G15" s="271" t="s">
        <v>285</v>
      </c>
      <c r="H15" s="178">
        <f>C15/(J9*(1+0.06*(3+1.5*C130*C136)*C59*D59))/((195.5+21.9*C152-0.673*C152^2)/195.5)</f>
        <v>1.378599312</v>
      </c>
      <c r="I15" s="291" t="s">
        <v>286</v>
      </c>
      <c r="J15" s="133">
        <f>(1+E30*0.05*(1.13*(1-exp(-1*J9*15/60))))*IF(D100=2,(1+0.06*C119*(1-T40*(1-(0.75)^((5+(H15/2))/H15))/(1+3*(1-(0.75)^((5+(H15/2))/H15))*C82)/(1-(0.75)^((5+(H15/2))/H15)))),(1+0.02*C49))*(1+C73*0.15*(5+2*C68)*(1/S19*C149*(1-C150)))*(1+0.01*E31)</f>
        <v>1.04</v>
      </c>
      <c r="K15" s="291" t="s">
        <v>288</v>
      </c>
      <c r="L15" s="133">
        <f>IF(C127=4,1/(2.5+(2/(1-(L14+0.3*(0.151+0.367*(J8)-0.0791*(J8)^2+0.0086*(J8)^3)))-1+IF(C152=1,0.5,0))/C152),1/(2.5+(2/(1-(L14+0.3*T38*(8+C110*4)))-1+IF(C152=1,0.5,0))/C152))</f>
        <v>0.3269240909</v>
      </c>
      <c r="N15" s="181">
        <f>IF(X10=0,"Self-Sufficient (+"&amp;Round(-((T10-U10-V10-W10)*(1-$T$76*(10+2*C92))+(T10-U10-V10-W10*(1.3+0.05*C92))*($T$76*(10+2*C92)))/O10%,2)&amp;"%)",($O$10-$X$10)/$O$10)</f>
        <v>0.9996783285</v>
      </c>
      <c r="O15" s="182">
        <f t="shared" ref="O15:P15" si="8">V77</f>
        <v>324901.6274</v>
      </c>
      <c r="P15" s="182">
        <f t="shared" si="8"/>
        <v>112230.0651</v>
      </c>
      <c r="Q15" s="182">
        <f>$L$7/(1-(1-(1-$L$5)*(1-$C$131*E136*10/S40*0.08))*(($T$6/(1-$L$14)/(1-((1-(1-(T38*(8+C110*4)))*(1-IF(C127&gt;3,1,0)*8*0.125*(T40+T43+T51+T57+T63)))*MIN(0.3/(1-$L$14),1)))+$T$7)/(1-$L$5))/((($T$6/(1-$L$14)/(1-((1-(1-(T38*(8+C110*4)))*(1-IF(C127&gt;3,1,0)*8*0.125*(T40+T43+T51+T57+T63)))*MIN(0.3/(1-$L$14),1)))+$T$7)/(1-$L$5))+$T$8+$T$9))/$L$10*(0.7+0.3/(1-0.15*C79-0.05*IF(C79&gt;0,1,0)))/(1-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9369364.527</v>
      </c>
      <c r="R15" s="182">
        <f>$L$7/(1-(1-(1-$L$5)*(1-$C$131*E136*10/S40*0.08))*(($T$6/(1-$L$14)/(1-((1-(1-(T38*(8+C110*4)))*(1-IF(C127&gt;3,1,0)*8*0.125*(T40+T43+T51+T57+T63)))*MIN(0.3/(1-$L$14),1)))+$T$7)/(1-$L$5))/((($T$6/(1-$L$14)/(1-((1-(1-(T38*(8+C110*4)))*(1-IF(C127&gt;3,1,0)*8*0.125*(T40+T43+T51+T57+T63)))*MIN(0.3/(1-$L$14),1)))+$T$7)/(1-$L$5))+$T$8+$T$9))/$L$10*(0.7+0.3/(1-0.15*C79-0.05*IF(C79&gt;0,1,0)))/(T10/(Q10+P7+P8+P9))*(1+$T$76*(10+2*C92)*0.3)/(1-$C$135*$C$130*$D$130*0.075)/(1-(0.08*$C$80)*(1-(($T$6/(1-$L$14)/(1-((1-(1-(T38*(8+C110*4)))*(1-IF(C127&gt;3,1,0)*8*0.125*(T40+T43+T51+T57+T63)))*MIN(0.3/(1-$L$14),1)))+$T$7)/(1-$L$5))/((($T$6/(1-$L$14)/(1-((1-(1-(T38*(8+C110*4)))*(1-IF(C127&gt;3,1,0)*8*0.125*(T40+T43+T51+T57+T63)))*MIN(0.3/(1-$L$14),1)))+$T$7)/(1-$L$5))+$T$8+$T$9)))/(1-(0.05*C131*E136)*((($T$6/(1-$L$14)/(1-((1-(1-(T38*(8+C110*4)))*(1-IF(C127&gt;3,1,0)*8*0.125*(T40+T43+T51+T57+T63)))*MIN(0.3/(1-$L$14),1)))+$T$7)/(1-$L$5))/((($T$6/(1-$L$14)/(1-((1-(1-(T38*(8+C110*4)))*(1-IF(C127&gt;3,1,0)*8*0.125*(T40+T43+T51+T57+T63)))*MIN(0.3/(1-$L$14),1)))+$T$7)/(1-$L$5))+$T$8+$T$9)))</f>
        <v>11517616.61</v>
      </c>
      <c r="S15" s="182">
        <f>$L$7*O10/T10*(0.7+0.3/(1-0.15*C79-0.05*IF(C79&gt;0,1,0)))*(1+($T$76*(10+2*C92))*0.3)</f>
        <v>21754755.47</v>
      </c>
    </row>
    <row r="17">
      <c r="A17" s="2"/>
      <c r="B17" s="294" t="s">
        <v>70</v>
      </c>
      <c r="C17" s="2"/>
      <c r="D17" s="2"/>
      <c r="E17" s="2"/>
      <c r="G17" s="296" t="s">
        <v>292</v>
      </c>
      <c r="H17" s="269" t="s">
        <v>255</v>
      </c>
      <c r="I17" s="268" t="s">
        <v>293</v>
      </c>
      <c r="J17" s="268" t="s">
        <v>294</v>
      </c>
      <c r="K17" s="269" t="s">
        <v>295</v>
      </c>
      <c r="L17" s="269" t="s">
        <v>296</v>
      </c>
      <c r="M17" s="268" t="s">
        <v>297</v>
      </c>
      <c r="N17" s="268" t="s">
        <v>298</v>
      </c>
      <c r="O17" s="268" t="s">
        <v>299</v>
      </c>
      <c r="P17" s="269" t="s">
        <v>300</v>
      </c>
      <c r="Q17" s="268" t="s">
        <v>301</v>
      </c>
      <c r="R17" s="268" t="s">
        <v>302</v>
      </c>
      <c r="S17" s="268" t="s">
        <v>303</v>
      </c>
      <c r="T17" s="268" t="s">
        <v>304</v>
      </c>
      <c r="U17" s="268" t="s">
        <v>305</v>
      </c>
      <c r="V17" s="269" t="s">
        <v>115</v>
      </c>
      <c r="W17" s="269" t="s">
        <v>150</v>
      </c>
      <c r="X17" s="268" t="s">
        <v>306</v>
      </c>
      <c r="Y17" s="269" t="s">
        <v>307</v>
      </c>
      <c r="Z17" s="268" t="s">
        <v>308</v>
      </c>
      <c r="AA17" s="268" t="s">
        <v>309</v>
      </c>
      <c r="AB17" s="269" t="s">
        <v>310</v>
      </c>
    </row>
    <row r="18">
      <c r="A18" s="2"/>
      <c r="B18" s="276" t="s">
        <v>72</v>
      </c>
      <c r="C18" s="276" t="s">
        <v>73</v>
      </c>
      <c r="D18" s="276" t="s">
        <v>74</v>
      </c>
      <c r="E18" s="276" t="s">
        <v>75</v>
      </c>
      <c r="G18" s="297" t="s">
        <v>195</v>
      </c>
      <c r="H18" s="194"/>
      <c r="I18" s="194"/>
      <c r="J18" s="194"/>
      <c r="K18" s="194"/>
      <c r="L18" s="194"/>
      <c r="M18" s="194"/>
      <c r="N18" s="194"/>
      <c r="O18" s="195"/>
      <c r="P18" s="194"/>
      <c r="Q18" s="196">
        <f>1.5/$J$9</f>
        <v>0.983880796</v>
      </c>
      <c r="R18" s="197">
        <v>120.0</v>
      </c>
      <c r="S18" s="198">
        <f>R18+$C$151</f>
        <v>120.8</v>
      </c>
      <c r="T18" s="196">
        <f>1/S18*C102*D102</f>
        <v>0</v>
      </c>
      <c r="U18" s="199">
        <f>T18*Q18</f>
        <v>0</v>
      </c>
      <c r="V18" s="194"/>
      <c r="W18" s="194"/>
      <c r="X18" s="194"/>
      <c r="Y18" s="194"/>
      <c r="Z18" s="194"/>
      <c r="AA18" s="195"/>
      <c r="AB18" s="194"/>
    </row>
    <row r="19">
      <c r="A19" s="2"/>
      <c r="B19" s="174" t="str">
        <f>Inputs!B21</f>
        <v/>
      </c>
      <c r="C19" s="174">
        <f>Inputs!C21</f>
        <v>1</v>
      </c>
      <c r="D19" s="79"/>
      <c r="E19" s="79"/>
      <c r="G19" s="281" t="s">
        <v>311</v>
      </c>
      <c r="H19" s="201"/>
      <c r="I19" s="194"/>
      <c r="J19" s="203"/>
      <c r="K19" s="195"/>
      <c r="L19" s="195"/>
      <c r="M19" s="195"/>
      <c r="N19" s="194"/>
      <c r="O19" s="196">
        <f>AA19/T19</f>
        <v>58.26106481</v>
      </c>
      <c r="P19" s="194"/>
      <c r="Q19" s="194"/>
      <c r="R19" s="197">
        <v>60.0</v>
      </c>
      <c r="S19" s="196">
        <f>(R19-20*C68+20*C81)</f>
        <v>40</v>
      </c>
      <c r="T19" s="196">
        <f>1/S19*C149*C150</f>
        <v>0.01</v>
      </c>
      <c r="U19" s="195"/>
      <c r="V19" s="195"/>
      <c r="W19" s="195"/>
      <c r="X19" s="195"/>
      <c r="Y19" s="194"/>
      <c r="Z19" s="194"/>
      <c r="AA19" s="196">
        <f>T19*$J$10*(1+0.4*$C$68)*(1+0.15*$C$46)*25</f>
        <v>0.5826106481</v>
      </c>
      <c r="AB19" s="194"/>
    </row>
    <row r="20">
      <c r="A20" s="2"/>
      <c r="B20" s="276" t="s">
        <v>76</v>
      </c>
      <c r="C20" s="276" t="s">
        <v>77</v>
      </c>
      <c r="D20" s="276" t="s">
        <v>78</v>
      </c>
      <c r="G20" s="276" t="s">
        <v>141</v>
      </c>
      <c r="H20" s="27"/>
      <c r="I20" s="194"/>
      <c r="J20" s="194"/>
      <c r="K20" s="194"/>
      <c r="L20" s="194"/>
      <c r="M20" s="194"/>
      <c r="N20" s="194"/>
      <c r="O20" s="194"/>
      <c r="P20" s="194"/>
      <c r="Q20" s="196">
        <f t="shared" ref="Q20:Q22" si="9">1.5/$J$9</f>
        <v>0.983880796</v>
      </c>
      <c r="R20" s="204">
        <v>240.0</v>
      </c>
      <c r="S20" s="205">
        <f>240-60*C67</f>
        <v>180</v>
      </c>
      <c r="T20" s="196">
        <f>1/S20*C61*D61</f>
        <v>0</v>
      </c>
      <c r="U20" s="199">
        <f t="shared" ref="U20:U22" si="10">T20*Q20</f>
        <v>0</v>
      </c>
      <c r="V20" s="194"/>
      <c r="W20" s="195"/>
      <c r="X20" s="195"/>
      <c r="Y20" s="194"/>
      <c r="Z20" s="194"/>
      <c r="AA20" s="194"/>
      <c r="AB20" s="194"/>
    </row>
    <row r="21">
      <c r="A21" s="2"/>
      <c r="B21" s="25" t="str">
        <f>Inputs!B23</f>
        <v/>
      </c>
      <c r="C21" s="25" t="str">
        <f>Inputs!C23</f>
        <v/>
      </c>
      <c r="D21" s="78"/>
      <c r="G21" s="276" t="s">
        <v>313</v>
      </c>
      <c r="H21" s="206">
        <v>1.5</v>
      </c>
      <c r="I21" s="194"/>
      <c r="J21" s="207">
        <f>($J$6*(1+$E$116)*(1+$D$157)+$C$14*6)*H21*$J$10*$L$11*(1+0.01*E25)</f>
        <v>9480.07193</v>
      </c>
      <c r="K21" s="196">
        <f>J21*$J$8*$C$152*$J$14*(1+0.08*C120*D120)
</f>
        <v>70814.52944</v>
      </c>
      <c r="L21" s="209">
        <f>K21/$C$152</f>
        <v>14162.90589</v>
      </c>
      <c r="M21" s="209">
        <f>K21*$L$12</f>
        <v>13100.68795</v>
      </c>
      <c r="N21" s="194"/>
      <c r="O21" s="194"/>
      <c r="P21" s="194"/>
      <c r="Q21" s="196">
        <f t="shared" si="9"/>
        <v>0.983880796</v>
      </c>
      <c r="R21" s="197">
        <v>180.0</v>
      </c>
      <c r="S21" s="198">
        <f t="shared" ref="S21:S22" si="11">R21+$C$151</f>
        <v>180.8</v>
      </c>
      <c r="T21" s="196">
        <f>1/S21*E25</f>
        <v>0</v>
      </c>
      <c r="U21" s="199">
        <f t="shared" si="10"/>
        <v>0</v>
      </c>
      <c r="V21" s="196">
        <f>T21*K21</f>
        <v>0</v>
      </c>
      <c r="W21" s="196">
        <f>T21*L21</f>
        <v>0</v>
      </c>
      <c r="X21" s="196">
        <f>T21*M21</f>
        <v>0</v>
      </c>
      <c r="Y21" s="196">
        <f>X21*(1-$C$144)</f>
        <v>0</v>
      </c>
      <c r="Z21" s="194"/>
      <c r="AA21" s="194"/>
      <c r="AB21" s="194"/>
    </row>
    <row r="22">
      <c r="A22" s="2"/>
      <c r="B22" s="2"/>
      <c r="E22" s="2"/>
      <c r="G22" s="281" t="s">
        <v>314</v>
      </c>
      <c r="H22" s="201"/>
      <c r="I22" s="194"/>
      <c r="J22" s="203"/>
      <c r="K22" s="195"/>
      <c r="L22" s="195"/>
      <c r="M22" s="195"/>
      <c r="N22" s="194"/>
      <c r="O22" s="211">
        <f>20</f>
        <v>20</v>
      </c>
      <c r="P22" s="194"/>
      <c r="Q22" s="196">
        <f t="shared" si="9"/>
        <v>0.983880796</v>
      </c>
      <c r="R22" s="197">
        <v>120.0</v>
      </c>
      <c r="S22" s="198">
        <f t="shared" si="11"/>
        <v>120.8</v>
      </c>
      <c r="T22" s="196">
        <f>1/S22*C28</f>
        <v>0</v>
      </c>
      <c r="U22" s="199">
        <f t="shared" si="10"/>
        <v>0</v>
      </c>
      <c r="V22" s="195"/>
      <c r="W22" s="195"/>
      <c r="X22" s="195"/>
      <c r="Y22" s="194"/>
      <c r="Z22" s="194"/>
      <c r="AA22" s="196">
        <f>T22*O22</f>
        <v>0</v>
      </c>
      <c r="AB22" s="194"/>
    </row>
    <row r="23">
      <c r="A23" s="2"/>
      <c r="B23" s="294" t="s">
        <v>79</v>
      </c>
      <c r="C23" s="2"/>
      <c r="D23" s="2"/>
      <c r="E23" s="2"/>
      <c r="G23" s="281" t="s">
        <v>315</v>
      </c>
      <c r="H23" s="212">
        <f>5*C15/12*1.25*1.2</f>
        <v>2.25</v>
      </c>
      <c r="I23" s="194"/>
      <c r="J23" s="207">
        <f>($J$6*(1+$E$116)*(1+$D$157)+169*15/120*$C$24+$C$14*6)*H23*$J$10*$L$11</f>
        <v>14220.10789</v>
      </c>
      <c r="K23" s="196">
        <f>J23*$J$8*0.7*$J$14*(1+0.08*C120*D120)
</f>
        <v>14871.05118</v>
      </c>
      <c r="L23" s="209">
        <f>K23</f>
        <v>14871.05118</v>
      </c>
      <c r="M23" s="209">
        <f>K23*$L$12</f>
        <v>2751.144469</v>
      </c>
      <c r="N23" s="215"/>
      <c r="O23" s="194"/>
      <c r="P23" s="194"/>
      <c r="Q23" s="195"/>
      <c r="R23" s="216">
        <f>C15</f>
        <v>3.6</v>
      </c>
      <c r="S23" s="209">
        <f>H15</f>
        <v>1.378599312</v>
      </c>
      <c r="T23" s="209">
        <f>1/S23</f>
        <v>0.7253739295</v>
      </c>
      <c r="U23" s="217"/>
      <c r="V23" s="196">
        <f t="shared" ref="V23:V24" si="12">T23*K23</f>
        <v>10787.07283</v>
      </c>
      <c r="W23" s="196">
        <f t="shared" ref="W23:W24" si="13">T23*L23</f>
        <v>10787.07283</v>
      </c>
      <c r="X23" s="196">
        <f t="shared" ref="X23:X24" si="14">T23*M23</f>
        <v>1995.608474</v>
      </c>
      <c r="Y23" s="196">
        <f t="shared" ref="Y23:Y29" si="15">X23*(1-$C$144)</f>
        <v>1596.486779</v>
      </c>
      <c r="Z23" s="194"/>
      <c r="AA23" s="194"/>
      <c r="AB23" s="194"/>
    </row>
    <row r="24">
      <c r="A24" s="2"/>
      <c r="B24" s="281" t="s">
        <v>80</v>
      </c>
      <c r="C24" s="25">
        <f>Inputs!C26</f>
        <v>0</v>
      </c>
      <c r="D24" s="308" t="s">
        <v>81</v>
      </c>
      <c r="E24" s="25">
        <f>Inputs!E26</f>
        <v>0</v>
      </c>
      <c r="G24" s="276" t="s">
        <v>316</v>
      </c>
      <c r="H24" s="218">
        <f>0.1115*1.4/6*1.36*1.075*15</f>
        <v>0.5705455</v>
      </c>
      <c r="I24" s="204">
        <v>1.15</v>
      </c>
      <c r="J24" s="219">
        <f>($J$6*(1+$E$116)*(1+$D$157)+169*15/120*$C$24+$C$14*6)*H24*$J$10*$L$11*I24*(1+0.01*C24)</f>
        <v>4146.756157</v>
      </c>
      <c r="K24" s="196">
        <f>(J24*$J$8*INT($J$9*10/1+1)*0.7*$J$14+J24*7.875*1.25*$J$8*$C$152/SQRT(MAX(1,$C$152/8))*$J$14)*(1+0.15*$C$152/SQRT(MAX(1,$C$152/8))*(1+$C$131*0.05*MIN(1,5/$C$152))*J10)</f>
        <v>728423.2978</v>
      </c>
      <c r="L24" s="196">
        <f>(J24*$J$8*INT($J$9*10/1+1)*0.7*$J$14+J24*7.875*1.25*$J$8/SQRT(MAX(1,$C$152/8))*$J$14)+(K24/(1+0.15*$C$152/SQRT(MAX(1,$C$152/8))*(1+$C$131*0.05*MIN(1,5/$C$152))*J10))*(0.15*1/SQRT(MAX(1,$C$152/8))*(1+$C$131*0.05)*J10)</f>
        <v>199471.6875</v>
      </c>
      <c r="M24" s="196">
        <f>K24/((1+$C$131*0.05*MIN(1,5/$C$152)))/$C$152</f>
        <v>138747.2948</v>
      </c>
      <c r="N24" s="194"/>
      <c r="O24" s="194"/>
      <c r="P24" s="194"/>
      <c r="Q24" s="195"/>
      <c r="R24" s="195"/>
      <c r="S24" s="196">
        <f>S38</f>
        <v>90.8</v>
      </c>
      <c r="T24" s="196">
        <f>1/S24*C131</f>
        <v>0.01101321586</v>
      </c>
      <c r="U24" s="222"/>
      <c r="V24" s="196">
        <f t="shared" si="12"/>
        <v>8022.283015</v>
      </c>
      <c r="W24" s="196">
        <f t="shared" si="13"/>
        <v>2196.824752</v>
      </c>
      <c r="X24" s="196">
        <f t="shared" si="14"/>
        <v>1528.053908</v>
      </c>
      <c r="Y24" s="196">
        <f t="shared" si="15"/>
        <v>1222.443126</v>
      </c>
      <c r="Z24" s="194"/>
      <c r="AA24" s="194"/>
      <c r="AB24" s="194"/>
    </row>
    <row r="25">
      <c r="A25" s="2"/>
      <c r="B25" s="281" t="s">
        <v>83</v>
      </c>
      <c r="C25" s="25">
        <f>Inputs!C27</f>
        <v>0</v>
      </c>
      <c r="D25" s="308" t="s">
        <v>84</v>
      </c>
      <c r="E25" s="25">
        <f>Inputs!E27</f>
        <v>0</v>
      </c>
      <c r="G25" s="281" t="s">
        <v>177</v>
      </c>
      <c r="H25" s="206">
        <f>1.4256*1.15</f>
        <v>1.63944</v>
      </c>
      <c r="I25" s="204">
        <v>1.15</v>
      </c>
      <c r="J25" s="207">
        <f>($J$6*(1+$E$116)*(1+$D$157)+169*15/120*$C$24+$C$14*6)*H25*$J$10*$L$11*I25*(1+0.01*$E$25)*(1+0.3*C130)</f>
        <v>11915.54033</v>
      </c>
      <c r="K25" s="196">
        <f>J25*$J$8*$C$152*$J$14*(1+C130*0.15*$B$19*(1+0.2*$C$63))*(1+$C$131*0.05*MIN(1,5/$C$152))*$H$135*(1+0.08*C120*D120)
</f>
        <v>93457.41857</v>
      </c>
      <c r="L25" s="209">
        <f t="shared" ref="L25:L26" si="16">K25/$C$152</f>
        <v>18691.48371</v>
      </c>
      <c r="M25" s="209">
        <f>K25*$L$12</f>
        <v>17289.62244</v>
      </c>
      <c r="N25" s="194"/>
      <c r="O25" s="194"/>
      <c r="P25" s="195"/>
      <c r="Q25" s="196">
        <f>1.5/$J$9</f>
        <v>0.983880796</v>
      </c>
      <c r="R25" s="197">
        <v>7.5</v>
      </c>
      <c r="S25" s="196">
        <f>1/((1/(R25/J9))+(C113/((R25/J9)/((1/(1-0.15*C107))/3*(1+C130)*(1-(1-H8)^C152)*0.25))))</f>
        <v>4.91940398</v>
      </c>
      <c r="T25" s="196">
        <f>MIN(1/S25,MAX((1-SUM(U19:U23,U29:U41,U43:U50,U52:U76)-($L$9+SUM(Z19:Z50,Z52:Z76))*Q51/(-N51)+(SUM(AA19:AA24,AA26:AA41,AA43:AA50,AA52:AA76)+(($L$9+SUM(Z19:Z50)+SUM(Z52:Z76))*O51/(-N51)))/O42*Q42)/Q25*(-O42/(O25-O42)),(1+C130)/24-T47*C130*0.5))</f>
        <v>0.04166666667</v>
      </c>
      <c r="U25" s="199">
        <f>T25*Q25</f>
        <v>0.04099503317</v>
      </c>
      <c r="V25" s="196">
        <f>(T25+C108*T51*(1-(1-0.15)*(1-0.15*MAX(4,C152-1)))*1.5)*K25</f>
        <v>40931.51458</v>
      </c>
      <c r="W25" s="196">
        <f>(T25+C108*T51*(1-(1-0.15)*(1-0.15*MAX(4,C152-1)))*1.5)*L25</f>
        <v>8186.302916</v>
      </c>
      <c r="X25" s="196">
        <f>(T25+C108*T51*0.15*1.5)*M25</f>
        <v>2277.657585</v>
      </c>
      <c r="Y25" s="196">
        <f t="shared" si="15"/>
        <v>1822.126068</v>
      </c>
      <c r="Z25" s="194"/>
      <c r="AA25" s="195"/>
      <c r="AB25" s="195"/>
    </row>
    <row r="26">
      <c r="A26" s="2"/>
      <c r="B26" s="281" t="s">
        <v>85</v>
      </c>
      <c r="C26" s="25">
        <f>Inputs!C28</f>
        <v>0</v>
      </c>
      <c r="D26" s="308" t="s">
        <v>86</v>
      </c>
      <c r="E26" s="25">
        <f>Inputs!E28</f>
        <v>0</v>
      </c>
      <c r="G26" s="276" t="s">
        <v>161</v>
      </c>
      <c r="H26" s="218">
        <v>1.2</v>
      </c>
      <c r="I26" s="204">
        <v>1.15</v>
      </c>
      <c r="J26" s="207">
        <f>($J$6*(1+$E$116)*(1+$D$157)+169*15/120*$C$24+$C$14*6)*H26*$J$10*$L$11*I26*(1+0.01*$E$25)</f>
        <v>8721.666175</v>
      </c>
      <c r="K26" s="196">
        <f>J26*$J$8*$C$152*$J$14*(1+$C$131*0.05*MIN(1,5/$C$152))*(1+0.08*C120*D120)
</f>
        <v>68406.83544</v>
      </c>
      <c r="L26" s="196">
        <f t="shared" si="16"/>
        <v>13681.36709</v>
      </c>
      <c r="M26" s="196">
        <f>K26*(1+$L$12)*1.25</f>
        <v>101327.625</v>
      </c>
      <c r="N26" s="194"/>
      <c r="O26" s="194"/>
      <c r="P26" s="194"/>
      <c r="Q26" s="195"/>
      <c r="R26" s="204">
        <v>120.0</v>
      </c>
      <c r="S26" s="204">
        <v>120.0</v>
      </c>
      <c r="T26" s="196">
        <f>1/S26*C76</f>
        <v>0</v>
      </c>
      <c r="U26" s="222"/>
      <c r="V26" s="196">
        <f>T26*K26</f>
        <v>0</v>
      </c>
      <c r="W26" s="196">
        <f>T26*L26</f>
        <v>0</v>
      </c>
      <c r="X26" s="196">
        <f t="shared" ref="X26:X28" si="17">T26*M26</f>
        <v>0</v>
      </c>
      <c r="Y26" s="196">
        <f t="shared" si="15"/>
        <v>0</v>
      </c>
      <c r="Z26" s="195"/>
      <c r="AA26" s="195"/>
      <c r="AB26" s="194"/>
    </row>
    <row r="27">
      <c r="A27" s="2"/>
      <c r="B27" s="281" t="s">
        <v>88</v>
      </c>
      <c r="C27" s="25">
        <f>Inputs!C29</f>
        <v>0</v>
      </c>
      <c r="D27" s="308" t="s">
        <v>89</v>
      </c>
      <c r="E27" s="25">
        <f>Inputs!E29</f>
        <v>0</v>
      </c>
      <c r="G27" s="276" t="s">
        <v>208</v>
      </c>
      <c r="H27" s="224"/>
      <c r="I27" s="194"/>
      <c r="J27" s="194"/>
      <c r="K27" s="194"/>
      <c r="L27" s="194"/>
      <c r="M27" s="196">
        <f>V10/T19</f>
        <v>1176566.776</v>
      </c>
      <c r="N27" s="194"/>
      <c r="O27" s="194"/>
      <c r="P27" s="194"/>
      <c r="Q27" s="195"/>
      <c r="R27" s="194"/>
      <c r="S27" s="194"/>
      <c r="T27" s="196">
        <f>T19*C112</f>
        <v>0</v>
      </c>
      <c r="U27" s="222"/>
      <c r="V27" s="222"/>
      <c r="W27" s="222"/>
      <c r="X27" s="196">
        <f t="shared" si="17"/>
        <v>0</v>
      </c>
      <c r="Y27" s="196">
        <f t="shared" si="15"/>
        <v>0</v>
      </c>
      <c r="Z27" s="195"/>
      <c r="AA27" s="194"/>
      <c r="AB27" s="194"/>
    </row>
    <row r="28">
      <c r="A28" s="2"/>
      <c r="B28" s="281" t="s">
        <v>90</v>
      </c>
      <c r="C28" s="25">
        <f>Inputs!C30</f>
        <v>0</v>
      </c>
      <c r="D28" s="308" t="s">
        <v>91</v>
      </c>
      <c r="E28" s="25">
        <f>Inputs!E30</f>
        <v>0</v>
      </c>
      <c r="G28" s="276" t="s">
        <v>215</v>
      </c>
      <c r="H28" s="206">
        <v>0.64</v>
      </c>
      <c r="I28" s="204">
        <v>1.15</v>
      </c>
      <c r="J28" s="207">
        <f>($J$6*(1+$E$116)*(1+$D$157)+169*15/120*$C$24+$C$14*6)*H28*$J$10*$L$11*I28*(1+0.01*E25)</f>
        <v>4651.555294</v>
      </c>
      <c r="K28" s="196">
        <f>J28*$J$8*$C$152/SQRT(MAX(1,$C$152/8))*$J$14*9*(1+0.08*C120*D120)*(1+$C$131*0.05*MIN(1,5/$C$152))</f>
        <v>328352.8101</v>
      </c>
      <c r="L28" s="196">
        <f t="shared" ref="L28:L29" si="18">K28/$C$152</f>
        <v>65670.56202</v>
      </c>
      <c r="M28" s="209">
        <f>K28*$L$12</f>
        <v>60745.26987</v>
      </c>
      <c r="N28" s="194"/>
      <c r="O28" s="219">
        <f>MIN(C152,5)*2*9</f>
        <v>90</v>
      </c>
      <c r="P28" s="194"/>
      <c r="Q28" s="195"/>
      <c r="R28" s="194"/>
      <c r="S28" s="194"/>
      <c r="T28" s="196">
        <f>T38*C118</f>
        <v>0</v>
      </c>
      <c r="U28" s="222"/>
      <c r="V28" s="196">
        <f>T28*K28</f>
        <v>0</v>
      </c>
      <c r="W28" s="196">
        <f>T28*L28</f>
        <v>0</v>
      </c>
      <c r="X28" s="196">
        <f t="shared" si="17"/>
        <v>0</v>
      </c>
      <c r="Y28" s="196">
        <f t="shared" si="15"/>
        <v>0</v>
      </c>
      <c r="Z28" s="195"/>
      <c r="AA28" s="196">
        <f>T28*O28</f>
        <v>0</v>
      </c>
      <c r="AB28" s="194"/>
    </row>
    <row r="29">
      <c r="A29" s="2"/>
      <c r="B29" s="281" t="s">
        <v>92</v>
      </c>
      <c r="C29" s="25">
        <f>Inputs!C31</f>
        <v>0</v>
      </c>
      <c r="D29" s="308" t="s">
        <v>93</v>
      </c>
      <c r="E29" s="25">
        <f>Inputs!E31</f>
        <v>0</v>
      </c>
      <c r="G29" s="281" t="s">
        <v>321</v>
      </c>
      <c r="H29" s="237">
        <f>0.3348*24/3*(1/(1-0.15*C107))</f>
        <v>3.151058824</v>
      </c>
      <c r="I29" s="204">
        <v>1.15</v>
      </c>
      <c r="J29" s="207">
        <f>($J$6*(1+$E$116)*(1+$D$157)+169*15/120*$C$24+$C$14*6)*H29*$J$10*$L$11*I29*(1+0.01*E25)</f>
        <v>22902.0693</v>
      </c>
      <c r="K29" s="196">
        <f>J29*$J$8*$C$152*$J$14*(1+0.4*C117*D117)*(1+$C$131*0.05*MIN(1,5/$C$152))*(1+0.08*C120*D120)*(1+0.15*C131)/(1+0.05*C117)
</f>
        <v>259691.2023</v>
      </c>
      <c r="L29" s="196">
        <f t="shared" si="18"/>
        <v>51938.24046</v>
      </c>
      <c r="M29" s="196">
        <f>K29*(1+0.85*$C$107+$L$12)*1.25</f>
        <v>660589.4959</v>
      </c>
      <c r="N29" s="194"/>
      <c r="O29" s="194"/>
      <c r="P29" s="194"/>
      <c r="Q29" s="195"/>
      <c r="R29" s="194"/>
      <c r="S29" s="194"/>
      <c r="T29" s="195"/>
      <c r="U29" s="222"/>
      <c r="V29" s="196">
        <f>K29/24*(1+C130)</f>
        <v>10820.46676</v>
      </c>
      <c r="W29" s="196">
        <f>L29/24*(1+C130)</f>
        <v>2164.093353</v>
      </c>
      <c r="X29" s="196">
        <f>M29/24*(1+C130)</f>
        <v>27524.56233</v>
      </c>
      <c r="Y29" s="196">
        <f t="shared" si="15"/>
        <v>22019.64986</v>
      </c>
      <c r="Z29" s="195"/>
      <c r="AA29" s="195"/>
      <c r="AB29" s="194"/>
    </row>
    <row r="30">
      <c r="A30" s="2"/>
      <c r="B30" s="276" t="s">
        <v>94</v>
      </c>
      <c r="C30" s="25">
        <f>Inputs!C32</f>
        <v>0</v>
      </c>
      <c r="D30" s="276" t="s">
        <v>95</v>
      </c>
      <c r="E30" s="25">
        <f>Inputs!E32</f>
        <v>0</v>
      </c>
      <c r="G30" s="276" t="s">
        <v>327</v>
      </c>
      <c r="H30" s="224"/>
      <c r="I30" s="194"/>
      <c r="J30" s="194"/>
      <c r="K30" s="194"/>
      <c r="L30" s="194"/>
      <c r="M30" s="209">
        <f>MIN(J11*(MAX(5*0.2*T10*(1+0.05*C111),7/100*L7)*(1+0.15*C42))*$J$10*(1+0.15*C46)*(1+0.2*C115),(0.5+0.15*C114)*L7*MAX(1,T42/0.2)/(1+($T$76*(10+2*C92))*(0.3+0.05*C92)))</f>
        <v>370024.8434</v>
      </c>
      <c r="N30" s="194"/>
      <c r="O30" s="194"/>
      <c r="P30" s="194"/>
      <c r="Q30" s="194"/>
      <c r="R30" s="194"/>
      <c r="S30" s="194"/>
      <c r="T30" s="196">
        <f>T42</f>
        <v>0.4013494365</v>
      </c>
      <c r="U30" s="222"/>
      <c r="V30" s="222"/>
      <c r="W30" s="222"/>
      <c r="X30" s="196">
        <f>MIN(T30,0.2)*M30</f>
        <v>74004.96868</v>
      </c>
      <c r="Y30" s="196">
        <f t="shared" ref="Y30:Y33" si="19">X30</f>
        <v>74004.96868</v>
      </c>
      <c r="Z30" s="195"/>
      <c r="AA30" s="195"/>
      <c r="AB30" s="194"/>
    </row>
    <row r="31">
      <c r="A31" s="2"/>
      <c r="B31" s="276" t="s">
        <v>96</v>
      </c>
      <c r="C31" s="25">
        <f>Inputs!C33</f>
        <v>0</v>
      </c>
      <c r="D31" s="276" t="s">
        <v>97</v>
      </c>
      <c r="E31" s="25">
        <f>Inputs!E33</f>
        <v>0</v>
      </c>
      <c r="G31" s="276" t="s">
        <v>328</v>
      </c>
      <c r="H31" s="218">
        <v>9.0</v>
      </c>
      <c r="I31" s="194"/>
      <c r="J31" s="219">
        <f>($J$6*(1+$E$116)*(1+$D$157)+169*15/120*$C$24+$C$14*6)*H31*$J$10*$L$11*(1+0.01*E25)</f>
        <v>56880.43158</v>
      </c>
      <c r="K31" s="196">
        <f>J31*$J$8*(2*$C$152/3+1/3)*(1+$C$131*0.05*MIN(1,5.5/($C$152+0.5)))*$H$135
</f>
        <v>267000.7646</v>
      </c>
      <c r="L31" s="196">
        <f>K31/(2*$C$152/3+1/3)</f>
        <v>72818.39033</v>
      </c>
      <c r="M31" s="209">
        <f>K31*$L$12</f>
        <v>49395.14144</v>
      </c>
      <c r="N31" s="194"/>
      <c r="O31" s="194"/>
      <c r="P31" s="194"/>
      <c r="Q31" s="195"/>
      <c r="R31" s="195"/>
      <c r="S31" s="195"/>
      <c r="T31" s="196">
        <f>T42/10*C158</f>
        <v>0.04013494365</v>
      </c>
      <c r="U31" s="222"/>
      <c r="V31" s="196">
        <f t="shared" ref="V31:V33" si="20">T31*K31</f>
        <v>10716.06064</v>
      </c>
      <c r="W31" s="196">
        <f t="shared" ref="W31:W33" si="21">T31*L31</f>
        <v>2922.561993</v>
      </c>
      <c r="X31" s="196">
        <f t="shared" ref="X31:X33" si="22">T31*M31</f>
        <v>1982.471219</v>
      </c>
      <c r="Y31" s="196">
        <f t="shared" si="19"/>
        <v>1982.471219</v>
      </c>
      <c r="Z31" s="194"/>
      <c r="AA31" s="194"/>
      <c r="AB31" s="194"/>
    </row>
    <row r="32">
      <c r="A32" s="2"/>
      <c r="B32" s="276" t="s">
        <v>98</v>
      </c>
      <c r="C32" s="25">
        <f>Inputs!C34</f>
        <v>0</v>
      </c>
      <c r="D32" s="276" t="s">
        <v>99</v>
      </c>
      <c r="E32" s="25">
        <f>Inputs!E34</f>
        <v>0</v>
      </c>
      <c r="G32" s="281" t="s">
        <v>193</v>
      </c>
      <c r="H32" s="206">
        <f>0.235*1.4/6*1.075</f>
        <v>0.05894583333</v>
      </c>
      <c r="I32" s="204">
        <v>1.0</v>
      </c>
      <c r="J32" s="219">
        <f>($J$6*(1+$E$116)*(1+$D$157)+169*15/120*$C$24+$C$14*6)*H32*$J$10*$L$11*I32*(1+0.01*C24)</f>
        <v>372.5404933</v>
      </c>
      <c r="K32" s="196">
        <f>J32*$J$8*INT($J$9*D101/1.4+1)*0.7*$J$14</f>
        <v>4152.649246</v>
      </c>
      <c r="L32" s="196">
        <f>K32</f>
        <v>4152.649246</v>
      </c>
      <c r="M32" s="196">
        <f>L7*0.5*0.15</f>
        <v>126217.095</v>
      </c>
      <c r="N32" s="194"/>
      <c r="O32" s="194"/>
      <c r="P32" s="194"/>
      <c r="Q32" s="195"/>
      <c r="R32" s="197">
        <f>60/5</f>
        <v>12</v>
      </c>
      <c r="S32" s="196">
        <f>R32/1.13</f>
        <v>10.61946903</v>
      </c>
      <c r="T32" s="196">
        <f>1/S32*C101</f>
        <v>0</v>
      </c>
      <c r="U32" s="222"/>
      <c r="V32" s="196">
        <f t="shared" si="20"/>
        <v>0</v>
      </c>
      <c r="W32" s="196">
        <f t="shared" si="21"/>
        <v>0</v>
      </c>
      <c r="X32" s="196">
        <f t="shared" si="22"/>
        <v>0</v>
      </c>
      <c r="Y32" s="196">
        <f t="shared" si="19"/>
        <v>0</v>
      </c>
      <c r="Z32" s="194"/>
      <c r="AA32" s="194"/>
      <c r="AB32" s="194"/>
    </row>
    <row r="33">
      <c r="A33" s="2"/>
      <c r="B33" s="276" t="s">
        <v>100</v>
      </c>
      <c r="C33" s="25">
        <f>Inputs!C35</f>
        <v>0</v>
      </c>
      <c r="D33" s="276" t="s">
        <v>101</v>
      </c>
      <c r="E33" s="25">
        <f>Inputs!E35</f>
        <v>0</v>
      </c>
      <c r="G33" s="276" t="s">
        <v>211</v>
      </c>
      <c r="H33" s="218">
        <v>1.1</v>
      </c>
      <c r="I33" s="204">
        <v>1.15</v>
      </c>
      <c r="J33" s="207">
        <f>($J$6*(1+$E$116)*(1+$D$157)+169*15/120*$C$24+$C$14*6)*H33*$J$10*$L$11*I33*(1+0.01*$E$25)</f>
        <v>7994.860661</v>
      </c>
      <c r="K33" s="196">
        <f>J33*$J$8*$J$14*(1+$C$131*0.05*MIN(1,5/$C$152))*$H$135*(1+0.08*C127)
</f>
        <v>16041.13777</v>
      </c>
      <c r="L33" s="196">
        <f>K33/C$152</f>
        <v>3208.227553</v>
      </c>
      <c r="M33" s="209">
        <f>K33*$L$12</f>
        <v>2967.610487</v>
      </c>
      <c r="N33" s="194"/>
      <c r="O33" s="194"/>
      <c r="P33" s="194"/>
      <c r="Q33" s="203"/>
      <c r="R33" s="204">
        <v>0.5</v>
      </c>
      <c r="S33" s="196">
        <f>1/T42</f>
        <v>2.491594379</v>
      </c>
      <c r="T33" s="196">
        <f>1/S33*C114</f>
        <v>0</v>
      </c>
      <c r="U33" s="203"/>
      <c r="V33" s="196">
        <f t="shared" si="20"/>
        <v>0</v>
      </c>
      <c r="W33" s="196">
        <f t="shared" si="21"/>
        <v>0</v>
      </c>
      <c r="X33" s="196">
        <f t="shared" si="22"/>
        <v>0</v>
      </c>
      <c r="Y33" s="196">
        <f t="shared" si="19"/>
        <v>0</v>
      </c>
      <c r="Z33" s="194"/>
      <c r="AA33" s="194"/>
      <c r="AB33" s="194"/>
    </row>
    <row r="34">
      <c r="A34" s="2"/>
      <c r="B34" s="276" t="s">
        <v>102</v>
      </c>
      <c r="C34" s="25">
        <f>Inputs!C36</f>
        <v>0</v>
      </c>
      <c r="D34" s="276" t="s">
        <v>103</v>
      </c>
      <c r="E34" s="25">
        <f>Inputs!E36</f>
        <v>0</v>
      </c>
      <c r="G34" s="276" t="s">
        <v>329</v>
      </c>
      <c r="H34" s="252"/>
      <c r="I34" s="203"/>
      <c r="J34" s="203"/>
      <c r="K34" s="203"/>
      <c r="L34" s="203"/>
      <c r="M34" s="203"/>
      <c r="N34" s="194"/>
      <c r="O34" s="194"/>
      <c r="P34" s="194"/>
      <c r="Q34" s="203"/>
      <c r="R34" s="203"/>
      <c r="S34" s="203"/>
      <c r="T34" s="203"/>
      <c r="U34" s="203"/>
      <c r="V34" s="203"/>
      <c r="W34" s="203"/>
      <c r="X34" s="196">
        <f>T10*0.02*E33</f>
        <v>0</v>
      </c>
      <c r="Y34" s="196">
        <f t="shared" ref="Y34:Y36" si="23">X34*(1-$C$144)</f>
        <v>0</v>
      </c>
      <c r="Z34" s="194"/>
      <c r="AA34" s="194"/>
      <c r="AB34" s="194"/>
    </row>
    <row r="35">
      <c r="A35" s="2"/>
      <c r="B35" s="276" t="s">
        <v>104</v>
      </c>
      <c r="C35" s="25">
        <f>Inputs!C37</f>
        <v>0</v>
      </c>
      <c r="D35" s="276"/>
      <c r="E35" s="25" t="str">
        <f>Inputs!E37</f>
        <v/>
      </c>
      <c r="G35" s="281" t="s">
        <v>218</v>
      </c>
      <c r="H35" s="218">
        <f>4.8084*1.3</f>
        <v>6.25092</v>
      </c>
      <c r="I35" s="204">
        <v>1.15</v>
      </c>
      <c r="J35" s="207">
        <f>($J$6*(1+$E$116)*(1+$D$157)+169*15/120*$C$24+$C$14*6)*H35*$J$10*$L$11*I35*(1+0.01*$E$25)</f>
        <v>45432.03127</v>
      </c>
      <c r="K35" s="196">
        <f>J35*$J$8*$C$152/SQRT(MAX(1,$C$152/8))*$J$14*(1+$C$131*0.05*MIN(1,5/$C$152))*(1+0.08*C120*D120)+24/(1+C130)*V29*D121*0.25*(1+0.08*C120*D120)</f>
        <v>423338.3767</v>
      </c>
      <c r="L35" s="196">
        <f>K35/$C$152</f>
        <v>84667.67533</v>
      </c>
      <c r="M35" s="196">
        <f>K35*$L$12+24/(1+C130)*V29*D121*0.25*(1+0.08*C120*D120)*(1+0.5*$C$107+$L$12)*1.25+K35*C125*1.5*J11*J10*(1+0.15*C46)*(1+0.2*C115)/(1-$C$144)</f>
        <v>219437.0452</v>
      </c>
      <c r="N35" s="194"/>
      <c r="O35" s="194"/>
      <c r="P35" s="194"/>
      <c r="Q35" s="196">
        <f>(1+0.5*D121)/$J$9</f>
        <v>0.983880796</v>
      </c>
      <c r="R35" s="204">
        <v>45.0</v>
      </c>
      <c r="S35" s="198">
        <f>(R35/(1+$C$125*22.5*1.1/60*1.13*$J$9))+$C$151</f>
        <v>45.8</v>
      </c>
      <c r="T35" s="196">
        <f>1/S35*C121</f>
        <v>0</v>
      </c>
      <c r="U35" s="199">
        <f t="shared" ref="U35:U36" si="24">T35*Q35</f>
        <v>0</v>
      </c>
      <c r="V35" s="196">
        <f t="shared" ref="V35:V36" si="25">T35*K35</f>
        <v>0</v>
      </c>
      <c r="W35" s="196">
        <f t="shared" ref="W35:W36" si="26">T35*L35</f>
        <v>0</v>
      </c>
      <c r="X35" s="196">
        <f t="shared" ref="X35:X36" si="27">T35*M35</f>
        <v>0</v>
      </c>
      <c r="Y35" s="196">
        <f t="shared" si="23"/>
        <v>0</v>
      </c>
      <c r="Z35" s="194"/>
      <c r="AA35" s="194"/>
      <c r="AB35" s="194"/>
    </row>
    <row r="36">
      <c r="A36" s="2"/>
      <c r="B36" s="2"/>
      <c r="C36" s="2"/>
      <c r="D36" s="2"/>
      <c r="E36" s="2"/>
      <c r="G36" s="276" t="s">
        <v>330</v>
      </c>
      <c r="H36" s="253">
        <v>2.52</v>
      </c>
      <c r="I36" s="203"/>
      <c r="J36" s="207">
        <f>($J$6*(1+$E$116)*(1+$D$157)+$C$14*6)*H36*$J$10*$L$11</f>
        <v>15926.52084</v>
      </c>
      <c r="K36" s="196">
        <f>J36*$J$8*$J$14*(1+0.08*C120*D120)</f>
        <v>23793.68189</v>
      </c>
      <c r="L36" s="196">
        <f>K36</f>
        <v>23793.68189</v>
      </c>
      <c r="M36" s="194"/>
      <c r="N36" s="194"/>
      <c r="O36" s="194"/>
      <c r="P36" s="194"/>
      <c r="Q36" s="196">
        <f>1.5/$J$9</f>
        <v>0.983880796</v>
      </c>
      <c r="R36" s="197">
        <v>90.0</v>
      </c>
      <c r="S36" s="198">
        <f>R36+$C$151</f>
        <v>90.8</v>
      </c>
      <c r="T36" s="196">
        <f>1/S36*IF($E$29=1,1,0)</f>
        <v>0</v>
      </c>
      <c r="U36" s="199">
        <f t="shared" si="24"/>
        <v>0</v>
      </c>
      <c r="V36" s="196">
        <f t="shared" si="25"/>
        <v>0</v>
      </c>
      <c r="W36" s="196">
        <f t="shared" si="26"/>
        <v>0</v>
      </c>
      <c r="X36" s="196">
        <f t="shared" si="27"/>
        <v>0</v>
      </c>
      <c r="Y36" s="196">
        <f t="shared" si="23"/>
        <v>0</v>
      </c>
      <c r="Z36" s="194"/>
      <c r="AA36" s="194"/>
      <c r="AB36" s="194"/>
    </row>
    <row r="37">
      <c r="A37" s="2"/>
      <c r="B37" s="321" t="s">
        <v>105</v>
      </c>
      <c r="C37" s="283" t="s">
        <v>106</v>
      </c>
      <c r="D37" s="283" t="s">
        <v>107</v>
      </c>
      <c r="E37" s="2"/>
      <c r="G37" s="276" t="s">
        <v>331</v>
      </c>
      <c r="H37" s="254"/>
      <c r="I37" s="255"/>
      <c r="J37" s="255"/>
      <c r="K37" s="255"/>
      <c r="L37" s="255"/>
      <c r="M37" s="194"/>
      <c r="N37" s="204">
        <v>1.0</v>
      </c>
      <c r="O37" s="194"/>
      <c r="P37" s="255"/>
      <c r="Q37" s="255"/>
      <c r="R37" s="255"/>
      <c r="S37" s="255"/>
      <c r="T37" s="196">
        <f>F127</f>
        <v>0.1402974432</v>
      </c>
      <c r="U37" s="195"/>
      <c r="V37" s="195"/>
      <c r="W37" s="195"/>
      <c r="X37" s="195"/>
      <c r="Y37" s="194"/>
      <c r="Z37" s="196">
        <f>T37*N37</f>
        <v>0.1402974432</v>
      </c>
      <c r="AA37" s="194"/>
      <c r="AB37" s="194"/>
    </row>
    <row r="38">
      <c r="A38" s="322" t="s">
        <v>108</v>
      </c>
      <c r="B38" s="276" t="s">
        <v>109</v>
      </c>
      <c r="C38" s="25">
        <f>Inputs!C40</f>
        <v>1</v>
      </c>
      <c r="D38" s="78"/>
      <c r="E38" s="2"/>
      <c r="G38" s="281" t="s">
        <v>189</v>
      </c>
      <c r="H38" s="254"/>
      <c r="I38" s="204">
        <v>1.0</v>
      </c>
      <c r="J38" s="203"/>
      <c r="K38" s="196">
        <f>(SUM(V25,V42*(1+0.08*C120*D120)/(1+0.08*C120)/(1+0.6*C19*(1+0.2*C63))*MAX(1,MIN(1+C106*0.75*(C152-1),1+C106*1.5))/MAX((1+0.2*C63*C19),MIN((1+0.2*C63*C19)+C106*0.75*(C152-1),(1+0.2*C63*C19)+C106*1.5)),V43,IF(C131=1,0,V51),V57,IF(C131=1,V74*T51/T74,V74))*(8+4*C110)+INT((8+4*C110+H15/2)/H15)*V23+V29*(24/(1+C130)+(IF((8+4*C110)*T25-1&gt;0,MIN((8+4*C110)*T25-1,1),0))*(8+4*C110)/2+(IF((8+4*C110)*T25-2&gt;0,MIN((8+4*C110)*T25-2,1),0))*(8+4*C110)/6))*0.33*(1+0.01*$C$24)*(1+C110)*I38*(1+$C$131*0.05)*(1+C131*T51*8*0.2*(8+4*C110-4)/(8+4*C110))/(1+0.08*C120*D120)*(1+IF(C127&gt;2,2,IF(C127=2,1,0))*0.03*E127)</f>
        <v>2069005.258</v>
      </c>
      <c r="L38" s="256">
        <f>(SUM(W25,W42*(1+0.08*C120*D120)/(1+0.08*C120)/(1+0.6*C19*(1+0.2*C63))/(1+0.2*C63*C19),W43,IF(C131=1,0,W51),W57,IF(C131=1,W74*T51/T74,W74))*(8+4*C110)+INT((8+4*C110+H15/2)/H15)*W23+W29*(24/(1+C130)+(IF((8+4*C110)*T25-1&gt;0,MIN((8+4*C110)*T25-1,1),0))*(8+4*C110)/2+(IF((8+4*C110)*T25-2&gt;0,MIN((8+4*C110)*T25-2,1),0))*(8+4*C110)/6))*0.33*(1+0.01*$C$24)*(1+C110)*I38*(1+$C$131*0.05)*(1+C131*T51*8*0.2*(8+4*C110-4)/(8+4*C110))/(1+0.08*C120*D120)*(1+IF(C127&gt;2,2,IF(C127=2,1,0))*0.03*E127)</f>
        <v>642643.8374</v>
      </c>
      <c r="M38" s="194"/>
      <c r="N38" s="194"/>
      <c r="O38" s="194"/>
      <c r="P38" s="256">
        <f>D105*C105</f>
        <v>5</v>
      </c>
      <c r="Q38" s="196">
        <f>1.5/$J$9</f>
        <v>0.983880796</v>
      </c>
      <c r="R38" s="197">
        <v>120.0</v>
      </c>
      <c r="S38" s="196">
        <f>120-30*C105+$C$151</f>
        <v>90.8</v>
      </c>
      <c r="T38" s="196">
        <f>1/S38*C98*C149</f>
        <v>0.01101321586</v>
      </c>
      <c r="U38" s="199">
        <f>T38*Q38</f>
        <v>0.01083569159</v>
      </c>
      <c r="V38" s="196">
        <f t="shared" ref="V38:V40" si="28">T38*K38</f>
        <v>22786.40152</v>
      </c>
      <c r="W38" s="196">
        <f t="shared" ref="W38:W40" si="29">T38*L38</f>
        <v>7077.575302</v>
      </c>
      <c r="X38" s="195"/>
      <c r="Y38" s="194"/>
      <c r="Z38" s="194"/>
      <c r="AA38" s="194"/>
      <c r="AB38" s="196">
        <f>P38*T38</f>
        <v>0.0550660793</v>
      </c>
    </row>
    <row r="39">
      <c r="A39" s="97"/>
      <c r="B39" s="276" t="s">
        <v>110</v>
      </c>
      <c r="C39" s="25">
        <f>Inputs!C41</f>
        <v>1</v>
      </c>
      <c r="D39" s="78"/>
      <c r="E39" s="2"/>
      <c r="G39" s="276" t="s">
        <v>332</v>
      </c>
      <c r="H39" s="254"/>
      <c r="I39" s="204">
        <v>1.0</v>
      </c>
      <c r="J39" s="203"/>
      <c r="K39" s="196">
        <f>(SUM(V25,V42*(1+0.08*C120*D120)/(1+0.08*C120)/(1+0.6*C19*(1+0.2*C63))*MAX(1,MIN(1+C106*0.75*(C152-1),1+C106*1.5))/MAX((1+0.2*C63*C19),MIN((1+0.2*C63*C19)+C106*0.75*(C152-1),(1+0.2*C63*C19)+C106*1.5)),V43,IF(C131=1,V51/(T51-T74)*(1-T38*(8+C110*4))*(T51-(0.35+0.05*14/S40*E136+E140*0.35*0.15)*T42),V51),V57,IF(C131=1,V74/T74*((1-T38*(8+C110*4))*((0.35+0.05*14/S40*E136+E140*0.35*0.15)*T42)+(T38*(8+C110*4))*T51),V74))*(6)+INT((6+H15/2)/H15)*V23+V29*(24/(1+C130)*(MIN(T25*6,1)+IF(T25*6&gt;1,(T25*6-1)*3,0))))*0.33*(1+0.01*$C$24)*(1)*I38*(1+$C$131*0.05)*(1+C131*T51*8*0.2*(2)/(6))/(1+0.08*C120*D120)*(1+IF(C127&gt;2,2,IF(C127=2,1,0))*0.03*E127)</f>
        <v>453444.5594</v>
      </c>
      <c r="L39" s="196">
        <f>(SUM(W25,W42*(1+0.08*C120*D120)/(1+0.08*C120)/(1+0.6*C19*(1+0.2*C63))/(1+0.2*C63*C19),W43,IF(C131=1,W51/(T51-T74)*(1-T38*(8+C110*4))*(T51-(0.35+0.05*14/S40*E136+E140*0.35*0.15)*T42),W51),W57,IF(C131=1,V74/T74*((1-T38*(8+C110*4))*((0.35+0.05*14/S40*E136+E140*0.35*0.15)*T42)+(T38*(8+C110*4))*T51),W74))*(6)+INT((6+H15/2)/H15)*W23+W29*(24/(1+C130)*(MIN(T25*6,1)+IF(T25*6&gt;1,(T25*6-1)*3,0))))*0.33*(1+0.01*$C$24)*(1)*I38*(1+$C$131*0.05)*(1+C131*T51*8*0.2*(2)/(6))/(1+0.08*C120*D120)*(1+IF(C127&gt;2,2,IF(C127=2,1,0))*0.03*E127)</f>
        <v>179763.6901</v>
      </c>
      <c r="M39" s="194"/>
      <c r="N39" s="255"/>
      <c r="O39" s="255"/>
      <c r="P39" s="194"/>
      <c r="Q39" s="255"/>
      <c r="R39" s="255"/>
      <c r="S39" s="255">
        <f>IF(OR(D100=1,AND(C152&lt;4,C131=1)),MAX((10-5*C131*E137+H15*3.5+C151),12),0)+IF(NOT(OR(D100=1,AND(C152&lt;4,C131=1))),15-5*C131*E137-C82,0)</f>
        <v>14</v>
      </c>
      <c r="T39" s="196">
        <f>IF(C127&gt;3,1,0)*0.1*(T40+T43+T51+T57+T63)</f>
        <v>0.05623539705</v>
      </c>
      <c r="U39" s="195"/>
      <c r="V39" s="196">
        <f t="shared" si="28"/>
        <v>25499.63484</v>
      </c>
      <c r="W39" s="196">
        <f t="shared" si="29"/>
        <v>10109.08249</v>
      </c>
      <c r="X39" s="195"/>
      <c r="Y39" s="194"/>
      <c r="Z39" s="194"/>
      <c r="AA39" s="194"/>
      <c r="AB39" s="195"/>
    </row>
    <row r="40">
      <c r="A40" s="98"/>
      <c r="B40" s="276" t="s">
        <v>111</v>
      </c>
      <c r="C40" s="25">
        <f>Inputs!C42</f>
        <v>1</v>
      </c>
      <c r="D40" s="78"/>
      <c r="E40" s="2"/>
      <c r="G40" s="281" t="s">
        <v>333</v>
      </c>
      <c r="H40" s="237">
        <f>0.083*(11+2*C107)*1.3*1.25</f>
        <v>1.753375</v>
      </c>
      <c r="I40" s="204">
        <f>1.48*1.15</f>
        <v>1.702</v>
      </c>
      <c r="J40" s="207">
        <f>($J$6*(1+$E$116)*(1+$D$157)+169*15/120*$C$24+$C$14*6)*H40*$J$10*$L$11*I40*(1+0.01*E25)</f>
        <v>18860.56676</v>
      </c>
      <c r="K40" s="196">
        <f>J40*$J$8*$C$152*$J$14*(1+$C$131*0.05*MIN(1,5/$C$152))*(1+0.08*C120*D120)
</f>
        <v>147929.4966</v>
      </c>
      <c r="L40" s="196">
        <f>K40/$C$152</f>
        <v>29585.89932</v>
      </c>
      <c r="M40" s="196">
        <f>K40*$L$12+($J$6*(1+$E$116)*(1+$D$157)+4925*15/120*C24+$C$14*6)*0.375*(D97+2*C104)*$J$10*$J$8*$L$11*C94*(1-IF(OR(D100=1,AND(C152&lt;4,C131=1)),0,1)*IF(D100=2,1-(1-(0.75)^((5+(H15/2))/H15))/(1+3*(1-(0.75)^((5+(H15/2))/H15))*C82),1)*IF(NOT(OR(OR(D100=1,AND(C152&lt;4,C131=1)),D100=2)),1-(1-(0.75)^((4+(H15/2))/H15)),1))</f>
        <v>43598.8017</v>
      </c>
      <c r="N40" s="196">
        <f>-1*IF(OR(D100=1,AND(C152&lt;4,C131=1)),0,1)*IF(D100=2,1-(1-(0.75)^((5+(H15/2))/H15))/(1+3*(1-(0.75)^((5+(H15/2))/H15))*C82),1)*IF(NOT(OR(OR(D100=1,AND(C152&lt;4,C131=1)),D100=2)),1-(1-(0.75)^((4+(H15/2))/H15)),1)</f>
        <v>-0.3758559437</v>
      </c>
      <c r="O40" s="196">
        <f>10*IF(OR(D100=1,AND(C152&lt;4,C131=1)),C94,1)*IF(D100=2,IF(C94&gt;0,1,1-(1-(0.75)^((5+(H15/2))/H15))/(1+3*(1-(0.75)^((5+(H15/2))/H15))*C82)),1)*IF(NOT(OR(OR(D100=1,AND(C152&lt;4,C131=1)),D100=2)),IF(C94&gt;0,1,1-(1-(0.75)^((4+(H15/2))/H15))),1)</f>
        <v>10</v>
      </c>
      <c r="P40" s="194"/>
      <c r="Q40" s="196">
        <f>1.5/$J$9</f>
        <v>0.983880796</v>
      </c>
      <c r="R40" s="197">
        <v>15.0</v>
      </c>
      <c r="S40" s="196">
        <f>IF(OR(D100=1,AND(C152&lt;4,C131=1)),MAX((10-5*C131*E137+H15*3.5+C151),12),0)+IF(NOT(OR(D100=1,AND(C152&lt;4,C131=1))),15-5*C131*E137-C82,0)</f>
        <v>14</v>
      </c>
      <c r="T40" s="196">
        <f>1/S40</f>
        <v>0.07142857143</v>
      </c>
      <c r="U40" s="199">
        <f>T40*Q40</f>
        <v>0.07027719971</v>
      </c>
      <c r="V40" s="196">
        <f t="shared" si="28"/>
        <v>10566.39261</v>
      </c>
      <c r="W40" s="196">
        <f t="shared" si="29"/>
        <v>2113.278523</v>
      </c>
      <c r="X40" s="196">
        <f t="shared" ref="X40:X41" si="30">T40*M40</f>
        <v>3114.200121</v>
      </c>
      <c r="Y40" s="196">
        <f>X40*(1-$C$144)</f>
        <v>2491.360097</v>
      </c>
      <c r="Z40" s="196">
        <f>T40*N40</f>
        <v>-0.02684685312</v>
      </c>
      <c r="AA40" s="196">
        <f>T40*O40</f>
        <v>0.7142857143</v>
      </c>
      <c r="AB40" s="194"/>
    </row>
    <row r="41">
      <c r="A41" s="322" t="s">
        <v>112</v>
      </c>
      <c r="B41" s="276" t="s">
        <v>113</v>
      </c>
      <c r="C41" s="25">
        <f>Inputs!C43</f>
        <v>1</v>
      </c>
      <c r="D41" s="78"/>
      <c r="E41" s="2"/>
      <c r="G41" s="276" t="s">
        <v>135</v>
      </c>
      <c r="H41" s="254"/>
      <c r="I41" s="194"/>
      <c r="J41" s="194"/>
      <c r="K41" s="255"/>
      <c r="L41" s="255"/>
      <c r="M41" s="196">
        <f>$L$7*(0.2+0.1*C62)*$J$10</f>
        <v>430976.8412</v>
      </c>
      <c r="N41" s="194"/>
      <c r="O41" s="194"/>
      <c r="P41" s="194"/>
      <c r="Q41" s="194"/>
      <c r="R41" s="197">
        <v>120.0</v>
      </c>
      <c r="S41" s="198">
        <f>R41-30*C62+$C$151</f>
        <v>120.8</v>
      </c>
      <c r="T41" s="196">
        <f>1/S41*C56</f>
        <v>0</v>
      </c>
      <c r="U41" s="222"/>
      <c r="V41" s="222"/>
      <c r="W41" s="222"/>
      <c r="X41" s="196">
        <f t="shared" si="30"/>
        <v>0</v>
      </c>
      <c r="Y41" s="196">
        <f>X41</f>
        <v>0</v>
      </c>
      <c r="Z41" s="194"/>
      <c r="AA41" s="194"/>
      <c r="AB41" s="194"/>
    </row>
    <row r="42">
      <c r="A42" s="97"/>
      <c r="B42" s="276" t="s">
        <v>114</v>
      </c>
      <c r="C42" s="25">
        <f>Inputs!C44</f>
        <v>1</v>
      </c>
      <c r="D42" s="78"/>
      <c r="G42" s="323" t="s">
        <v>110</v>
      </c>
      <c r="H42" s="260">
        <f>1.5312*1.2*1.12</f>
        <v>2.0579328</v>
      </c>
      <c r="I42" s="204">
        <f>2.3</f>
        <v>2.3</v>
      </c>
      <c r="J42" s="207">
        <f>($J$6*(1+$E$116)*(1+$D$157)+169*15/120*$C$24+$C$14*6)*H42*$J$10*$L$11*I42*(1+0.12*C130)</f>
        <v>29914.33816</v>
      </c>
      <c r="K42" s="196">
        <f>J42*$J$8*0.7*(1+C99*0.08*MIN((T25+C108*T51*(1-(1-0.15)*(1-0.15*MAX(4,C152-1))))/T42*C152,5))*(1+0.6*C19*(1+0.2*C63))*$J$14*(1+0.08*C120)*(1+0.05*K134)*MAX((1+0.2*C63*C19),MIN((1+0.2*C63*C19)+C106*0.75*(C152-1),(1+0.2*C63*C19)+C106*1.5))</f>
        <v>273006.2768</v>
      </c>
      <c r="L42" s="196">
        <f>K42*(1+0.2*C63*C19)/MAX((1+0.2*C63*C19),MIN((1+0.2*C63*C19)+C106*0.75*(C152-1),(1+0.2*C63*C19)+C106*1.5))</f>
        <v>121336.123</v>
      </c>
      <c r="M42" s="196">
        <f>K42*$L$12+MAX(5*0.2*T10*(1+0.05*C111),7/100*L7)*(1+C99*0.08*MIN((T25+C108*T51*(1-(1-0.15)*(1-0.15*MAX(4,C152-1))))/T42*C152,5))*$J$10*$J$15*(1+0.15*C42)</f>
        <v>889782.2298</v>
      </c>
      <c r="N42" s="194"/>
      <c r="O42" s="196">
        <f>(-45)+5*C91+IF(C42&gt;0,5,0)+10*8*T26</f>
        <v>-35</v>
      </c>
      <c r="P42" s="194"/>
      <c r="Q42" s="196">
        <f t="shared" ref="Q42:Q43" si="31">1.5/$J$9</f>
        <v>0.983880796</v>
      </c>
      <c r="R42" s="194"/>
      <c r="S42" s="194"/>
      <c r="T42" s="196">
        <f>-(SUM(AA19:AA41,AA43:AA76))/O42</f>
        <v>0.4013494365</v>
      </c>
      <c r="U42" s="199">
        <f t="shared" ref="U42:U43" si="32">T42*Q42</f>
        <v>0.3948800031</v>
      </c>
      <c r="V42" s="196">
        <f t="shared" ref="V42:V44" si="33">T42*K42</f>
        <v>109570.9154</v>
      </c>
      <c r="W42" s="196">
        <f t="shared" ref="W42:W44" si="34">T42*L42</f>
        <v>48698.18461</v>
      </c>
      <c r="X42" s="196">
        <f>MIN(T42,0.2)*M42</f>
        <v>177956.446</v>
      </c>
      <c r="Y42" s="196">
        <f t="shared" ref="Y42:Y48" si="35">X42*(1-$C$144)</f>
        <v>142365.1568</v>
      </c>
      <c r="Z42" s="194"/>
      <c r="AA42" s="196">
        <f t="shared" ref="AA42:AA43" si="36">T42*O42</f>
        <v>-14.04723028</v>
      </c>
      <c r="AB42" s="194"/>
    </row>
    <row r="43">
      <c r="A43" s="98"/>
      <c r="B43" s="276" t="s">
        <v>116</v>
      </c>
      <c r="C43" s="25">
        <f>Inputs!C45</f>
        <v>1</v>
      </c>
      <c r="D43" s="78"/>
      <c r="E43" s="2"/>
      <c r="G43" s="281" t="s">
        <v>334</v>
      </c>
      <c r="H43" s="263">
        <f>0.4374</f>
        <v>0.4374</v>
      </c>
      <c r="I43" s="204">
        <v>1.15</v>
      </c>
      <c r="J43" s="207">
        <f>($J$6*(1+$E$116)*(1+$D$157)+169*15/120*$C$24+$C$14*6)*H43*$J$10*$L$11*I43*(1+0.01*E25)</f>
        <v>3179.047321</v>
      </c>
      <c r="K43" s="196">
        <f>J43*$J$8*$J$14*(1+$C$131*0.05)*(1+0.08*C120*D120)</f>
        <v>4986.858303</v>
      </c>
      <c r="L43" s="209">
        <f t="shared" ref="L43:L46" si="37">K43</f>
        <v>4986.858303</v>
      </c>
      <c r="M43" s="209">
        <f>K43*$L$12</f>
        <v>922.5687861</v>
      </c>
      <c r="N43" s="197">
        <v>-1.0</v>
      </c>
      <c r="O43" s="211">
        <v>10.0</v>
      </c>
      <c r="P43" s="204">
        <v>2.0</v>
      </c>
      <c r="Q43" s="196">
        <f t="shared" si="31"/>
        <v>0.983880796</v>
      </c>
      <c r="R43" s="204">
        <v>6.0</v>
      </c>
      <c r="S43" s="198">
        <f>IF(4*Q43&gt;=R43,4*Q43,(IF(5*Q43&gt;=R43,5*Q43,(IF(6*Q43&gt;=R43,6*Q43,(IF(7*Q43&gt;=R43,7*Q43,(8*Q43))))))))</f>
        <v>6.887165572</v>
      </c>
      <c r="T43" s="196">
        <f>MIN(1/S43,(L15-SUM(AB19:AB42)-SUM(AB44:AB56)-SUM(AB61:AB76))/2)*D87</f>
        <v>0</v>
      </c>
      <c r="U43" s="199">
        <f t="shared" si="32"/>
        <v>0</v>
      </c>
      <c r="V43" s="196">
        <f t="shared" si="33"/>
        <v>0</v>
      </c>
      <c r="W43" s="196">
        <f t="shared" si="34"/>
        <v>0</v>
      </c>
      <c r="X43" s="196">
        <f t="shared" ref="X43:X44" si="38">T43*M43</f>
        <v>0</v>
      </c>
      <c r="Y43" s="196">
        <f t="shared" si="35"/>
        <v>0</v>
      </c>
      <c r="Z43" s="196">
        <f>T43*N43</f>
        <v>0</v>
      </c>
      <c r="AA43" s="196">
        <f t="shared" si="36"/>
        <v>0</v>
      </c>
      <c r="AB43" s="196">
        <f>P43*T43</f>
        <v>0</v>
      </c>
    </row>
    <row r="44">
      <c r="A44" s="322" t="s">
        <v>117</v>
      </c>
      <c r="B44" s="276" t="s">
        <v>118</v>
      </c>
      <c r="C44" s="25">
        <f>Inputs!C46</f>
        <v>1</v>
      </c>
      <c r="D44" s="264">
        <f>Inputs!D46</f>
        <v>0</v>
      </c>
      <c r="G44" s="276" t="s">
        <v>335</v>
      </c>
      <c r="H44" s="263">
        <f>0.22</f>
        <v>0.22</v>
      </c>
      <c r="I44" s="255"/>
      <c r="J44" s="207">
        <f t="shared" ref="J44:J45" si="39">($J$6*(1+$E$116)*(1+$D$157)+$C$14*6)*H44*$J$10*$L$11</f>
        <v>1390.41055</v>
      </c>
      <c r="K44" s="196">
        <f>J44*$J$8*$J$14*(1+0.08*C120*D120)</f>
        <v>2077.226197</v>
      </c>
      <c r="L44" s="196">
        <f t="shared" si="37"/>
        <v>2077.226197</v>
      </c>
      <c r="M44" s="196">
        <f>K44*(1+$L$12)</f>
        <v>2461.513043</v>
      </c>
      <c r="N44" s="255"/>
      <c r="O44" s="255"/>
      <c r="P44" s="194"/>
      <c r="Q44" s="255"/>
      <c r="R44" s="197">
        <f>60/3</f>
        <v>20</v>
      </c>
      <c r="S44" s="196">
        <f>R44/1.13/$J$9</f>
        <v>11.60921293</v>
      </c>
      <c r="T44" s="196">
        <f>1/S44*IF($E$28=1,1,0)</f>
        <v>0</v>
      </c>
      <c r="U44" s="194"/>
      <c r="V44" s="196">
        <f t="shared" si="33"/>
        <v>0</v>
      </c>
      <c r="W44" s="196">
        <f t="shared" si="34"/>
        <v>0</v>
      </c>
      <c r="X44" s="196">
        <f t="shared" si="38"/>
        <v>0</v>
      </c>
      <c r="Y44" s="196">
        <f t="shared" si="35"/>
        <v>0</v>
      </c>
      <c r="Z44" s="194"/>
      <c r="AA44" s="194"/>
      <c r="AB44" s="194"/>
    </row>
    <row r="45">
      <c r="A45" s="97"/>
      <c r="B45" s="276" t="s">
        <v>119</v>
      </c>
      <c r="C45" s="25">
        <f>Inputs!C47</f>
        <v>1</v>
      </c>
      <c r="D45" s="78"/>
      <c r="G45" s="276" t="s">
        <v>336</v>
      </c>
      <c r="H45" s="253">
        <v>0.075</v>
      </c>
      <c r="I45" s="255"/>
      <c r="J45" s="207">
        <f t="shared" si="39"/>
        <v>474.0035965</v>
      </c>
      <c r="K45" s="209">
        <f>J45*$J$8*$J$14*(1+0.08*C120*D120)</f>
        <v>708.1452944</v>
      </c>
      <c r="L45" s="196">
        <f t="shared" si="37"/>
        <v>708.1452944</v>
      </c>
      <c r="M45" s="196">
        <f t="shared" ref="M45:M47" si="40">K45*$L$12</f>
        <v>131.0068795</v>
      </c>
      <c r="N45" s="255"/>
      <c r="O45" s="255"/>
      <c r="P45" s="194"/>
      <c r="Q45" s="255"/>
      <c r="R45" s="194"/>
      <c r="S45" s="194"/>
      <c r="T45" s="194"/>
      <c r="U45" s="194"/>
      <c r="V45" s="209">
        <f>IF(IF($E$28=2,1,0),1.13*(exp(6*12*J9/60)-1)*(1-(1-exp(-6*12*J9/60))^3)*K45/6,0)</f>
        <v>0</v>
      </c>
      <c r="W45" s="196">
        <f>V45</f>
        <v>0</v>
      </c>
      <c r="X45" s="196">
        <f>V45*$L$12</f>
        <v>0</v>
      </c>
      <c r="Y45" s="196">
        <f t="shared" si="35"/>
        <v>0</v>
      </c>
      <c r="Z45" s="194"/>
      <c r="AA45" s="194"/>
      <c r="AB45" s="194"/>
    </row>
    <row r="46">
      <c r="A46" s="97"/>
      <c r="B46" s="276" t="s">
        <v>120</v>
      </c>
      <c r="C46" s="25">
        <f>Inputs!C48</f>
        <v>2</v>
      </c>
      <c r="D46" s="78"/>
      <c r="G46" s="276" t="s">
        <v>337</v>
      </c>
      <c r="H46" s="253">
        <f>7.1545*1.2*1.2</f>
        <v>10.30248</v>
      </c>
      <c r="I46" s="204">
        <v>1.15</v>
      </c>
      <c r="J46" s="207">
        <f t="shared" ref="J46:J47" si="41">($J$6*(1+$E$116)*(1+$D$157)+169*15/120*$C$24+$C$14*6)*H46*$J$10*$L$11*I46*(1+0.01*$E$25)</f>
        <v>74878.99278</v>
      </c>
      <c r="K46" s="196">
        <f>J46*$J$8*$J$14*(1+C130*0.15*$B$19*(1+0.2*$C$63))*$H$135*(1+0.08*C120*D120)
</f>
        <v>111866.6752</v>
      </c>
      <c r="L46" s="196">
        <f t="shared" si="37"/>
        <v>111866.6752</v>
      </c>
      <c r="M46" s="196">
        <f t="shared" si="40"/>
        <v>20695.33492</v>
      </c>
      <c r="N46" s="194"/>
      <c r="O46" s="194"/>
      <c r="P46" s="194"/>
      <c r="Q46" s="194"/>
      <c r="R46" s="194"/>
      <c r="S46" s="194"/>
      <c r="T46" s="196">
        <f>T64*(3-C137)+T38</f>
        <v>0.01101321586</v>
      </c>
      <c r="U46" s="194"/>
      <c r="V46" s="196">
        <f t="shared" ref="V46:V47" si="42">T46*K46</f>
        <v>1232.011842</v>
      </c>
      <c r="W46" s="196">
        <f t="shared" ref="W46:W47" si="43">T46*L46</f>
        <v>1232.011842</v>
      </c>
      <c r="X46" s="196">
        <f t="shared" ref="X46:X48" si="44">T46*M46</f>
        <v>227.9221907</v>
      </c>
      <c r="Y46" s="196">
        <f t="shared" si="35"/>
        <v>182.3377526</v>
      </c>
      <c r="Z46" s="194"/>
      <c r="AA46" s="194"/>
      <c r="AB46" s="194"/>
    </row>
    <row r="47">
      <c r="A47" s="97"/>
      <c r="B47" s="276" t="s">
        <v>122</v>
      </c>
      <c r="C47" s="25">
        <f>Inputs!C49</f>
        <v>0</v>
      </c>
      <c r="D47" s="78"/>
      <c r="G47" s="276" t="s">
        <v>338</v>
      </c>
      <c r="H47" s="253">
        <f>3.91*1.2</f>
        <v>4.692</v>
      </c>
      <c r="I47" s="204">
        <v>1.15</v>
      </c>
      <c r="J47" s="207">
        <f t="shared" si="41"/>
        <v>34101.71475</v>
      </c>
      <c r="K47" s="196">
        <f>J47*$J$8*$C$152/SQRT(MAX(1,$C$152/8))*$J$14*(1+C130*0.15*$B$19*(1+0.2*$C$63))*$H$135*(1+0.08*C120*D120)
</f>
        <v>254734.0253</v>
      </c>
      <c r="L47" s="209">
        <f>K47/$C$152</f>
        <v>50946.80506</v>
      </c>
      <c r="M47" s="209">
        <f t="shared" si="40"/>
        <v>47125.79468</v>
      </c>
      <c r="N47" s="194"/>
      <c r="O47" s="194"/>
      <c r="P47" s="194"/>
      <c r="Q47" s="194"/>
      <c r="R47" s="194"/>
      <c r="S47" s="194"/>
      <c r="T47" s="196">
        <f>T64*(3-C137)+T38</f>
        <v>0.01101321586</v>
      </c>
      <c r="U47" s="194"/>
      <c r="V47" s="196">
        <f t="shared" si="42"/>
        <v>2805.440807</v>
      </c>
      <c r="W47" s="196">
        <f t="shared" si="43"/>
        <v>561.0881614</v>
      </c>
      <c r="X47" s="196">
        <f t="shared" si="44"/>
        <v>519.0065493</v>
      </c>
      <c r="Y47" s="196">
        <f t="shared" si="35"/>
        <v>415.2052395</v>
      </c>
      <c r="Z47" s="194"/>
      <c r="AA47" s="194"/>
      <c r="AB47" s="194"/>
    </row>
    <row r="48">
      <c r="A48" s="97"/>
      <c r="B48" s="276" t="s">
        <v>123</v>
      </c>
      <c r="C48" s="25">
        <f>Inputs!C50</f>
        <v>0</v>
      </c>
      <c r="D48" s="78"/>
      <c r="G48" s="276" t="s">
        <v>339</v>
      </c>
      <c r="H48" s="252"/>
      <c r="I48" s="203"/>
      <c r="J48" s="203"/>
      <c r="K48" s="255"/>
      <c r="L48" s="203"/>
      <c r="M48" s="196">
        <f>L7*0.2</f>
        <v>336578.92</v>
      </c>
      <c r="N48" s="194"/>
      <c r="O48" s="194"/>
      <c r="P48" s="194"/>
      <c r="Q48" s="194"/>
      <c r="R48" s="204">
        <v>120.0</v>
      </c>
      <c r="S48" s="198">
        <f t="shared" ref="S48:S50" si="45">R48+$C$151</f>
        <v>120.8</v>
      </c>
      <c r="T48" s="196">
        <f>1/S48*C34</f>
        <v>0</v>
      </c>
      <c r="U48" s="194"/>
      <c r="V48" s="194"/>
      <c r="W48" s="194"/>
      <c r="X48" s="196">
        <f t="shared" si="44"/>
        <v>0</v>
      </c>
      <c r="Y48" s="196">
        <f t="shared" si="35"/>
        <v>0</v>
      </c>
      <c r="Z48" s="194"/>
      <c r="AA48" s="194"/>
      <c r="AB48" s="194"/>
    </row>
    <row r="49">
      <c r="A49" s="97"/>
      <c r="B49" s="276" t="s">
        <v>125</v>
      </c>
      <c r="C49" s="25">
        <f>Inputs!C51</f>
        <v>2</v>
      </c>
      <c r="D49" s="78"/>
      <c r="G49" s="276" t="s">
        <v>196</v>
      </c>
      <c r="H49" s="252"/>
      <c r="I49" s="203"/>
      <c r="J49" s="203"/>
      <c r="K49" s="255"/>
      <c r="L49" s="203"/>
      <c r="M49" s="203"/>
      <c r="N49" s="194"/>
      <c r="O49" s="194"/>
      <c r="P49" s="256">
        <f>MIN(C90*C152,6)</f>
        <v>5</v>
      </c>
      <c r="Q49" s="196">
        <f t="shared" ref="Q49:Q51" si="46">1.5/$J$9</f>
        <v>0.983880796</v>
      </c>
      <c r="R49" s="204">
        <v>90.0</v>
      </c>
      <c r="S49" s="198">
        <f t="shared" si="45"/>
        <v>90.8</v>
      </c>
      <c r="T49" s="196">
        <f>1/S49*C103*D103</f>
        <v>0</v>
      </c>
      <c r="U49" s="199">
        <f t="shared" ref="U49:U51" si="47">T49*Q49</f>
        <v>0</v>
      </c>
      <c r="V49" s="194"/>
      <c r="W49" s="194"/>
      <c r="X49" s="194"/>
      <c r="Y49" s="194"/>
      <c r="Z49" s="194"/>
      <c r="AA49" s="194"/>
      <c r="AB49" s="196">
        <f>P49*T49</f>
        <v>0</v>
      </c>
    </row>
    <row r="50">
      <c r="A50" s="97"/>
      <c r="B50" s="276" t="s">
        <v>126</v>
      </c>
      <c r="C50" s="25">
        <f>Inputs!C52</f>
        <v>0</v>
      </c>
      <c r="D50" s="78"/>
      <c r="G50" s="276" t="s">
        <v>340</v>
      </c>
      <c r="H50" s="253">
        <v>3.78</v>
      </c>
      <c r="I50" s="203"/>
      <c r="J50" s="207">
        <f>($J$6*(1+$E$116)*(1+$D$157)+$C$14*6)*H50*$J$10*$L$11</f>
        <v>23889.78126</v>
      </c>
      <c r="K50" s="255"/>
      <c r="L50" s="203"/>
      <c r="M50" s="196">
        <f>J50*$J$8*$J$15</f>
        <v>30292.45038</v>
      </c>
      <c r="N50" s="194"/>
      <c r="O50" s="194"/>
      <c r="P50" s="194"/>
      <c r="Q50" s="196">
        <f t="shared" si="46"/>
        <v>0.983880796</v>
      </c>
      <c r="R50" s="197">
        <v>90.0</v>
      </c>
      <c r="S50" s="198">
        <f t="shared" si="45"/>
        <v>90.8</v>
      </c>
      <c r="T50" s="196">
        <f>1/S50*IF($E$29=2,1,0)</f>
        <v>0</v>
      </c>
      <c r="U50" s="199">
        <f t="shared" si="47"/>
        <v>0</v>
      </c>
      <c r="V50" s="194"/>
      <c r="W50" s="194"/>
      <c r="X50" s="196">
        <f>T50*M50</f>
        <v>0</v>
      </c>
      <c r="Y50" s="196">
        <f t="shared" ref="Y50:Y51" si="48">X50*(1-$C$144)</f>
        <v>0</v>
      </c>
      <c r="Z50" s="194"/>
      <c r="AA50" s="194"/>
      <c r="AB50" s="194"/>
    </row>
    <row r="51">
      <c r="A51" s="98"/>
      <c r="B51" s="276" t="s">
        <v>128</v>
      </c>
      <c r="C51" s="25">
        <f>Inputs!C53</f>
        <v>1</v>
      </c>
      <c r="D51" s="78"/>
      <c r="E51" s="2"/>
      <c r="G51" s="281" t="s">
        <v>175</v>
      </c>
      <c r="H51" s="253">
        <f>1.31112*1.2*1.25</f>
        <v>1.96668</v>
      </c>
      <c r="I51" s="204">
        <v>1.15</v>
      </c>
      <c r="J51" s="207">
        <f>($J$6*(1+$E$116)*(1+$D$157)+169*15/120*$C$24+$C$14*6)*H51*$J$10*$L$11*I51*(1+0.15*C93)</f>
        <v>14293.93869</v>
      </c>
      <c r="K51" s="196">
        <f>J51*$J$8*0.7*IF($C$152&lt;=5,IF($C$152&lt;3,$C$152,2+IF($C$43&gt;0,$C$152-2,0)*((14-5*C131*E137)/S40)),2+IF($C$43&gt;0,3,0)*((14-5*C131*E137)/S40))*$J$14*(1+0.08*C120*D120)</f>
        <v>74741.3084</v>
      </c>
      <c r="L51" s="196">
        <f>K51/IF($C$152&lt;=5,IF($C$152&lt;3,$C$152,2+IF($C$43&gt;0,$C$152-2,0)*((14-5*C131*E137)/S40)),2+IF($C$43&gt;0,3,0)*((14-5*C131*E137)/S40))</f>
        <v>14948.26168</v>
      </c>
      <c r="M51" s="196">
        <f>K51*$L$12+IF($C$152&lt;=5,IF($C$152&lt;3,$C$152,2+IF($C$43&gt;0,$C$152-2,0)*((14-5*C131*E137)/S40)),2+IF($C$43&gt;0,3,0)*((14-5*C131*E137)/S40))*$L$7*0.0025*$C$95</f>
        <v>13827.14205</v>
      </c>
      <c r="N51" s="197">
        <v>-1.0</v>
      </c>
      <c r="O51" s="196">
        <f>(15+2*C96*IF($C$152&lt;=5,IF($C$152&lt;3,$C$152,2+IF(C43&gt;0,$C$152-2,0)*IF(D100=2,(1-T40*(1-(0.75)^((5+(H15/2))/H15))/(1+3*(1-(0.75)^((5+(H15/2))/H15))*C82)/(1-(0.75)^((5+(H15/2))/H15))),((14-5*C131*E137)/S40))+2*(1-IF(D100=2,(1-T40*(1-(0.75)^((5+(H15/2))/H15))/(1+3*(1-(0.75)^((5+(H15/2))/H15))*C82)/(1-(0.75)^((5+(H15/2))/H15))),((14-5*C131*E137)/S40)))),2+IF(C43&gt;0,3,0)*IF(D100=2,(1-T40*(1-(0.75)^((5+(H15/2))/H15))/(1+3*(1-(0.75)^((5+(H15/2))/H15))*C82)/(1-(0.75)^((5+(H15/2))/H15))),((14-5*C131*E137)/S40))+2*(1-IF(D100=2,(1-T40*(1-(0.75)^((5+(H15/2))/H15))/(1+3*(1-(0.75)^((5+(H15/2))/H15))*C82)/(1-(0.75)^((5+(H15/2))/H15))),((14-5*C131*E137)/S40)))))</f>
        <v>25</v>
      </c>
      <c r="P51" s="194"/>
      <c r="Q51" s="196">
        <f t="shared" si="46"/>
        <v>0.983880796</v>
      </c>
      <c r="R51" s="194"/>
      <c r="S51" s="194"/>
      <c r="T51" s="196">
        <f>MIN(($L$9+SUM(Z19:Z50)+SUM(Z52:Z76))/(-N51),MAX((1-SUM(U18:U41,U43:U50,U52:U76)+SUM(AA19:AA41,AA43:AA50,AA52:AA76)/O42*Q42)/Q51*(-O42/(O51-O42)),0))</f>
        <v>0.4003060619</v>
      </c>
      <c r="U51" s="199">
        <f t="shared" si="47"/>
        <v>0.3938534468</v>
      </c>
      <c r="V51" s="196">
        <f>(T51-T74+3*(1-C131*T38*(8+C110*4))*C116/(9/(1/(0.5+(2/((L14+0.3*(1-(1-(T38*(8+C110*4)))*(1-IF(C127&gt;3,1,0)*(1-0.875^(8*(T40+T43+T51+T57+T63)))))))-1+IF(C152=1,0.5,0))/C152))+9/(1/(0.5+(2/((L14+0.3*(1-(1-(T38*(8+C110*4)))*(1-IF(C127&gt;3,1,0)*(1-0.875^(8*(T40+T43+T51+T57+T63)))))))-1+IF(C152=1,0.5,0))/C152))/2*((0.8/3^(C152-1))/(1-(0.8/3^(C152-1))))+6)+1.5*(1-C131*(T38*(8+C110*4))/(1-(1-(T38*(8+C110*4)))*(1-IF(C127&gt;3,1,0)*(1-0.875^(8*(T40+T43+T51+T57+T63))))))*F127)*K51</f>
        <v>39302.00321</v>
      </c>
      <c r="W51" s="196">
        <f>(T51-T74+3*(1-C131*T38*(8+C110*4))*C116/(9/(1/(0.5+(2/((L14+0.3*(1-(1-(T38*(8+C110*4)))*(1-IF(C127&gt;3,1,0)*(1-0.875^(8*(T40+T43+T51+T57+T63)))))))-1+IF(C152=1,0.5,0))/C152))+9/(1/(0.5+(2/((L14+0.3*(1-(1-(T38*(8+C110*4)))*(1-IF(C127&gt;3,1,0)*(1-0.875^(8*(T40+T43+T51+T57+T63)))))))-1+IF(C152=1,0.5,0))/C152))/2*((0.8/3^(C152-1))/(1-(0.8/3^(C152-1))))+6)+1.5*(1-C131*(T38*(8+C110*4))/(1-(1-(T38*(8+C110*4)))*(1-IF(C127&gt;3,1,0)*(1-0.875^(8*(T40+T43+T51+T57+T63))))))*F127)*L51</f>
        <v>7860.400642</v>
      </c>
      <c r="X51" s="196">
        <f>(T51-T74)*M51</f>
        <v>2877.13945</v>
      </c>
      <c r="Y51" s="196">
        <f t="shared" si="48"/>
        <v>2301.71156</v>
      </c>
      <c r="Z51" s="196">
        <f>T51*N51</f>
        <v>-0.4003060619</v>
      </c>
      <c r="AA51" s="196">
        <f>T51*O51</f>
        <v>10.00765155</v>
      </c>
      <c r="AB51" s="194"/>
    </row>
    <row r="52">
      <c r="A52" s="329" t="s">
        <v>129</v>
      </c>
      <c r="B52" s="276" t="s">
        <v>130</v>
      </c>
      <c r="C52" s="25">
        <f>Inputs!C54</f>
        <v>1</v>
      </c>
      <c r="D52" s="78"/>
      <c r="G52" s="281" t="s">
        <v>109</v>
      </c>
      <c r="H52" s="27"/>
      <c r="I52" s="194"/>
      <c r="J52" s="203"/>
      <c r="K52" s="195">
        <f>IF($C$152&lt;=5,IF($C$152&lt;3,$C$152,2+IF($C$43&gt;0,$C$152-2,0)*((14-5*C131*E137)/S40)),2+IF($C$43&gt;0,3,0)*((14-5*C131*E137)/S40))</f>
        <v>5</v>
      </c>
      <c r="L52" s="195"/>
      <c r="M52" s="195"/>
      <c r="N52" s="194"/>
      <c r="O52" s="194"/>
      <c r="P52" s="194"/>
      <c r="Q52" s="194"/>
      <c r="R52" s="204">
        <v>120.0</v>
      </c>
      <c r="S52" s="204">
        <v>120.0</v>
      </c>
      <c r="T52" s="196">
        <f>1/S52*C38*C149</f>
        <v>0.008333333333</v>
      </c>
      <c r="U52" s="194"/>
      <c r="V52" s="195"/>
      <c r="W52" s="195"/>
      <c r="X52" s="195"/>
      <c r="Y52" s="195"/>
      <c r="Z52" s="195"/>
      <c r="AA52" s="195"/>
      <c r="AB52" s="194"/>
    </row>
    <row r="53">
      <c r="A53" s="97"/>
      <c r="B53" s="276" t="s">
        <v>132</v>
      </c>
      <c r="C53" s="25">
        <f>Inputs!C55</f>
        <v>0</v>
      </c>
      <c r="D53" s="78"/>
      <c r="G53" s="276" t="s">
        <v>342</v>
      </c>
      <c r="H53" s="27"/>
      <c r="I53" s="194"/>
      <c r="J53" s="207">
        <f>J29*0.2</f>
        <v>4580.41386</v>
      </c>
      <c r="K53" s="196">
        <f>J53*$J$8*IF($C$152&lt;=5,IF($C$152&lt;3,$C$152,IF($C$43&gt;0,$C$152,2)*(14-5*C131*E137)/$S$40+2*($S$40-(14-5*C131*E137))/$S$40),IF($C$43&gt;0,5,2)*(14-5*C131*E137)/$S$40+2*($S$40-(14-5*C131*E137))/$S$40)*$J$14*(1+$C$131*0.05)*(1+0.08*C120*D120)</f>
        <v>35925.6604</v>
      </c>
      <c r="L53" s="196">
        <f>K53/IF($C$152&lt;=5,IF($C$152&lt;3,$C$152,IF($C$43&gt;0,$C$152,2)*(14-5*C131*E137)/$S$40+2*($S$40-(14-5*C131*E137))/$S$40),IF($C$43&gt;0,5,2)*(14-5*C131*E137)/$S$40+2*($S$40-(14-5*C131*E137))/$S$40)</f>
        <v>7185.13208</v>
      </c>
      <c r="M53" s="209">
        <f>K53*$L$12</f>
        <v>6646.247174</v>
      </c>
      <c r="N53" s="194"/>
      <c r="O53" s="194"/>
      <c r="P53" s="194"/>
      <c r="Q53" s="194"/>
      <c r="R53" s="194"/>
      <c r="S53" s="194"/>
      <c r="T53" s="196">
        <f>C131*T74</f>
        <v>0.1922269492</v>
      </c>
      <c r="U53" s="194"/>
      <c r="V53" s="196">
        <f>T53*K53*C131</f>
        <v>6905.880095</v>
      </c>
      <c r="W53" s="196">
        <f>T53*L53*C131</f>
        <v>1381.176019</v>
      </c>
      <c r="X53" s="196">
        <f>T53*M53*C131</f>
        <v>1277.587818</v>
      </c>
      <c r="Y53" s="196">
        <f>X53*(1-$C$144)</f>
        <v>1022.070254</v>
      </c>
      <c r="Z53" s="195"/>
      <c r="AA53" s="195"/>
      <c r="AB53" s="194"/>
    </row>
    <row r="54">
      <c r="A54" s="97"/>
      <c r="B54" s="276" t="s">
        <v>133</v>
      </c>
      <c r="C54" s="25">
        <f>Inputs!C56</f>
        <v>1</v>
      </c>
      <c r="D54" s="78"/>
      <c r="G54" s="276" t="s">
        <v>343</v>
      </c>
      <c r="H54" s="27"/>
      <c r="I54" s="278"/>
      <c r="J54" s="194"/>
      <c r="K54" s="194"/>
      <c r="L54" s="255"/>
      <c r="M54" s="255"/>
      <c r="N54" s="194"/>
      <c r="O54" s="194"/>
      <c r="P54" s="194"/>
      <c r="Q54" s="194"/>
      <c r="R54" s="197">
        <v>120.0</v>
      </c>
      <c r="S54" s="256">
        <f>120-30*C130*C138-30*C72</f>
        <v>120</v>
      </c>
      <c r="T54" s="196">
        <f>1/S54*C149</f>
        <v>0.008333333333</v>
      </c>
      <c r="U54" s="194"/>
      <c r="V54" s="195"/>
      <c r="W54" s="255"/>
      <c r="X54" s="255"/>
      <c r="Y54" s="255"/>
      <c r="Z54" s="195"/>
      <c r="AA54" s="195"/>
      <c r="AB54" s="194"/>
    </row>
    <row r="55">
      <c r="A55" s="97"/>
      <c r="B55" s="276" t="s">
        <v>134</v>
      </c>
      <c r="C55" s="25">
        <f>Inputs!C57</f>
        <v>1</v>
      </c>
      <c r="D55" s="78"/>
      <c r="G55" s="276" t="s">
        <v>204</v>
      </c>
      <c r="H55" s="27"/>
      <c r="I55" s="194"/>
      <c r="J55" s="194"/>
      <c r="K55" s="194"/>
      <c r="L55" s="255"/>
      <c r="M55" s="196">
        <f>M42*0.2/(1+C99*0.08*MIN((T25+C108*T51*(1-(1-0.15)*(1-0.15*MAX(4,C152-1))))/T42*C152,5))</f>
        <v>136381.7865</v>
      </c>
      <c r="N55" s="194"/>
      <c r="O55" s="194"/>
      <c r="P55" s="194"/>
      <c r="Q55" s="194"/>
      <c r="R55" s="194"/>
      <c r="S55" s="194"/>
      <c r="T55" s="196">
        <f>T42*C109</f>
        <v>0.4013494365</v>
      </c>
      <c r="U55" s="194"/>
      <c r="V55" s="255"/>
      <c r="W55" s="255"/>
      <c r="X55" s="196">
        <f t="shared" ref="X55:X57" si="49">T55*M55</f>
        <v>54736.75318</v>
      </c>
      <c r="Y55" s="196">
        <f t="shared" ref="Y55:Y57" si="50">X55*(1-$C$144)</f>
        <v>43789.40255</v>
      </c>
      <c r="Z55" s="195"/>
      <c r="AA55" s="195"/>
      <c r="AB55" s="194"/>
    </row>
    <row r="56">
      <c r="A56" s="97"/>
      <c r="B56" s="276" t="s">
        <v>135</v>
      </c>
      <c r="C56" s="25">
        <f>Inputs!C58</f>
        <v>0</v>
      </c>
      <c r="D56" s="78"/>
      <c r="G56" s="276" t="s">
        <v>344</v>
      </c>
      <c r="H56" s="253">
        <v>4.2</v>
      </c>
      <c r="I56" s="194"/>
      <c r="J56" s="207">
        <f>($J$6*(1+$E$116)*(1+$D$157)+$C$14*6)*H56*$J$10*$L$11</f>
        <v>26544.2014</v>
      </c>
      <c r="K56" s="196">
        <f>J56*$J$8*$C$152/SQRT(MAX(1,$C$152/8))*$J$14*(1+0.08*C120*D120)
</f>
        <v>198280.6824</v>
      </c>
      <c r="L56" s="196">
        <f>K56/$C$152</f>
        <v>39656.13648</v>
      </c>
      <c r="M56" s="196">
        <f t="shared" ref="M56:M57" si="51">K56*$L$12</f>
        <v>36681.92625</v>
      </c>
      <c r="N56" s="194"/>
      <c r="O56" s="194"/>
      <c r="P56" s="194"/>
      <c r="Q56" s="196">
        <f t="shared" ref="Q56:Q57" si="52">1.5/$J$9</f>
        <v>0.983880796</v>
      </c>
      <c r="R56" s="204">
        <v>150.0</v>
      </c>
      <c r="S56" s="198">
        <f>R56+$C$151</f>
        <v>150.8</v>
      </c>
      <c r="T56" s="196">
        <f>1/S56*E31</f>
        <v>0</v>
      </c>
      <c r="U56" s="199">
        <f t="shared" ref="U56:U57" si="53">T56*Q56</f>
        <v>0</v>
      </c>
      <c r="V56" s="196">
        <f t="shared" ref="V56:V57" si="54">T56*K56</f>
        <v>0</v>
      </c>
      <c r="W56" s="196">
        <f t="shared" ref="W56:W57" si="55">T56*L56</f>
        <v>0</v>
      </c>
      <c r="X56" s="196">
        <f t="shared" si="49"/>
        <v>0</v>
      </c>
      <c r="Y56" s="196">
        <f t="shared" si="50"/>
        <v>0</v>
      </c>
      <c r="Z56" s="195"/>
      <c r="AA56" s="195"/>
      <c r="AB56" s="194"/>
    </row>
    <row r="57">
      <c r="A57" s="97"/>
      <c r="B57" s="276" t="s">
        <v>136</v>
      </c>
      <c r="C57" s="25">
        <f>Inputs!C59</f>
        <v>1</v>
      </c>
      <c r="D57" s="78"/>
      <c r="G57" s="281" t="s">
        <v>176</v>
      </c>
      <c r="H57" s="253">
        <f>1.471*1.5</f>
        <v>2.2065</v>
      </c>
      <c r="I57" s="204">
        <v>1.15</v>
      </c>
      <c r="J57" s="207">
        <f>($J$6*(1+$E$116)*(1+$D$157)+169*15/120*$C$24+$C$14*6)*H57*$J$10*$L$11*I57</f>
        <v>16036.96368</v>
      </c>
      <c r="K57" s="196">
        <f>J57*$J$8*0.7*$J$14*(1+0.08*C120*D120)
</f>
        <v>16771.07582</v>
      </c>
      <c r="L57" s="196">
        <f>K57</f>
        <v>16771.07582</v>
      </c>
      <c r="M57" s="196">
        <f t="shared" si="51"/>
        <v>3102.649027</v>
      </c>
      <c r="N57" s="197">
        <v>-2.0</v>
      </c>
      <c r="O57" s="211">
        <f>20</f>
        <v>20</v>
      </c>
      <c r="P57" s="204">
        <v>3.0</v>
      </c>
      <c r="Q57" s="196">
        <f t="shared" si="52"/>
        <v>0.983880796</v>
      </c>
      <c r="R57" s="194"/>
      <c r="S57" s="194"/>
      <c r="T57" s="196">
        <f>MAX((L15-SUM(AB19:AB56)-SUM(AB58:AB76))/3,T47)</f>
        <v>0.0906193372</v>
      </c>
      <c r="U57" s="199">
        <f t="shared" si="53"/>
        <v>0.08915862562</v>
      </c>
      <c r="V57" s="196">
        <f t="shared" si="54"/>
        <v>1519.783775</v>
      </c>
      <c r="W57" s="196">
        <f t="shared" si="55"/>
        <v>1519.783775</v>
      </c>
      <c r="X57" s="196">
        <f t="shared" si="49"/>
        <v>281.1599984</v>
      </c>
      <c r="Y57" s="196">
        <f t="shared" si="50"/>
        <v>224.9279987</v>
      </c>
      <c r="Z57" s="196">
        <f>(T57-T47/(2))*N57</f>
        <v>-0.1702254585</v>
      </c>
      <c r="AA57" s="196">
        <f t="shared" ref="AA57:AA58" si="56">T57*O57</f>
        <v>1.812386744</v>
      </c>
      <c r="AB57" s="196">
        <f>P57*T57</f>
        <v>0.2718580116</v>
      </c>
    </row>
    <row r="58">
      <c r="A58" s="97"/>
      <c r="B58" s="276" t="s">
        <v>137</v>
      </c>
      <c r="C58" s="25">
        <f>Inputs!C60</f>
        <v>0</v>
      </c>
      <c r="D58" s="78"/>
      <c r="G58" s="276" t="s">
        <v>118</v>
      </c>
      <c r="H58" s="279"/>
      <c r="I58" s="278"/>
      <c r="J58" s="195"/>
      <c r="K58" s="195"/>
      <c r="L58" s="195"/>
      <c r="M58" s="195"/>
      <c r="N58" s="195"/>
      <c r="O58" s="196">
        <f>10*C52</f>
        <v>10</v>
      </c>
      <c r="P58" s="194"/>
      <c r="Q58" s="194"/>
      <c r="R58" s="204">
        <v>15.0</v>
      </c>
      <c r="S58" s="256">
        <f>R58-3*C52</f>
        <v>12</v>
      </c>
      <c r="T58" s="196">
        <f>1/S58*D44*C44</f>
        <v>0</v>
      </c>
      <c r="U58" s="194"/>
      <c r="V58" s="194"/>
      <c r="W58" s="194"/>
      <c r="X58" s="194"/>
      <c r="Y58" s="194"/>
      <c r="Z58" s="194"/>
      <c r="AA58" s="196">
        <f t="shared" si="56"/>
        <v>0</v>
      </c>
      <c r="AB58" s="194"/>
    </row>
    <row r="59">
      <c r="A59" s="329" t="s">
        <v>138</v>
      </c>
      <c r="B59" s="276" t="s">
        <v>139</v>
      </c>
      <c r="C59" s="25">
        <f>Inputs!C61</f>
        <v>1</v>
      </c>
      <c r="D59" s="264">
        <f>Inputs!D61</f>
        <v>0.9</v>
      </c>
      <c r="E59" s="2"/>
      <c r="G59" s="276" t="s">
        <v>249</v>
      </c>
      <c r="H59" s="27"/>
      <c r="I59" s="278"/>
      <c r="J59" s="194"/>
      <c r="K59" s="256">
        <f>SUM(V25,V26,K28/10*C118,V29,V35,V40,V43,V53,K68/10*C123,IF(C131=1,V74*T51/T74,0))*10*0.15*0.15*$C$152/SQRT(MAX(1,$C$152/8))*(1+$C$131*0.05*MIN(1,5/$C$152))*J10*(1+0.08*C120*D120)</f>
        <v>174991.3296</v>
      </c>
      <c r="L59" s="209">
        <f>K59/$C$152</f>
        <v>34998.26592</v>
      </c>
      <c r="M59" s="196">
        <f>K59/((1+$C$131*0.05*MIN(1,5/$C$152)))/$C$152</f>
        <v>33331.68183</v>
      </c>
      <c r="N59" s="195"/>
      <c r="O59" s="195"/>
      <c r="P59" s="194"/>
      <c r="Q59" s="194"/>
      <c r="R59" s="194"/>
      <c r="S59" s="194"/>
      <c r="T59" s="196">
        <f>T24*C131*E141</f>
        <v>0.01101321586</v>
      </c>
      <c r="U59" s="278"/>
      <c r="V59" s="196">
        <f>T59*K59</f>
        <v>1927.217286</v>
      </c>
      <c r="W59" s="196">
        <f>T59*L59</f>
        <v>385.4434572</v>
      </c>
      <c r="X59" s="196">
        <f>T59*M59</f>
        <v>367.0890069</v>
      </c>
      <c r="Y59" s="196">
        <f>X59*(1-$C$144)</f>
        <v>293.6712055</v>
      </c>
      <c r="Z59" s="194"/>
      <c r="AA59" s="194"/>
      <c r="AB59" s="194"/>
    </row>
    <row r="60">
      <c r="A60" s="97"/>
      <c r="B60" s="276" t="s">
        <v>140</v>
      </c>
      <c r="C60" s="25">
        <f>Inputs!C62</f>
        <v>1</v>
      </c>
      <c r="D60" s="78"/>
      <c r="G60" s="276" t="s">
        <v>133</v>
      </c>
      <c r="H60" s="27"/>
      <c r="I60" s="278"/>
      <c r="J60" s="194"/>
      <c r="K60" s="194"/>
      <c r="L60" s="195"/>
      <c r="M60" s="196">
        <f>K23*0.5*(1+0.15*C46)*(1+C130)</f>
        <v>9666.183268</v>
      </c>
      <c r="N60" s="195"/>
      <c r="O60" s="195"/>
      <c r="P60" s="194"/>
      <c r="Q60" s="194"/>
      <c r="R60" s="194"/>
      <c r="S60" s="194"/>
      <c r="T60" s="196">
        <f>T23*C54</f>
        <v>0.7253739295</v>
      </c>
      <c r="U60" s="278"/>
      <c r="V60" s="194"/>
      <c r="W60" s="194"/>
      <c r="X60" s="196">
        <f>T60*M60+C130*T47*(K46+K47)*0.1*(1+0.15*C46)*C54</f>
        <v>7011.59734</v>
      </c>
      <c r="Y60" s="196">
        <f>X60</f>
        <v>7011.59734</v>
      </c>
      <c r="Z60" s="194"/>
      <c r="AA60" s="194"/>
      <c r="AB60" s="194"/>
    </row>
    <row r="61">
      <c r="A61" s="97"/>
      <c r="B61" s="276" t="s">
        <v>141</v>
      </c>
      <c r="C61" s="25">
        <f>Inputs!C63</f>
        <v>1</v>
      </c>
      <c r="D61" s="264">
        <f>Inputs!D63</f>
        <v>0</v>
      </c>
      <c r="G61" s="276" t="s">
        <v>111</v>
      </c>
      <c r="H61" s="218">
        <f>0.5875*2/6*1.075</f>
        <v>0.2105208333</v>
      </c>
      <c r="I61" s="204">
        <v>1.0</v>
      </c>
      <c r="J61" s="219">
        <f>($J$6*(1+$E$116)*(1+$D$157)+169*15/120*$C$24+$C$14*6)*H61*$J$10*$L$11*I61*(1+0.01*C24)</f>
        <v>1330.501762</v>
      </c>
      <c r="K61" s="196">
        <f>J61*$J$8*0.7*(INT($J$9*60/2+1)+(60*$J$9*10+25)/40*1.35)*$J$14*(1+$C$131*0.05)</f>
        <v>110021.2222</v>
      </c>
      <c r="L61" s="196">
        <f t="shared" ref="L61:L65" si="57">K61</f>
        <v>110021.2222</v>
      </c>
      <c r="M61" s="195"/>
      <c r="N61" s="195"/>
      <c r="O61" s="195"/>
      <c r="P61" s="194"/>
      <c r="Q61" s="194"/>
      <c r="R61" s="197">
        <v>120.0</v>
      </c>
      <c r="S61" s="256">
        <f>120-30*C130*C138</f>
        <v>120</v>
      </c>
      <c r="T61" s="196">
        <f>1/S61*C40</f>
        <v>0.008333333333</v>
      </c>
      <c r="U61" s="194"/>
      <c r="V61" s="196">
        <f t="shared" ref="V61:V65" si="58">T61*K61</f>
        <v>916.8435181</v>
      </c>
      <c r="W61" s="196">
        <f t="shared" ref="W61:W65" si="59">T61*L61</f>
        <v>916.8435181</v>
      </c>
      <c r="X61" s="194"/>
      <c r="Y61" s="194"/>
      <c r="Z61" s="194"/>
      <c r="AA61" s="194"/>
      <c r="AB61" s="194"/>
    </row>
    <row r="62">
      <c r="A62" s="97"/>
      <c r="B62" s="276" t="s">
        <v>142</v>
      </c>
      <c r="C62" s="25">
        <f>Inputs!C64</f>
        <v>0</v>
      </c>
      <c r="D62" s="78"/>
      <c r="G62" s="276" t="s">
        <v>72</v>
      </c>
      <c r="H62" s="253">
        <v>0.01127</v>
      </c>
      <c r="I62" s="204">
        <v>1.15</v>
      </c>
      <c r="J62" s="207">
        <f>($J$6*(1+$E$116)*(1+$D$157)+169*15/120*$C$24+$C$14*6)*H62*$J$10*$L$11*I62*(1+0.01*E25)</f>
        <v>81.9109815</v>
      </c>
      <c r="K62" s="209">
        <f>J62*$J$8*$J$14*(1+0.2*C63)*(1+0.08*C120*D120)*(1+0.15*$B$19*(1+0.2*$C$63))</f>
        <v>146.8466734</v>
      </c>
      <c r="L62" s="196">
        <f t="shared" si="57"/>
        <v>146.8466734</v>
      </c>
      <c r="M62" s="196">
        <f t="shared" ref="M62:M65" si="60">K62*$L$12</f>
        <v>27.16663458</v>
      </c>
      <c r="N62" s="194"/>
      <c r="O62" s="194"/>
      <c r="P62" s="194"/>
      <c r="Q62" s="194"/>
      <c r="R62" s="194"/>
      <c r="S62" s="194"/>
      <c r="T62" s="196">
        <f>$B$19*(T23+T35*$C$152+T42*MIN((C152-1)*C106+1,2*C106+1)+T51*IF($C$152&lt;=5,IF($C$152&lt;3,$C$152,2+IF(C43&gt;0,$C$152-2,0)*10/S40+2*(S40-10)/S40),2+IF(C43&gt;0,3,0)*10/S40+2*(S40-10)/S40)+T57)</f>
        <v>0</v>
      </c>
      <c r="U62" s="194"/>
      <c r="V62" s="196">
        <f t="shared" si="58"/>
        <v>0</v>
      </c>
      <c r="W62" s="196">
        <f t="shared" si="59"/>
        <v>0</v>
      </c>
      <c r="X62" s="196">
        <f t="shared" ref="X62:X66" si="61">T62*M62</f>
        <v>0</v>
      </c>
      <c r="Y62" s="196">
        <f t="shared" ref="Y62:Y66" si="62">X62*(1-$C$144)</f>
        <v>0</v>
      </c>
      <c r="Z62" s="194"/>
      <c r="AA62" s="194"/>
      <c r="AB62" s="194"/>
    </row>
    <row r="63">
      <c r="A63" s="97"/>
      <c r="B63" s="276" t="s">
        <v>143</v>
      </c>
      <c r="C63" s="25">
        <f>Inputs!C65</f>
        <v>1</v>
      </c>
      <c r="D63" s="78"/>
      <c r="G63" s="276" t="s">
        <v>345</v>
      </c>
      <c r="H63" s="253">
        <f>3.07125*1.2*1.2</f>
        <v>4.4226</v>
      </c>
      <c r="I63" s="204">
        <v>1.15</v>
      </c>
      <c r="J63" s="207">
        <f>($J$6*(1+$E$116)*(1+$D$157)+169*15/120*$C$24+$C$14*6)*H63*$J$10*$L$11*I63*(1+0.01*E25)*1.05</f>
        <v>33750.88572</v>
      </c>
      <c r="K63" s="196">
        <f>J63*$J$8*$J$14*(1+0.15*$B$19*(1+0.2*$C$63))*(1+0.08*C120*D120)</f>
        <v>50422.6784</v>
      </c>
      <c r="L63" s="196">
        <f t="shared" si="57"/>
        <v>50422.6784</v>
      </c>
      <c r="M63" s="196">
        <f t="shared" si="60"/>
        <v>9328.195504</v>
      </c>
      <c r="N63" s="197">
        <v>-2.0</v>
      </c>
      <c r="O63" s="211">
        <f>20</f>
        <v>20</v>
      </c>
      <c r="P63" s="204">
        <f>3</f>
        <v>3</v>
      </c>
      <c r="Q63" s="196">
        <f>1.5/$J$9</f>
        <v>0.983880796</v>
      </c>
      <c r="R63" s="204">
        <v>45.0</v>
      </c>
      <c r="S63" s="198">
        <f>2*R63/(2+C137)+$C$151</f>
        <v>45.8</v>
      </c>
      <c r="T63" s="196">
        <f>1/S63*C130</f>
        <v>0</v>
      </c>
      <c r="U63" s="199">
        <f>T63*Q63</f>
        <v>0</v>
      </c>
      <c r="V63" s="196">
        <f t="shared" si="58"/>
        <v>0</v>
      </c>
      <c r="W63" s="196">
        <f t="shared" si="59"/>
        <v>0</v>
      </c>
      <c r="X63" s="196">
        <f t="shared" si="61"/>
        <v>0</v>
      </c>
      <c r="Y63" s="196">
        <f t="shared" si="62"/>
        <v>0</v>
      </c>
      <c r="Z63" s="196">
        <f>T63*N63</f>
        <v>0</v>
      </c>
      <c r="AA63" s="196">
        <f>T63*O63</f>
        <v>0</v>
      </c>
      <c r="AB63" s="196">
        <f>P63*T63</f>
        <v>0</v>
      </c>
    </row>
    <row r="64">
      <c r="A64" s="329" t="s">
        <v>144</v>
      </c>
      <c r="B64" s="276" t="s">
        <v>145</v>
      </c>
      <c r="C64" s="25">
        <f>Inputs!C66</f>
        <v>0</v>
      </c>
      <c r="D64" s="78"/>
      <c r="G64" s="276" t="s">
        <v>346</v>
      </c>
      <c r="H64" s="253">
        <f>0.3779*1.2</f>
        <v>0.45348</v>
      </c>
      <c r="I64" s="204">
        <v>1.15</v>
      </c>
      <c r="J64" s="207">
        <f>($J$6*(1+$E$116)*(1+$D$157)+169*15/120*$C$24+$C$14*6)*H64*$J$10*$L$11*I64*(1+0.01*E25)*1.05</f>
        <v>3460.71353</v>
      </c>
      <c r="K64" s="196">
        <f>J64*$J$8*$J$14*(1+0.15*$B$19*(1+0.2*$C$63))*$H$134*(1+0.15)*(1+0.05*(1+H8))*(1+0.08*C120*D120)</f>
        <v>252327.1781</v>
      </c>
      <c r="L64" s="196">
        <f t="shared" si="57"/>
        <v>252327.1781</v>
      </c>
      <c r="M64" s="196">
        <f t="shared" si="60"/>
        <v>46680.52794</v>
      </c>
      <c r="N64" s="194"/>
      <c r="O64" s="194"/>
      <c r="P64" s="194"/>
      <c r="Q64" s="194"/>
      <c r="R64" s="194"/>
      <c r="S64" s="194"/>
      <c r="T64" s="196">
        <f>T63</f>
        <v>0</v>
      </c>
      <c r="U64" s="194"/>
      <c r="V64" s="196">
        <f t="shared" si="58"/>
        <v>0</v>
      </c>
      <c r="W64" s="196">
        <f t="shared" si="59"/>
        <v>0</v>
      </c>
      <c r="X64" s="196">
        <f t="shared" si="61"/>
        <v>0</v>
      </c>
      <c r="Y64" s="196">
        <f t="shared" si="62"/>
        <v>0</v>
      </c>
      <c r="Z64" s="194"/>
      <c r="AA64" s="194"/>
      <c r="AB64" s="194"/>
    </row>
    <row r="65">
      <c r="A65" s="97"/>
      <c r="B65" s="276" t="s">
        <v>146</v>
      </c>
      <c r="C65" s="25">
        <f>Inputs!C67</f>
        <v>0</v>
      </c>
      <c r="D65" s="78"/>
      <c r="G65" s="281" t="s">
        <v>347</v>
      </c>
      <c r="H65" s="263">
        <v>0.5</v>
      </c>
      <c r="I65" s="194"/>
      <c r="J65" s="219">
        <f>(360+343*0.429/0.5*(1+0.05*C21)+$J$6*(1+$E$116)*(1+$D$157)+$C$14*6)*H65*$J$10*$L$11</f>
        <v>3659.252546</v>
      </c>
      <c r="K65" s="209">
        <f>J65*$J$8*$J$14*(1+0.08*C120*D120)</f>
        <v>5466.799177</v>
      </c>
      <c r="L65" s="196">
        <f t="shared" si="57"/>
        <v>5466.799177</v>
      </c>
      <c r="M65" s="196">
        <f t="shared" si="60"/>
        <v>1011.357848</v>
      </c>
      <c r="N65" s="194"/>
      <c r="O65" s="194"/>
      <c r="P65" s="194"/>
      <c r="Q65" s="196">
        <f>1.5/$J$9</f>
        <v>0.983880796</v>
      </c>
      <c r="R65" s="197">
        <v>90.0</v>
      </c>
      <c r="S65" s="198">
        <f>R65+$C$151</f>
        <v>90.8</v>
      </c>
      <c r="T65" s="196">
        <f>1/S65*C29</f>
        <v>0</v>
      </c>
      <c r="U65" s="199">
        <f>T65*Q65</f>
        <v>0</v>
      </c>
      <c r="V65" s="196">
        <f t="shared" si="58"/>
        <v>0</v>
      </c>
      <c r="W65" s="196">
        <f t="shared" si="59"/>
        <v>0</v>
      </c>
      <c r="X65" s="196">
        <f t="shared" si="61"/>
        <v>0</v>
      </c>
      <c r="Y65" s="196">
        <f t="shared" si="62"/>
        <v>0</v>
      </c>
      <c r="Z65" s="194"/>
      <c r="AA65" s="194"/>
      <c r="AB65" s="194"/>
    </row>
    <row r="66">
      <c r="A66" s="97"/>
      <c r="B66" s="276" t="s">
        <v>147</v>
      </c>
      <c r="C66" s="25">
        <f>Inputs!C68</f>
        <v>1</v>
      </c>
      <c r="D66" s="78"/>
      <c r="E66" s="2"/>
      <c r="G66" s="276" t="s">
        <v>348</v>
      </c>
      <c r="H66" s="27"/>
      <c r="I66" s="194"/>
      <c r="J66" s="194"/>
      <c r="K66" s="194"/>
      <c r="L66" s="194"/>
      <c r="M66" s="196">
        <f>$L$7*0.48*(1+0.2*C63)</f>
        <v>969347.2896</v>
      </c>
      <c r="N66" s="194"/>
      <c r="O66" s="194"/>
      <c r="P66" s="194"/>
      <c r="Q66" s="194"/>
      <c r="R66" s="204">
        <v>360.0</v>
      </c>
      <c r="S66" s="204">
        <v>360.0</v>
      </c>
      <c r="T66" s="196">
        <f>1/S66*C19</f>
        <v>0.002777777778</v>
      </c>
      <c r="U66" s="194"/>
      <c r="V66" s="194"/>
      <c r="W66" s="194"/>
      <c r="X66" s="196">
        <f t="shared" si="61"/>
        <v>2692.63136</v>
      </c>
      <c r="Y66" s="196">
        <f t="shared" si="62"/>
        <v>2154.105088</v>
      </c>
      <c r="Z66" s="194"/>
      <c r="AA66" s="194"/>
      <c r="AB66" s="194"/>
    </row>
    <row r="67">
      <c r="A67" s="97"/>
      <c r="B67" s="276" t="s">
        <v>148</v>
      </c>
      <c r="C67" s="25">
        <f>Inputs!C69</f>
        <v>1</v>
      </c>
      <c r="D67" s="78"/>
      <c r="E67" s="2"/>
      <c r="G67" s="276" t="s">
        <v>113</v>
      </c>
      <c r="H67" s="27"/>
      <c r="I67" s="194"/>
      <c r="J67" s="194"/>
      <c r="K67" s="194"/>
      <c r="L67" s="194"/>
      <c r="M67" s="194"/>
      <c r="N67" s="194"/>
      <c r="O67" s="211">
        <v>3.0</v>
      </c>
      <c r="P67" s="194"/>
      <c r="Q67" s="194"/>
      <c r="R67" s="285">
        <f>60/10.8</f>
        <v>5.555555556</v>
      </c>
      <c r="S67" s="198">
        <f>1/(10.8*J9*1.13/60)</f>
        <v>3.22478137</v>
      </c>
      <c r="T67" s="196">
        <f>1/S67*C41</f>
        <v>0.3100985417</v>
      </c>
      <c r="U67" s="194"/>
      <c r="V67" s="194"/>
      <c r="W67" s="194"/>
      <c r="X67" s="194"/>
      <c r="Y67" s="194"/>
      <c r="Z67" s="194"/>
      <c r="AA67" s="196">
        <f>T67*O67</f>
        <v>0.930295625</v>
      </c>
      <c r="AB67" s="194"/>
    </row>
    <row r="68">
      <c r="A68" s="97"/>
      <c r="B68" s="276" t="s">
        <v>149</v>
      </c>
      <c r="C68" s="25">
        <f>Inputs!C70</f>
        <v>1</v>
      </c>
      <c r="D68" s="78"/>
      <c r="G68" s="276" t="s">
        <v>220</v>
      </c>
      <c r="H68" s="253">
        <v>2.76</v>
      </c>
      <c r="I68" s="194"/>
      <c r="J68" s="207">
        <f>($J$6*(1+$E$116)*(1+$D$157)+169*15/120*$C$24+$C$14*6)*H68*$J$10*$L$11*(1+0.01*$E$25)</f>
        <v>17443.33235</v>
      </c>
      <c r="K68" s="196">
        <f>J68*$J$8*$J$14*(1+$C$131*0.05*MIN(1,5/$C$152))*$C$152/SQRT(MAX(1,$C$152/8))*(1+0.02*-AA42*8*((O42-5*IF(C42&gt;0,1,0))/O42))*(1+0.08*C120*D120)</f>
        <v>488238.2451</v>
      </c>
      <c r="L68" s="209">
        <f t="shared" ref="L68:L69" si="63">K68/$C$152</f>
        <v>97647.64901</v>
      </c>
      <c r="M68" s="196">
        <f>K68*(0.18+$L$12)</f>
        <v>178206.9594</v>
      </c>
      <c r="N68" s="194"/>
      <c r="O68" s="194"/>
      <c r="P68" s="194"/>
      <c r="Q68" s="194"/>
      <c r="R68" s="194"/>
      <c r="S68" s="194"/>
      <c r="T68" s="196">
        <f>T28*C123</f>
        <v>0</v>
      </c>
      <c r="U68" s="194"/>
      <c r="V68" s="196">
        <f t="shared" ref="V68:V69" si="64">T68*K68</f>
        <v>0</v>
      </c>
      <c r="W68" s="196">
        <f t="shared" ref="W68:W69" si="65">T68*L68</f>
        <v>0</v>
      </c>
      <c r="X68" s="196">
        <f t="shared" ref="X68:X69" si="66">T68*M68</f>
        <v>0</v>
      </c>
      <c r="Y68" s="196">
        <f t="shared" ref="Y68:Y69" si="67">X68*(1-$C$144)</f>
        <v>0</v>
      </c>
      <c r="Z68" s="194"/>
      <c r="AA68" s="194"/>
      <c r="AB68" s="194"/>
    </row>
    <row r="69">
      <c r="A69" s="97"/>
      <c r="B69" s="276" t="s">
        <v>151</v>
      </c>
      <c r="C69" s="25">
        <f>Inputs!C71</f>
        <v>1</v>
      </c>
      <c r="D69" s="78"/>
      <c r="G69" s="276" t="s">
        <v>349</v>
      </c>
      <c r="H69" s="27"/>
      <c r="I69" s="204">
        <v>1.15</v>
      </c>
      <c r="J69" s="194"/>
      <c r="K69" s="196">
        <f>K64*1/10*($C$152-1)*$I$69*1.05*IF(D100=2,(1+0.06*C119*(1-T40*(1-(0.75)^((5+(H15/2))/H15))/(1+3*(1-(0.75)^((5+(H15/2))/H15))*C82)/(1-(0.75)^((5+(H15/2))/H15)))),(1+0.06*(14-5*C131*E137)*C119*(1/S40)))</f>
        <v>129186.4686</v>
      </c>
      <c r="L69" s="196">
        <f t="shared" si="63"/>
        <v>25837.29373</v>
      </c>
      <c r="M69" s="196">
        <f>K69*$L$12</f>
        <v>23899.4967</v>
      </c>
      <c r="N69" s="194"/>
      <c r="O69" s="194"/>
      <c r="P69" s="194"/>
      <c r="Q69" s="194"/>
      <c r="R69" s="194"/>
      <c r="S69" s="194"/>
      <c r="T69" s="196">
        <f>T64</f>
        <v>0</v>
      </c>
      <c r="U69" s="194"/>
      <c r="V69" s="196">
        <f t="shared" si="64"/>
        <v>0</v>
      </c>
      <c r="W69" s="196">
        <f t="shared" si="65"/>
        <v>0</v>
      </c>
      <c r="X69" s="196">
        <f t="shared" si="66"/>
        <v>0</v>
      </c>
      <c r="Y69" s="196">
        <f t="shared" si="67"/>
        <v>0</v>
      </c>
      <c r="Z69" s="194"/>
      <c r="AA69" s="194"/>
      <c r="AB69" s="194"/>
    </row>
    <row r="70">
      <c r="A70" s="329" t="s">
        <v>152</v>
      </c>
      <c r="B70" s="276" t="s">
        <v>153</v>
      </c>
      <c r="C70" s="25">
        <f>Inputs!C72</f>
        <v>0</v>
      </c>
      <c r="D70" s="78"/>
      <c r="E70" s="2"/>
      <c r="G70" s="276" t="s">
        <v>350</v>
      </c>
      <c r="H70" s="27"/>
      <c r="I70" s="194"/>
      <c r="J70" s="194"/>
      <c r="K70" s="194"/>
      <c r="L70" s="194"/>
      <c r="M70" s="194"/>
      <c r="N70" s="194"/>
      <c r="O70" s="194"/>
      <c r="P70" s="194"/>
      <c r="Q70" s="194"/>
      <c r="R70" s="204">
        <v>120.0</v>
      </c>
      <c r="S70" s="204">
        <v>120.0</v>
      </c>
      <c r="T70" s="287">
        <f>1/S70*C31*$C$149</f>
        <v>0</v>
      </c>
      <c r="U70" s="194"/>
      <c r="V70" s="194"/>
      <c r="W70" s="194"/>
      <c r="X70" s="194"/>
      <c r="Y70" s="194"/>
      <c r="Z70" s="194"/>
      <c r="AA70" s="194"/>
      <c r="AB70" s="194"/>
    </row>
    <row r="71">
      <c r="A71" s="97"/>
      <c r="B71" s="276" t="s">
        <v>154</v>
      </c>
      <c r="C71" s="25">
        <f>Inputs!C73</f>
        <v>1</v>
      </c>
      <c r="D71" s="78"/>
      <c r="G71" s="281" t="s">
        <v>351</v>
      </c>
      <c r="H71" s="263">
        <f>1.25*0.25</f>
        <v>0.3125</v>
      </c>
      <c r="I71" s="194"/>
      <c r="J71" s="207">
        <f>($J$6*(1+$E$116)*(1+$D$157)+$C$14*6)*H71*$J$10*$L$11</f>
        <v>1975.014985</v>
      </c>
      <c r="K71" s="196">
        <f>J71*$J$8*$J$14*(1+0.08*C120*D120)*(1+$C$131*0.05*MIN(1,5/$C$152))</f>
        <v>3098.135663</v>
      </c>
      <c r="L71" s="196">
        <f>K71</f>
        <v>3098.135663</v>
      </c>
      <c r="M71" s="196">
        <f>K71*(1+$L$12)</f>
        <v>3671.29076</v>
      </c>
      <c r="N71" s="194"/>
      <c r="O71" s="194"/>
      <c r="P71" s="194"/>
      <c r="Q71" s="195"/>
      <c r="R71" s="197">
        <v>15.0</v>
      </c>
      <c r="S71" s="288">
        <f>15</f>
        <v>15</v>
      </c>
      <c r="T71" s="196">
        <f>1/S71*C25</f>
        <v>0</v>
      </c>
      <c r="U71" s="222"/>
      <c r="V71" s="196">
        <f>T71*K71</f>
        <v>0</v>
      </c>
      <c r="W71" s="196">
        <f>T71*L71</f>
        <v>0</v>
      </c>
      <c r="X71" s="196">
        <f t="shared" ref="X71:X75" si="68">T71*M71</f>
        <v>0</v>
      </c>
      <c r="Y71" s="196">
        <f>X71*(1-$C$144)</f>
        <v>0</v>
      </c>
      <c r="Z71" s="194"/>
      <c r="AA71" s="194"/>
      <c r="AB71" s="194"/>
    </row>
    <row r="72">
      <c r="A72" s="98"/>
      <c r="B72" s="276" t="s">
        <v>155</v>
      </c>
      <c r="C72" s="25">
        <f>Inputs!C74</f>
        <v>0</v>
      </c>
      <c r="D72" s="78"/>
      <c r="E72" s="2"/>
      <c r="G72" s="276" t="s">
        <v>223</v>
      </c>
      <c r="H72" s="27"/>
      <c r="I72" s="194"/>
      <c r="J72" s="194"/>
      <c r="K72" s="194"/>
      <c r="L72" s="194"/>
      <c r="M72" s="196">
        <f>MIN(L7,V29*(10+2*C92)*6)*J10*(1+0.15*C46)</f>
        <v>1512988.597</v>
      </c>
      <c r="N72" s="194"/>
      <c r="O72" s="194"/>
      <c r="P72" s="194"/>
      <c r="Q72" s="194"/>
      <c r="R72" s="194"/>
      <c r="S72" s="194"/>
      <c r="T72" s="196">
        <f>T76*C126</f>
        <v>0.04678661658</v>
      </c>
      <c r="U72" s="194"/>
      <c r="V72" s="194"/>
      <c r="W72" s="194"/>
      <c r="X72" s="196">
        <f t="shared" si="68"/>
        <v>70787.61738</v>
      </c>
      <c r="Y72" s="196">
        <f>X72</f>
        <v>70787.61738</v>
      </c>
      <c r="Z72" s="194"/>
      <c r="AA72" s="194"/>
      <c r="AB72" s="194"/>
    </row>
    <row r="73">
      <c r="A73" s="329" t="s">
        <v>156</v>
      </c>
      <c r="B73" s="276" t="s">
        <v>157</v>
      </c>
      <c r="C73" s="25">
        <f>Inputs!C75</f>
        <v>0</v>
      </c>
      <c r="D73" s="78"/>
      <c r="G73" s="281" t="s">
        <v>352</v>
      </c>
      <c r="H73" s="27"/>
      <c r="I73" s="194"/>
      <c r="J73" s="194"/>
      <c r="K73" s="194"/>
      <c r="L73" s="194"/>
      <c r="M73" s="196">
        <f>$L$7*0.04*(1+0.2*C63)</f>
        <v>80778.9408</v>
      </c>
      <c r="N73" s="194"/>
      <c r="O73" s="194"/>
      <c r="P73" s="194"/>
      <c r="Q73" s="194"/>
      <c r="R73" s="197">
        <f>60/3</f>
        <v>20</v>
      </c>
      <c r="S73" s="196">
        <f>R73/1.13/$J$9</f>
        <v>11.60921293</v>
      </c>
      <c r="T73" s="196">
        <f>1/S73*B21</f>
        <v>0</v>
      </c>
      <c r="U73" s="194"/>
      <c r="V73" s="194"/>
      <c r="W73" s="194"/>
      <c r="X73" s="196">
        <f t="shared" si="68"/>
        <v>0</v>
      </c>
      <c r="Y73" s="196">
        <f t="shared" ref="Y73:Y75" si="69">X73*(1-$C$144)</f>
        <v>0</v>
      </c>
      <c r="Z73" s="194"/>
      <c r="AA73" s="194"/>
      <c r="AB73" s="194"/>
    </row>
    <row r="74">
      <c r="A74" s="97"/>
      <c r="B74" s="276" t="s">
        <v>158</v>
      </c>
      <c r="C74" s="25">
        <f>Inputs!C76</f>
        <v>1</v>
      </c>
      <c r="D74" s="78"/>
      <c r="G74" s="276" t="s">
        <v>353</v>
      </c>
      <c r="H74" s="289">
        <f>0.907*1.25</f>
        <v>1.13375</v>
      </c>
      <c r="I74" s="204">
        <v>1.15</v>
      </c>
      <c r="J74" s="207">
        <f>($J$6*(1+$E$116)*(1+$D$157)+169*15/120*$C$24+$C$14*6)*H74*$J$10*$L$11*I74*(1+0.15*C93)*(1+0.01*$E$25)*(1+0.1*C43)</f>
        <v>9064.173274</v>
      </c>
      <c r="K74" s="196">
        <f>J74*$J$8*IF($C$152&lt;=5,IF($C$152&lt;3,$C$152,IF($C$43&gt;0,$C$152,2)*(14-5*C131*E137)/$S$40+2*($S$40-(14-5*C131*E137))/$S$40),IF($C$43&gt;0,5,2)*(14-5*C131*E137)/$S$40+2*($S$40-(14-5*C131*E137))/$S$40)*$J$14*(1+$C$131*0.2)*(1+0.08*C120*D120)</f>
        <v>81249.40442</v>
      </c>
      <c r="L74" s="196">
        <f>K74/IF($C$152&lt;=5,IF($C$152&lt;3,$C$152,IF($C$43&gt;0,$C$152,2)*(14-5*C131*E137)/$S$40+2*($S$40-(14-5*C131*E137))/$S$40),IF($C$43&gt;0,5,2)*(14-5*C131*E137)/$S$40+2*($S$40-(14-5*C131*E137))/$S$40)</f>
        <v>16249.88088</v>
      </c>
      <c r="M74" s="196">
        <f>K74*$L$12+IF($C$152&lt;=5,IF($C$152&lt;3,$C$152,IF($C$43&gt;0,$C$152,2)*(14-5*C131*E137)/$S$40+2*($S$40-(14-5*C131*E137))/$S$40),IF($C$43&gt;0,5,2)*(14-5*C131*E137)/$S$40+2*($S$40-(14-5*C131*E137))/$S$40)*$L$7*0.0025*$C$95+$L$7*0.02*$J$10</f>
        <v>58128.82394</v>
      </c>
      <c r="N74" s="194"/>
      <c r="O74" s="194"/>
      <c r="P74" s="194"/>
      <c r="Q74" s="194"/>
      <c r="R74" s="194"/>
      <c r="S74" s="194"/>
      <c r="T74" s="196">
        <f>C131*((T38*(8+C110*4))*T51+(1-T38*(8+C110*4))*((0.35+0.05*14/S40*E136)*T42+(E140*0.35*0.15)*T42))</f>
        <v>0.1922269492</v>
      </c>
      <c r="U74" s="194"/>
      <c r="V74" s="196">
        <f>(T74+(C131*T38*(8+C110*4))*C116/(9/(1/(0.5+(2/((L14+0.3*(1-(1-(T38*(8+C110*4)))*(1-IF(C127&gt;3,1,0)*(1-0.875^(8*(T40+T43+T51+T57+T63)))))))-1+IF(C152=1,0.5,0))/C152))+9/(1/(0.5+(2/((L14+0.3*(1-(1-(T38*(8+C110*4)))*(1-IF(C127&gt;3,1,0)*(1-0.875^(8*(T40+T43+T51+T57+T63)))))))-1+IF(C152=1,0.5,0))/C152))/2*((0.8/3^(C152-1))/(1-(0.8/3^(C152-1))))+6)+1.5*C131*F127*((T38*(8+C110*4))/(1-(1-(T38*(8+C110*4)))*(1-IF(C127&gt;3,1,0)*(1-0.875^(8*(T40+T43+T51+T57+T63)))))))*K74</f>
        <v>20591.70472</v>
      </c>
      <c r="W74" s="196">
        <f>(T74+(C131*T38*(8+C110*4))*C116/(9/(1/(0.5+(2/((L14+0.3*(1-(1-(T38*(8+C110*4)))*(1-IF(C127&gt;3,1,0)*(1-0.875^(8*(T40+T43+T51+T57+T63)))))))-1+IF(C152=1,0.5,0))/C152))+9/(1/(0.5+(2/((L14+0.3*(1-(1-(T38*(8+C110*4)))*(1-IF(C127&gt;3,1,0)*(1-0.875^(8*(T40+T43+T51+T57+T63)))))))-1+IF(C152=1,0.5,0))/C152))/2*((0.8/3^(C152-1))/(1-(0.8/3^(C152-1))))+6)+1.5*C131*F127*((T38*(8+C110*4))/(1-(1-(T38*(8+C110*4)))*(1-IF(C127&gt;3,1,0)*(1-0.875^(8*(T40+T43+T51+T57+T63)))))))*L74</f>
        <v>4118.340945</v>
      </c>
      <c r="X74" s="196">
        <f t="shared" si="68"/>
        <v>11173.92648</v>
      </c>
      <c r="Y74" s="196">
        <f t="shared" si="69"/>
        <v>8939.141186</v>
      </c>
      <c r="Z74" s="194"/>
      <c r="AA74" s="194"/>
      <c r="AB74" s="293"/>
    </row>
    <row r="75">
      <c r="A75" s="97"/>
      <c r="B75" s="276" t="s">
        <v>160</v>
      </c>
      <c r="C75" s="25">
        <f>Inputs!C77</f>
        <v>1</v>
      </c>
      <c r="D75" s="78"/>
      <c r="G75" s="276" t="s">
        <v>354</v>
      </c>
      <c r="H75" s="253">
        <f>1.766*1.2</f>
        <v>2.1192</v>
      </c>
      <c r="I75" s="204">
        <v>1.15</v>
      </c>
      <c r="J75" s="207">
        <f>($J$6*(1+$E$116)*(1+$D$157)+169*15/120*$C$24+$C$14*6)*H75*$J$10*$L$11*I75*(1+0.01*$E$25)</f>
        <v>15402.46247</v>
      </c>
      <c r="K75" s="196">
        <f>J75*($J$8+2)/2*(1+$C$152)*$J$14*(1+0.15*$B$19*(1+0.2*$C$63))*(H8*0.05/2+1)*(1+0.08*C120*D120)</f>
        <v>183269.5675</v>
      </c>
      <c r="L75" s="196">
        <f>K75*2/(1+$C$152)</f>
        <v>61089.85585</v>
      </c>
      <c r="M75" s="196">
        <f>K75*$L$12</f>
        <v>33904.87</v>
      </c>
      <c r="N75" s="194"/>
      <c r="O75" s="194"/>
      <c r="P75" s="194"/>
      <c r="Q75" s="194"/>
      <c r="R75" s="194"/>
      <c r="S75" s="194"/>
      <c r="T75" s="196">
        <f>T63</f>
        <v>0</v>
      </c>
      <c r="U75" s="293"/>
      <c r="V75" s="196">
        <f>T75*K75</f>
        <v>0</v>
      </c>
      <c r="W75" s="196">
        <f>T75*L75</f>
        <v>0</v>
      </c>
      <c r="X75" s="196">
        <f t="shared" si="68"/>
        <v>0</v>
      </c>
      <c r="Y75" s="196">
        <f t="shared" si="69"/>
        <v>0</v>
      </c>
      <c r="Z75" s="293"/>
      <c r="AA75" s="293"/>
      <c r="AB75" s="293"/>
    </row>
    <row r="76">
      <c r="A76" s="98"/>
      <c r="B76" s="276" t="s">
        <v>161</v>
      </c>
      <c r="C76" s="25">
        <f>Inputs!C78</f>
        <v>0</v>
      </c>
      <c r="D76" s="78"/>
      <c r="G76" s="281" t="s">
        <v>179</v>
      </c>
      <c r="H76" s="27"/>
      <c r="I76" s="194"/>
      <c r="J76" s="194"/>
      <c r="K76" s="194"/>
      <c r="L76" s="194"/>
      <c r="M76" s="194"/>
      <c r="N76" s="194"/>
      <c r="O76" s="194"/>
      <c r="P76" s="194"/>
      <c r="Q76" s="194"/>
      <c r="R76" s="295">
        <f>90</f>
        <v>90</v>
      </c>
      <c r="S76" s="287">
        <f>R76/(1-AA42/5*C122*((O42-5*IF(C42&gt;0,1,0))/O42))</f>
        <v>21.3736336</v>
      </c>
      <c r="T76" s="287">
        <f>1/S76*C89*C149</f>
        <v>0.04678661658</v>
      </c>
      <c r="U76" s="293"/>
      <c r="V76" s="293"/>
      <c r="W76" s="298"/>
      <c r="X76" s="298"/>
      <c r="Y76" s="293"/>
      <c r="Z76" s="293"/>
      <c r="AA76" s="293"/>
      <c r="AB76" s="293"/>
    </row>
    <row r="77">
      <c r="A77" s="329" t="s">
        <v>162</v>
      </c>
      <c r="B77" s="276" t="s">
        <v>163</v>
      </c>
      <c r="C77" s="25">
        <f>Inputs!C79</f>
        <v>2</v>
      </c>
      <c r="D77" s="78"/>
      <c r="T77" s="334" t="s">
        <v>230</v>
      </c>
      <c r="U77" s="300">
        <f t="shared" ref="U77:X77" si="70">sum(U19:U76)</f>
        <v>1</v>
      </c>
      <c r="V77" s="140">
        <f t="shared" si="70"/>
        <v>324901.6274</v>
      </c>
      <c r="W77" s="140">
        <f t="shared" si="70"/>
        <v>112230.0651</v>
      </c>
      <c r="X77" s="140">
        <f t="shared" si="70"/>
        <v>442336.399</v>
      </c>
      <c r="Y77" s="140">
        <f>sum(Y19:Y76)+W78</f>
        <v>384626.4501</v>
      </c>
      <c r="Z77" s="140">
        <f t="shared" ref="Z77:AB77" si="71">sum(Z19:Z76)</f>
        <v>-0.4570809304</v>
      </c>
      <c r="AA77" s="140">
        <f t="shared" si="71"/>
        <v>0</v>
      </c>
      <c r="AB77" s="152">
        <f t="shared" si="71"/>
        <v>0.3269240909</v>
      </c>
    </row>
    <row r="78">
      <c r="A78" s="97"/>
      <c r="B78" s="276" t="s">
        <v>165</v>
      </c>
      <c r="C78" s="25">
        <f>Inputs!C80</f>
        <v>0</v>
      </c>
      <c r="D78" s="78"/>
      <c r="E78" s="2"/>
      <c r="I78" s="325"/>
    </row>
    <row r="79">
      <c r="A79" s="98"/>
      <c r="B79" s="276" t="s">
        <v>166</v>
      </c>
      <c r="C79" s="25">
        <f>Inputs!C81</f>
        <v>2</v>
      </c>
      <c r="D79" s="78"/>
      <c r="E79" s="2"/>
      <c r="V79" s="326">
        <f>8047*20*1.13/60*J8*J10*0.7</f>
        <v>3312.418059</v>
      </c>
      <c r="W79" s="326">
        <f>498629/150*J8*J10*(0.85+0.15*C152)</f>
        <v>8303.518747</v>
      </c>
      <c r="Y79" s="326">
        <f>-(1.13*(1-exp(-1*12/60)))*49872/12*J10*L10</f>
        <v>-937.1879001</v>
      </c>
    </row>
    <row r="80">
      <c r="A80" s="335" t="s">
        <v>168</v>
      </c>
      <c r="B80" s="276" t="s">
        <v>169</v>
      </c>
      <c r="C80" s="25">
        <f>Inputs!C82</f>
        <v>1</v>
      </c>
      <c r="D80" s="78"/>
      <c r="E80" s="2"/>
      <c r="S80" s="301"/>
      <c r="T80" s="301"/>
      <c r="V80" s="326">
        <f>(239640*0.7+129036)*1.13*0.92/60*J8*J10</f>
        <v>8028.074942</v>
      </c>
    </row>
    <row r="81">
      <c r="A81" s="122"/>
      <c r="B81" s="276" t="s">
        <v>171</v>
      </c>
      <c r="C81" s="25">
        <f>Inputs!C83</f>
        <v>0</v>
      </c>
      <c r="D81" s="78"/>
      <c r="E81" s="2"/>
      <c r="S81" s="62"/>
      <c r="T81" s="62"/>
      <c r="V81" s="326">
        <f>221688*0.85*1.13/60*J8*J10*J9*(0.85+0.15*C152)</f>
        <v>13514.90433</v>
      </c>
      <c r="W81" s="326">
        <f>(1.13*(1-exp(-2*10/60)))*8804*5/10*(0.85+0.15*C152)*J8*J10</f>
        <v>3522.163189</v>
      </c>
    </row>
    <row r="82">
      <c r="A82" s="122"/>
      <c r="B82" s="276" t="s">
        <v>172</v>
      </c>
      <c r="C82" s="25">
        <f>Inputs!C84</f>
        <v>1</v>
      </c>
      <c r="D82" s="78"/>
      <c r="E82" s="2"/>
      <c r="S82" s="301"/>
      <c r="T82" s="301"/>
      <c r="U82" s="336"/>
      <c r="V82" s="326">
        <f>150750*1.25*1.13/60*J8*J10*J9*(0.85+0.15*C152)</f>
        <v>13515.09798</v>
      </c>
    </row>
    <row r="83">
      <c r="A83" s="123"/>
      <c r="B83" s="276" t="s">
        <v>173</v>
      </c>
      <c r="C83" s="25">
        <f>Inputs!C85</f>
        <v>0</v>
      </c>
      <c r="D83" s="78"/>
      <c r="E83" s="2"/>
      <c r="V83" s="326">
        <f>124747/6*(1.13*(1-exp(-2*J9*6/60)))*J8*J10</f>
        <v>9639.658385</v>
      </c>
    </row>
    <row r="84">
      <c r="A84" s="2"/>
      <c r="B84" s="2"/>
      <c r="C84" s="2"/>
      <c r="D84" s="2"/>
      <c r="E84" s="2"/>
      <c r="R84" s="302"/>
      <c r="V84" s="326">
        <f>135322*4/150*J8*J10*(0.85+0.15*C152)</f>
        <v>9013.906242</v>
      </c>
    </row>
    <row r="85">
      <c r="A85" s="2"/>
      <c r="B85" s="321" t="s">
        <v>174</v>
      </c>
      <c r="C85" s="283" t="s">
        <v>106</v>
      </c>
      <c r="D85" s="283" t="s">
        <v>107</v>
      </c>
      <c r="E85" s="2"/>
      <c r="V85" s="326">
        <f>15233*1.5*1.13/60*J8*J10*5*5/3</f>
        <v>5598.588682</v>
      </c>
    </row>
    <row r="86">
      <c r="A86" s="337" t="s">
        <v>108</v>
      </c>
      <c r="B86" s="276" t="s">
        <v>175</v>
      </c>
      <c r="C86" s="25">
        <f>Inputs!C88</f>
        <v>1</v>
      </c>
      <c r="D86" s="78"/>
      <c r="E86" s="2"/>
      <c r="U86" s="326">
        <f>(20*0.793)*14698*J8*J10*0.7/60*1.375</f>
        <v>5838.03679</v>
      </c>
      <c r="V86" s="326">
        <f>(20+2/3*(C152*4-2-2/3))*14698*J8*J10*0.7/60*1.375</f>
        <v>11615.54188</v>
      </c>
    </row>
    <row r="87">
      <c r="A87" s="322" t="s">
        <v>112</v>
      </c>
      <c r="B87" s="276" t="s">
        <v>176</v>
      </c>
      <c r="C87" s="25">
        <f>Inputs!C89</f>
        <v>1</v>
      </c>
      <c r="D87" s="25">
        <f>Inputs!D89</f>
        <v>0</v>
      </c>
      <c r="V87" s="326">
        <f>156528*1.13/60*J8*J9*J10*1.5*(0.85+0.15*C152)</f>
        <v>16839.73139</v>
      </c>
    </row>
    <row r="88">
      <c r="A88" s="98"/>
      <c r="B88" s="276" t="s">
        <v>177</v>
      </c>
      <c r="C88" s="25">
        <f>Inputs!C90</f>
        <v>1</v>
      </c>
      <c r="D88" s="78"/>
      <c r="E88" s="2"/>
      <c r="V88" s="326">
        <f>91711*J8*J10/90*(0.85+0.15*C152)*5*0.79+2395/3*J10*J8*C152*0.8</f>
        <v>15039.70349</v>
      </c>
      <c r="W88" s="326">
        <f>80382*J8*J10/90*(0.85+0.15*C152)*5*0.79+2013/3*J10*J8*C152*0.8</f>
        <v>13002.53577</v>
      </c>
      <c r="X88" s="326">
        <f>(660181*J10*1.15*1.5-93582*5*J10*L10*0.79)/90*1.5-2395*J10*L10/3*0.8</f>
        <v>16817.8867</v>
      </c>
      <c r="Y88" s="326">
        <f>(578625*J10*1.15*1.5-82021*5*J10*L10*0.79)/90*1.5-2013*J10*L10/3*0.8</f>
        <v>14765.58097</v>
      </c>
    </row>
    <row r="89">
      <c r="A89" s="329" t="s">
        <v>117</v>
      </c>
      <c r="B89" s="276" t="s">
        <v>179</v>
      </c>
      <c r="C89" s="25">
        <f>Inputs!C91</f>
        <v>1</v>
      </c>
      <c r="D89" s="78"/>
      <c r="E89" s="2"/>
      <c r="U89" s="326">
        <f>205064/1.2^15</f>
        <v>13309.77561</v>
      </c>
      <c r="V89" s="4">
        <f>(304680/(1.2)^15)*3*1.13*1.2^15/60*J8*J9*J10*(127566/205064)*IF(C152&gt;1,1,1)*0.9</f>
        <v>22939.56121</v>
      </c>
      <c r="X89" s="326">
        <f>-V89/2*L10</f>
        <v>-9861.356279</v>
      </c>
    </row>
    <row r="90">
      <c r="A90" s="98"/>
      <c r="B90" s="276" t="s">
        <v>180</v>
      </c>
      <c r="C90" s="25">
        <f>Inputs!C92</f>
        <v>1</v>
      </c>
      <c r="D90" s="78"/>
      <c r="E90" s="2"/>
      <c r="U90" s="326">
        <f>9935*1.2^14</f>
        <v>127557.2995</v>
      </c>
      <c r="V90" s="326">
        <f>7848*1.5*5*1.13/60*J8*J9*J10</f>
        <v>2638.469874</v>
      </c>
      <c r="X90" s="326">
        <f>-1053*1.5*5*1.13/60*J9*J10*L10</f>
        <v>-249.6399937</v>
      </c>
    </row>
    <row r="91">
      <c r="A91" s="329" t="s">
        <v>129</v>
      </c>
      <c r="B91" s="276" t="s">
        <v>181</v>
      </c>
      <c r="C91" s="25">
        <f>Inputs!C93</f>
        <v>1</v>
      </c>
      <c r="D91" s="78"/>
      <c r="E91" s="2"/>
      <c r="V91" s="326">
        <f>V25/C152</f>
        <v>8186.302916</v>
      </c>
      <c r="X91" s="326">
        <f>258568*2*1.13/60*1.15*J9*J10</f>
        <v>21864.80466</v>
      </c>
    </row>
    <row r="92">
      <c r="A92" s="97"/>
      <c r="B92" s="276" t="s">
        <v>182</v>
      </c>
      <c r="C92" s="25">
        <f>Inputs!C94</f>
        <v>2</v>
      </c>
      <c r="D92" s="78"/>
      <c r="E92" s="2"/>
      <c r="V92" s="326">
        <f>69524/60*1.13*2*J9*J8*J10+44080*J9*J8*J10*2/60*0.7*1.13</f>
        <v>8999.307032</v>
      </c>
    </row>
    <row r="93">
      <c r="A93" s="97"/>
      <c r="B93" s="276" t="s">
        <v>184</v>
      </c>
      <c r="C93" s="25">
        <f>Inputs!C95</f>
        <v>0</v>
      </c>
      <c r="D93" s="78"/>
      <c r="X93" s="326">
        <f>1.13*1.21/60*(140745+93831*2)*1.15*J10</f>
        <v>11020.20898</v>
      </c>
    </row>
    <row r="94">
      <c r="A94" s="98"/>
      <c r="B94" s="276" t="s">
        <v>185</v>
      </c>
      <c r="C94" s="25">
        <f>Inputs!C96</f>
        <v>1</v>
      </c>
      <c r="D94" s="78"/>
      <c r="E94" s="2"/>
      <c r="V94" s="326">
        <f>64988*J8*J10/90*(0.85+0.15*C152)*1.31*5+2182/3*J10*J8*C152</f>
        <v>17491.82593</v>
      </c>
      <c r="X94" s="326">
        <f>(409961*J10*1.15-58027*5*(1-L5)*L10)/90*1.5-2396*J10*L10/3</f>
        <v>8154.273506</v>
      </c>
    </row>
    <row r="95">
      <c r="A95" s="329" t="s">
        <v>138</v>
      </c>
      <c r="B95" s="276" t="s">
        <v>186</v>
      </c>
      <c r="C95" s="25">
        <f>Inputs!C97</f>
        <v>0</v>
      </c>
      <c r="D95" s="78"/>
    </row>
    <row r="96">
      <c r="A96" s="97"/>
      <c r="B96" s="276" t="s">
        <v>187</v>
      </c>
      <c r="C96" s="25">
        <f>Inputs!C98</f>
        <v>1</v>
      </c>
      <c r="D96" s="78"/>
      <c r="U96" s="4" t="s">
        <v>368</v>
      </c>
    </row>
    <row r="97">
      <c r="A97" s="97"/>
      <c r="B97" s="276" t="s">
        <v>188</v>
      </c>
      <c r="C97" s="25">
        <f>Inputs!C99</f>
        <v>1</v>
      </c>
      <c r="D97" s="25">
        <f>Inputs!D99</f>
        <v>7</v>
      </c>
      <c r="E97" s="2"/>
      <c r="N97" s="328"/>
    </row>
    <row r="98">
      <c r="A98" s="97"/>
      <c r="B98" s="276" t="s">
        <v>189</v>
      </c>
      <c r="C98" s="25">
        <f>Inputs!C100</f>
        <v>1</v>
      </c>
      <c r="D98" s="78"/>
    </row>
    <row r="99">
      <c r="A99" s="97"/>
      <c r="B99" s="276" t="s">
        <v>190</v>
      </c>
      <c r="C99" s="25">
        <f>Inputs!C101</f>
        <v>1</v>
      </c>
      <c r="D99" s="78"/>
    </row>
    <row r="100">
      <c r="A100" s="97"/>
      <c r="B100" s="276" t="s">
        <v>191</v>
      </c>
      <c r="C100" s="25">
        <f>Inputs!C102</f>
        <v>0</v>
      </c>
      <c r="D100" s="25">
        <f>Inputs!D102</f>
        <v>0</v>
      </c>
      <c r="E100" s="2"/>
    </row>
    <row r="101">
      <c r="A101" s="98"/>
      <c r="B101" s="276" t="s">
        <v>193</v>
      </c>
      <c r="C101" s="25">
        <f>Inputs!C103</f>
        <v>0</v>
      </c>
      <c r="D101" s="25">
        <f>Inputs!D103</f>
        <v>10</v>
      </c>
    </row>
    <row r="102">
      <c r="A102" s="329" t="s">
        <v>144</v>
      </c>
      <c r="B102" s="276" t="s">
        <v>195</v>
      </c>
      <c r="C102" s="25">
        <f>Inputs!C104</f>
        <v>0</v>
      </c>
      <c r="D102" s="78"/>
      <c r="E102" s="2"/>
    </row>
    <row r="103">
      <c r="A103" s="97"/>
      <c r="B103" s="276" t="s">
        <v>196</v>
      </c>
      <c r="C103" s="25">
        <f>Inputs!C105</f>
        <v>1</v>
      </c>
      <c r="D103" s="25">
        <f>Inputs!D105</f>
        <v>0</v>
      </c>
      <c r="E103" s="2"/>
      <c r="Q103" s="326">
        <f>264000/1.1957</f>
        <v>220791.1684</v>
      </c>
    </row>
    <row r="104">
      <c r="A104" s="97"/>
      <c r="B104" s="276" t="s">
        <v>197</v>
      </c>
      <c r="C104" s="25">
        <f>Inputs!C106</f>
        <v>1</v>
      </c>
      <c r="D104" s="78"/>
    </row>
    <row r="105">
      <c r="A105" s="97"/>
      <c r="B105" s="276" t="s">
        <v>199</v>
      </c>
      <c r="C105" s="25">
        <f>Inputs!C107</f>
        <v>1</v>
      </c>
      <c r="D105" s="25">
        <f>Inputs!D107</f>
        <v>5</v>
      </c>
    </row>
    <row r="106">
      <c r="A106" s="97"/>
      <c r="B106" s="276" t="s">
        <v>201</v>
      </c>
      <c r="C106" s="25">
        <f>Inputs!C108</f>
        <v>1</v>
      </c>
      <c r="D106" s="78"/>
      <c r="E106" s="2"/>
    </row>
    <row r="107">
      <c r="A107" s="97"/>
      <c r="B107" s="276" t="s">
        <v>202</v>
      </c>
      <c r="C107" s="25">
        <f>Inputs!C109</f>
        <v>1</v>
      </c>
      <c r="D107" s="78"/>
    </row>
    <row r="108">
      <c r="A108" s="329" t="s">
        <v>152</v>
      </c>
      <c r="B108" s="276" t="s">
        <v>203</v>
      </c>
      <c r="C108" s="25">
        <f>Inputs!C110</f>
        <v>1</v>
      </c>
      <c r="D108" s="78"/>
    </row>
    <row r="109">
      <c r="A109" s="97"/>
      <c r="B109" s="276" t="s">
        <v>204</v>
      </c>
      <c r="C109" s="25">
        <f>Inputs!C111</f>
        <v>1</v>
      </c>
      <c r="D109" s="78"/>
      <c r="E109" s="2"/>
    </row>
    <row r="110">
      <c r="A110" s="97"/>
      <c r="B110" s="276" t="s">
        <v>205</v>
      </c>
      <c r="C110" s="25">
        <f>Inputs!C112</f>
        <v>1</v>
      </c>
      <c r="D110" s="78"/>
      <c r="E110" s="2"/>
    </row>
    <row r="111">
      <c r="A111" s="97"/>
      <c r="B111" s="276" t="s">
        <v>207</v>
      </c>
      <c r="C111" s="25">
        <f>Inputs!C113</f>
        <v>1</v>
      </c>
      <c r="D111" s="78"/>
      <c r="E111" s="2"/>
    </row>
    <row r="112">
      <c r="A112" s="97"/>
      <c r="B112" s="276" t="s">
        <v>208</v>
      </c>
      <c r="C112" s="25">
        <f>Inputs!C114</f>
        <v>0</v>
      </c>
      <c r="D112" s="78"/>
    </row>
    <row r="113">
      <c r="A113" s="329" t="s">
        <v>156</v>
      </c>
      <c r="B113" s="276" t="s">
        <v>209</v>
      </c>
      <c r="C113" s="25">
        <f>Inputs!C115</f>
        <v>0</v>
      </c>
      <c r="D113" s="78"/>
    </row>
    <row r="114">
      <c r="A114" s="97"/>
      <c r="B114" s="276" t="s">
        <v>211</v>
      </c>
      <c r="C114" s="25">
        <f>Inputs!C116</f>
        <v>0</v>
      </c>
      <c r="D114" s="78"/>
      <c r="E114" s="2"/>
    </row>
    <row r="115">
      <c r="A115" s="97"/>
      <c r="B115" s="276" t="s">
        <v>212</v>
      </c>
      <c r="C115" s="25">
        <f>Inputs!C117</f>
        <v>1</v>
      </c>
      <c r="D115" s="78"/>
    </row>
    <row r="116">
      <c r="A116" s="97"/>
      <c r="B116" s="276" t="s">
        <v>213</v>
      </c>
      <c r="C116" s="25">
        <f>Inputs!C118</f>
        <v>1</v>
      </c>
      <c r="D116" s="78"/>
      <c r="E116" s="309">
        <f>((8/(1/(0.5+(2/((L14+0.3*(1-(1-(T38*(8+C110*4)))*(1-IF(C127&gt;3,1,0)*(1-0.875^(8*(T40+T43+T51+T57+T63)))))))-1+IF(C152=1,0.5,0))/C152))*0.02)+(4/(1/(0.5+(2/((L14+0.3*(1-(1-(T38*(8+C110*4)))*(1-IF(C127&gt;3,1,0)*(1-0.875^(8*(T40+T43+T51+T57+T63)))))))-1+IF(C152=1,0.5,0))/C152))*0.01)*((0.8/3^(C152-1))/(1-(0.8/3^(C152-1))))+6*0.1)/(9/(1/(0.5+(2/((L14+0.3*(1-(1-(T38*(8+C110*4)))*(1-IF(C127&gt;3,1,0)*(1-0.875^(8*(T40+T43+T51+T57+T63)))))))-1+IF(C152=1,0.5,0))/C152))+9/(1/(0.5+(2/((L14+0.3*(1-(1-(T38*(8+C110*4)))*(1-IF(C127&gt;3,1,0)*(1-0.875^(8*(T40+T43+T51+T57+T63)))))))-1+IF(C152=1,0.5,0))/C152))/2*((0.8/3^(C152-1))/(1-(0.8/3^(C152-1))))+6)*C116</f>
        <v>0.04814081478</v>
      </c>
      <c r="F116" s="310">
        <f>((MAX((622/19130+0.03+((J6*(1+E116)-622)/19130+L8)/(((J6*(1+E116)-622)/19130+L8)*1+1/0.94))-0.015*(C153-80),0)+MAX(H14-0.015*(C153-80),0)+MAX(0.03-0.015*(C153-80),0))-(MAX((622/19130+0.03+((J6-622)/19130+L8)/(((J6-622)/19130+L8)*1+1/0.94))-0.015*(C153-80),0)+MAX(H14-0.015*(C153-80),0)+MAX(0.03-0.015*(C153-80),0)))/(1-(MAX((622/19130+0.03+((J6-622)/19130+L8)/(((J6-622)/19130+L8)*1+1/0.94))-0.015*(C153-80),0)+MAX(H14-0.015*(C153-80),0)+MAX(0.03-0.015*(C153-80),0)))</f>
        <v>0.004894802317</v>
      </c>
    </row>
    <row r="117">
      <c r="A117" s="97"/>
      <c r="B117" s="276" t="s">
        <v>214</v>
      </c>
      <c r="C117" s="25">
        <f>Inputs!C119</f>
        <v>1</v>
      </c>
      <c r="D117" s="25">
        <f>Inputs!D119</f>
        <v>0.8</v>
      </c>
    </row>
    <row r="118">
      <c r="A118" s="329" t="s">
        <v>162</v>
      </c>
      <c r="B118" s="276" t="s">
        <v>215</v>
      </c>
      <c r="C118" s="25">
        <f>Inputs!C120</f>
        <v>0</v>
      </c>
      <c r="D118" s="78"/>
    </row>
    <row r="119">
      <c r="A119" s="97"/>
      <c r="B119" s="276" t="s">
        <v>216</v>
      </c>
      <c r="C119" s="25">
        <f>Inputs!C121</f>
        <v>1</v>
      </c>
      <c r="D119" s="78"/>
    </row>
    <row r="120">
      <c r="A120" s="97"/>
      <c r="B120" s="276" t="s">
        <v>217</v>
      </c>
      <c r="C120" s="25">
        <f>Inputs!C122</f>
        <v>1</v>
      </c>
      <c r="D120" s="25">
        <f>Inputs!D122</f>
        <v>0.4</v>
      </c>
      <c r="E120" s="2"/>
    </row>
    <row r="121">
      <c r="A121" s="97"/>
      <c r="B121" s="276" t="s">
        <v>218</v>
      </c>
      <c r="C121" s="25">
        <f>Inputs!C123</f>
        <v>0</v>
      </c>
      <c r="D121" s="25">
        <f>Inputs!D123</f>
        <v>1</v>
      </c>
    </row>
    <row r="122">
      <c r="A122" s="97"/>
      <c r="B122" s="276" t="s">
        <v>219</v>
      </c>
      <c r="C122" s="25">
        <f>Inputs!C124</f>
        <v>1</v>
      </c>
      <c r="D122" s="78"/>
    </row>
    <row r="123">
      <c r="A123" s="329" t="s">
        <v>168</v>
      </c>
      <c r="B123" s="276" t="s">
        <v>220</v>
      </c>
      <c r="C123" s="25">
        <f>Inputs!C125</f>
        <v>0</v>
      </c>
      <c r="D123" s="78"/>
    </row>
    <row r="124">
      <c r="A124" s="97"/>
      <c r="B124" s="276" t="s">
        <v>221</v>
      </c>
      <c r="C124" s="25">
        <f>Inputs!C126</f>
        <v>1</v>
      </c>
      <c r="D124" s="78"/>
      <c r="E124" s="2"/>
    </row>
    <row r="125">
      <c r="A125" s="97"/>
      <c r="B125" s="276" t="s">
        <v>222</v>
      </c>
      <c r="C125" s="25">
        <f>Inputs!C127</f>
        <v>0</v>
      </c>
      <c r="D125" s="78"/>
    </row>
    <row r="126">
      <c r="A126" s="97"/>
      <c r="B126" s="276" t="s">
        <v>223</v>
      </c>
      <c r="C126" s="25">
        <f>Inputs!C128</f>
        <v>1</v>
      </c>
      <c r="D126" s="78"/>
      <c r="E126" s="2"/>
    </row>
    <row r="127">
      <c r="A127" s="329" t="s">
        <v>224</v>
      </c>
      <c r="B127" s="276" t="s">
        <v>225</v>
      </c>
      <c r="C127" s="25">
        <f>Inputs!C129</f>
        <v>4</v>
      </c>
      <c r="D127" s="78"/>
      <c r="E127" s="309">
        <f>T38*(8+C110*4)*(1+C110)+IF(C127&gt;3,1,0)*8*0.125*(T40+T43+T51+T57+T63)</f>
        <v>0.8266711512</v>
      </c>
      <c r="F127" s="309">
        <f>IF(C127=4,(1-(1-(1-(1-(T38*(8+C110*4)))*(1-IF(C127&gt;3,1,0)*(1-0.875^(8*(T40+T43-T46+MIN(($L$9+SUM(Z19:Z36,Z38:Z50)+SUM(Z52:Z76))/(-N51),MAX((1-SUM(U18:U24,U26:U41,U43:U50,U52:U76)+SUM(AA19:AA24,AA26:AA41,AA43:AA50,AA52:AA76)/O42*Q42)/Q51*(-O42/(O51-O42)),0))+2*T57+2*T63)))))))/(3+(2/(L13+0.3)-1+IF(C152=1,0.5,0))/C152),IF(C127&gt;0,1,0)*(1-(1-(T38*(8+C110*4))))/(3+(2/(L13+0.3)-1+IF(C152=1,0.5,0))/C152))</f>
        <v>0.1402974432</v>
      </c>
    </row>
    <row r="128">
      <c r="A128" s="2"/>
      <c r="B128" s="2"/>
      <c r="C128" s="2"/>
      <c r="D128" s="2"/>
      <c r="E128" s="2"/>
    </row>
    <row r="129">
      <c r="A129" s="2"/>
      <c r="B129" s="321" t="s">
        <v>229</v>
      </c>
      <c r="C129" s="2"/>
      <c r="D129" s="2"/>
      <c r="E129" s="2"/>
    </row>
    <row r="130">
      <c r="A130" s="2"/>
      <c r="B130" s="339" t="s">
        <v>231</v>
      </c>
      <c r="C130" s="25">
        <f>Inputs!C132</f>
        <v>0</v>
      </c>
      <c r="D130" s="264">
        <f>Inputs!D132</f>
        <v>0.6</v>
      </c>
      <c r="E130" s="2"/>
    </row>
    <row r="131">
      <c r="A131" s="2"/>
      <c r="B131" s="339" t="s">
        <v>233</v>
      </c>
      <c r="C131" s="25">
        <f>Inputs!C133</f>
        <v>1</v>
      </c>
      <c r="D131" s="264">
        <f>Inputs!D133</f>
        <v>0.85</v>
      </c>
      <c r="E131" s="2"/>
    </row>
    <row r="132">
      <c r="A132" s="2"/>
      <c r="B132" s="2"/>
      <c r="C132" s="2"/>
      <c r="D132" s="2"/>
      <c r="E132" s="2"/>
    </row>
    <row r="133">
      <c r="A133" s="2"/>
      <c r="B133" s="340" t="s">
        <v>234</v>
      </c>
      <c r="C133" s="341"/>
      <c r="D133" s="342" t="s">
        <v>235</v>
      </c>
      <c r="E133" s="342"/>
      <c r="G133" s="340" t="s">
        <v>355</v>
      </c>
      <c r="J133" s="340" t="s">
        <v>356</v>
      </c>
    </row>
    <row r="134">
      <c r="A134" s="2"/>
      <c r="B134" s="343" t="s">
        <v>236</v>
      </c>
      <c r="C134" s="150"/>
      <c r="D134" s="339" t="s">
        <v>237</v>
      </c>
      <c r="E134" s="150"/>
      <c r="G134" s="343" t="s">
        <v>357</v>
      </c>
      <c r="H134" s="311">
        <f>MIN(40,1+12*(2*(1+H8)*T25+T26+1/3*(2)*(1/(1-0.15*C107))+T35*2+T40*(11+2*C107)+T42*(2*C136)*(1+C136*H8)+T43+T38*2*(2*(1+H8))+T38*2*(2*(1+H8))+T62*(2*C136)*(1+C136*H8)+2*(2/12+(1+H8)/12)))</f>
        <v>40</v>
      </c>
      <c r="J134" s="343" t="s">
        <v>358</v>
      </c>
      <c r="K134" s="282">
        <f>C131*7*(1+2*T38*(8+C110*4))*D131</f>
        <v>7.522687225</v>
      </c>
    </row>
    <row r="135">
      <c r="A135" s="2"/>
      <c r="B135" s="343" t="s">
        <v>238</v>
      </c>
      <c r="C135" s="25">
        <f>Inputs!C137</f>
        <v>1</v>
      </c>
      <c r="D135" s="339" t="s">
        <v>239</v>
      </c>
      <c r="E135" s="150"/>
      <c r="G135" s="343" t="s">
        <v>359</v>
      </c>
      <c r="H135" s="312">
        <f>1+C130*(0.05*15+0.05*17*H8)*T75</f>
        <v>1</v>
      </c>
    </row>
    <row r="136">
      <c r="A136" s="2"/>
      <c r="B136" s="343" t="s">
        <v>240</v>
      </c>
      <c r="C136" s="25">
        <f>Inputs!C138</f>
        <v>1</v>
      </c>
      <c r="D136" s="339" t="s">
        <v>241</v>
      </c>
      <c r="E136" s="25">
        <f>Inputs!E138</f>
        <v>1</v>
      </c>
    </row>
    <row r="137">
      <c r="A137" s="2"/>
      <c r="B137" s="343" t="s">
        <v>242</v>
      </c>
      <c r="C137" s="25">
        <f>Inputs!C139</f>
        <v>0</v>
      </c>
      <c r="D137" s="339" t="s">
        <v>243</v>
      </c>
      <c r="E137" s="25">
        <f>Inputs!E139</f>
        <v>0</v>
      </c>
    </row>
    <row r="138">
      <c r="A138" s="2"/>
      <c r="B138" s="343" t="s">
        <v>244</v>
      </c>
      <c r="C138" s="25">
        <f>Inputs!C140</f>
        <v>1</v>
      </c>
      <c r="D138" s="339" t="s">
        <v>245</v>
      </c>
      <c r="E138" s="25">
        <f>Inputs!E140</f>
        <v>0</v>
      </c>
    </row>
    <row r="139">
      <c r="A139" s="2"/>
      <c r="B139" s="343" t="s">
        <v>246</v>
      </c>
      <c r="C139" s="150"/>
      <c r="D139" s="339" t="s">
        <v>247</v>
      </c>
      <c r="E139" s="25">
        <f>Inputs!E141</f>
        <v>1</v>
      </c>
    </row>
    <row r="140">
      <c r="A140" s="2"/>
      <c r="B140" s="2"/>
      <c r="C140" s="2"/>
      <c r="D140" s="339" t="s">
        <v>248</v>
      </c>
      <c r="E140" s="25">
        <f>Inputs!E142</f>
        <v>0</v>
      </c>
    </row>
    <row r="141">
      <c r="A141" s="2"/>
      <c r="B141" s="2"/>
      <c r="C141" s="2"/>
      <c r="D141" s="339" t="s">
        <v>249</v>
      </c>
      <c r="E141" s="25">
        <f>Inputs!E143</f>
        <v>1</v>
      </c>
    </row>
    <row r="142">
      <c r="A142" s="2"/>
      <c r="B142" s="2"/>
      <c r="C142" s="2"/>
      <c r="D142" s="2"/>
      <c r="E142" s="2"/>
    </row>
    <row r="143">
      <c r="A143" s="2"/>
      <c r="B143" s="294" t="s">
        <v>250</v>
      </c>
      <c r="C143" s="2"/>
      <c r="D143" s="2"/>
      <c r="E143" s="2"/>
    </row>
    <row r="144">
      <c r="A144" s="2"/>
      <c r="B144" s="281" t="s">
        <v>251</v>
      </c>
      <c r="C144" s="313">
        <f>Inputs!C146</f>
        <v>0.2</v>
      </c>
      <c r="D144" s="2"/>
      <c r="E144" s="2"/>
    </row>
    <row r="145">
      <c r="A145" s="2"/>
      <c r="B145" s="276" t="s">
        <v>252</v>
      </c>
      <c r="C145" s="25">
        <f>Inputs!C147</f>
        <v>400000</v>
      </c>
      <c r="D145" s="2"/>
      <c r="E145" s="2"/>
    </row>
    <row r="146">
      <c r="A146" s="2"/>
      <c r="B146" s="281" t="s">
        <v>254</v>
      </c>
      <c r="C146" s="313">
        <f>Inputs!C148</f>
        <v>0.2</v>
      </c>
      <c r="D146" s="2"/>
      <c r="E146" s="2"/>
    </row>
    <row r="147">
      <c r="A147" s="2"/>
      <c r="B147" s="281" t="s">
        <v>257</v>
      </c>
      <c r="C147" s="313">
        <f>Inputs!C149</f>
        <v>0</v>
      </c>
      <c r="D147" s="2"/>
      <c r="E147" s="2"/>
    </row>
    <row r="148">
      <c r="A148" s="2"/>
      <c r="B148" s="281" t="s">
        <v>258</v>
      </c>
      <c r="C148" s="313">
        <f>Inputs!C150</f>
        <v>0</v>
      </c>
      <c r="D148" s="2"/>
      <c r="E148" s="2"/>
    </row>
    <row r="149">
      <c r="A149" s="2"/>
      <c r="B149" s="281" t="s">
        <v>259</v>
      </c>
      <c r="C149" s="313">
        <f>Inputs!C151</f>
        <v>1</v>
      </c>
      <c r="D149" s="2"/>
      <c r="E149" s="2"/>
    </row>
    <row r="150">
      <c r="A150" s="2"/>
      <c r="B150" s="276" t="s">
        <v>260</v>
      </c>
      <c r="C150" s="313">
        <f>Inputs!C152</f>
        <v>0.4</v>
      </c>
      <c r="D150" s="2"/>
      <c r="E150" s="2"/>
    </row>
    <row r="151">
      <c r="A151" s="2"/>
      <c r="B151" s="276" t="s">
        <v>261</v>
      </c>
      <c r="C151" s="174">
        <f>Inputs!C153</f>
        <v>0.8</v>
      </c>
      <c r="D151" s="2"/>
      <c r="E151" s="2"/>
    </row>
    <row r="152">
      <c r="A152" s="2"/>
      <c r="B152" s="281" t="s">
        <v>262</v>
      </c>
      <c r="C152" s="25">
        <f>Inputs!C154</f>
        <v>5</v>
      </c>
      <c r="D152" s="2"/>
      <c r="E152" s="2"/>
      <c r="F152" s="2"/>
    </row>
    <row r="153">
      <c r="A153" s="2"/>
      <c r="B153" s="276" t="s">
        <v>263</v>
      </c>
      <c r="C153" s="25">
        <f>Inputs!C155</f>
        <v>90</v>
      </c>
      <c r="D153" s="2"/>
      <c r="E153" s="2"/>
      <c r="F153" s="2"/>
    </row>
    <row r="154">
      <c r="A154" s="2"/>
      <c r="B154" s="281" t="s">
        <v>265</v>
      </c>
      <c r="C154" s="174">
        <f>Inputs!C156</f>
        <v>3966.55</v>
      </c>
      <c r="D154" s="2"/>
      <c r="E154" s="2"/>
      <c r="F154" s="2"/>
    </row>
    <row r="155">
      <c r="A155" s="2"/>
      <c r="D155" s="2"/>
      <c r="E155" s="2"/>
      <c r="F155" s="2"/>
    </row>
    <row r="156">
      <c r="B156" s="344" t="s">
        <v>267</v>
      </c>
      <c r="C156" s="345" t="s">
        <v>268</v>
      </c>
      <c r="D156" s="2"/>
      <c r="E156" s="2"/>
      <c r="F156" s="2"/>
    </row>
    <row r="157">
      <c r="B157" s="346" t="s">
        <v>269</v>
      </c>
      <c r="C157" s="25">
        <f>Inputs!C159</f>
        <v>1</v>
      </c>
      <c r="D157" s="309">
        <f>C157*(0.025+0.1*T42)</f>
        <v>0.06513494365</v>
      </c>
      <c r="E157" s="310">
        <f>((MAX((622/19130+0.03+((J6*(1+D157)-622)/19130+L8)/(((J6*(1+D157)-622)/19130+L8)*1+1/0.94))-0.015*(C153-80),0)+MAX(H14-0.015*(C153-80),0)+MAX(0.03-0.015*(C153-80),0))-(MAX((622/19130+0.03+((J6-622)/19130+L8)/(((J6-622)/19130+L8)*1+1/0.94))-0.015*(C153-80),0)+MAX(H14-0.015*(C153-80),0)+MAX(0.03-0.015*(C153-80),0)))/(1-(MAX((622/19130+0.03+((J6-622)/19130+L8)/(((J6-622)/19130+L8)*1+1/0.94))-0.015*(C153-80),0)+MAX(H14-0.015*(C153-80),0)+MAX(0.03-0.015*(C153-80),0)))</f>
        <v>0.006610037601</v>
      </c>
      <c r="F157" s="2"/>
    </row>
    <row r="158">
      <c r="B158" s="346" t="s">
        <v>271</v>
      </c>
      <c r="C158" s="25">
        <f>Inputs!C160</f>
        <v>1</v>
      </c>
      <c r="D158" s="2"/>
      <c r="E158" s="2"/>
      <c r="F158" s="2"/>
      <c r="G158" s="2"/>
      <c r="H158" s="2"/>
    </row>
    <row r="159">
      <c r="D159" s="2"/>
      <c r="E159" s="2"/>
      <c r="F159" s="2"/>
      <c r="G159" s="2"/>
      <c r="H159" s="2"/>
    </row>
    <row r="160">
      <c r="B160" s="296" t="s">
        <v>274</v>
      </c>
      <c r="C160" s="2"/>
      <c r="D160" s="2"/>
      <c r="E160" s="2"/>
      <c r="F160" s="2"/>
      <c r="G160" s="2"/>
      <c r="H160" s="2"/>
    </row>
    <row r="161">
      <c r="B161" s="281" t="s">
        <v>275</v>
      </c>
      <c r="C161" s="347"/>
      <c r="D161" s="1"/>
      <c r="E161" s="1"/>
      <c r="F161" s="2"/>
      <c r="G161" s="2"/>
      <c r="H161" s="2"/>
    </row>
    <row r="162">
      <c r="B162" s="281" t="s">
        <v>276</v>
      </c>
      <c r="C162" s="173"/>
      <c r="D162" s="2"/>
      <c r="E162" s="1"/>
      <c r="F162" s="2"/>
      <c r="G162" s="2"/>
      <c r="H162" s="2"/>
    </row>
    <row r="163">
      <c r="B163" s="281" t="s">
        <v>361</v>
      </c>
      <c r="C163" s="315"/>
      <c r="D163" s="2"/>
      <c r="E163" s="2"/>
      <c r="F163" s="2"/>
      <c r="G163" s="2"/>
      <c r="H163" s="2"/>
    </row>
    <row r="164">
      <c r="B164" s="281" t="s">
        <v>362</v>
      </c>
      <c r="C164" s="235"/>
      <c r="D164" s="2"/>
      <c r="E164" s="2"/>
      <c r="G164" s="2"/>
      <c r="H164" s="2"/>
    </row>
    <row r="165">
      <c r="B165" s="281" t="s">
        <v>278</v>
      </c>
      <c r="C165" s="316"/>
      <c r="G165" s="2"/>
      <c r="H165" s="2"/>
    </row>
    <row r="166">
      <c r="B166" s="281" t="s">
        <v>280</v>
      </c>
      <c r="C166" s="27"/>
      <c r="G166" s="2"/>
      <c r="H166" s="2"/>
    </row>
    <row r="167">
      <c r="B167" s="281" t="s">
        <v>363</v>
      </c>
      <c r="C167" s="317"/>
      <c r="G167" s="2"/>
      <c r="H167" s="2"/>
    </row>
    <row r="168">
      <c r="B168" s="281" t="s">
        <v>364</v>
      </c>
      <c r="C168" s="236"/>
      <c r="D168" s="202"/>
      <c r="G168" s="2"/>
      <c r="H168" s="2"/>
    </row>
    <row r="169">
      <c r="B169" s="318"/>
      <c r="C169" s="202"/>
      <c r="D169" s="202"/>
      <c r="G169" s="2"/>
      <c r="H169" s="2"/>
    </row>
    <row r="170">
      <c r="B170" s="318"/>
      <c r="C170" s="202"/>
      <c r="D170" s="202"/>
    </row>
    <row r="171">
      <c r="B171" s="318"/>
      <c r="C171" s="202"/>
    </row>
    <row r="173">
      <c r="B173" s="319"/>
      <c r="C173" s="2"/>
    </row>
    <row r="174">
      <c r="B174" s="320"/>
      <c r="C174" s="2"/>
    </row>
    <row r="175">
      <c r="B175" s="320"/>
      <c r="C175" s="2"/>
    </row>
    <row r="176">
      <c r="B176" s="320"/>
      <c r="C176" s="2"/>
    </row>
    <row r="177">
      <c r="B177" s="320"/>
      <c r="C177" s="2"/>
    </row>
    <row r="178">
      <c r="B178" s="320"/>
      <c r="C178" s="2"/>
    </row>
    <row r="179">
      <c r="B179" s="320"/>
      <c r="C179" s="2"/>
    </row>
    <row r="180">
      <c r="B180" s="320"/>
      <c r="C180" s="2"/>
    </row>
    <row r="181">
      <c r="B181" s="320"/>
      <c r="C181" s="2"/>
    </row>
    <row r="196">
      <c r="N196" s="4" t="s">
        <v>366</v>
      </c>
      <c r="O196" s="4">
        <v>3.0</v>
      </c>
      <c r="P196" s="326">
        <f>SUM(P167:Q167)</f>
        <v>0</v>
      </c>
    </row>
    <row r="197">
      <c r="O197" s="4">
        <v>4.0</v>
      </c>
      <c r="P197" s="326">
        <f>SUM(P167:Q167)</f>
        <v>0</v>
      </c>
    </row>
    <row r="198">
      <c r="O198" s="4">
        <v>5.0</v>
      </c>
      <c r="P198" s="326">
        <f>SUM(P167:Q167)</f>
        <v>0</v>
      </c>
    </row>
    <row r="199">
      <c r="O199" s="4">
        <v>6.0</v>
      </c>
      <c r="P199" s="326">
        <f>SUM(P167:X167)</f>
        <v>0</v>
      </c>
    </row>
  </sheetData>
  <mergeCells count="20">
    <mergeCell ref="B2:E2"/>
    <mergeCell ref="A38:A40"/>
    <mergeCell ref="A41:A43"/>
    <mergeCell ref="A44:A51"/>
    <mergeCell ref="A52:A58"/>
    <mergeCell ref="A59:A63"/>
    <mergeCell ref="A64:A69"/>
    <mergeCell ref="A95:A101"/>
    <mergeCell ref="A102:A107"/>
    <mergeCell ref="A108:A112"/>
    <mergeCell ref="A113:A117"/>
    <mergeCell ref="A118:A122"/>
    <mergeCell ref="A123:A126"/>
    <mergeCell ref="A70:A72"/>
    <mergeCell ref="A73:A76"/>
    <mergeCell ref="A77:A79"/>
    <mergeCell ref="A80:A83"/>
    <mergeCell ref="A87:A88"/>
    <mergeCell ref="A89:A90"/>
    <mergeCell ref="A91:A94"/>
  </mergeCells>
  <drawing r:id="rId2"/>
  <legacyDrawing r:id="rId3"/>
</worksheet>
</file>